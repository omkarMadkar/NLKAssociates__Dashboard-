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Data" sheetId="1" r:id="rId5"/>
    <sheet state="visible" name="TSR Initiation" sheetId="2" r:id="rId6"/>
    <sheet state="visible" name="TSR_Completion" sheetId="3" r:id="rId7"/>
    <sheet state="visible" name="CTC + VET" sheetId="4" r:id="rId8"/>
    <sheet state="visible" name="eChallan Details" sheetId="5" r:id="rId9"/>
  </sheets>
  <definedNames>
    <definedName hidden="1" localSheetId="1" name="_xlnm._FilterDatabase">'TSR Initiation'!$A$1:$M$984</definedName>
    <definedName hidden="1" localSheetId="4" name="_xlnm._FilterDatabase">'eChallan Details'!$A$1:$F$7</definedName>
  </definedNames>
  <calcPr/>
</workbook>
</file>

<file path=xl/sharedStrings.xml><?xml version="1.0" encoding="utf-8"?>
<sst xmlns="http://schemas.openxmlformats.org/spreadsheetml/2006/main" count="4797" uniqueCount="1194">
  <si>
    <t xml:space="preserve"> </t>
  </si>
  <si>
    <t>Author</t>
  </si>
  <si>
    <t>Application No.</t>
  </si>
  <si>
    <t>Branch</t>
  </si>
  <si>
    <t>Applicant</t>
  </si>
  <si>
    <t>Co-Applicants</t>
  </si>
  <si>
    <t>Transaction Type</t>
  </si>
  <si>
    <t>Property Details</t>
  </si>
  <si>
    <t>TSR</t>
  </si>
  <si>
    <t>Vet + CTC</t>
  </si>
  <si>
    <t>CTC</t>
  </si>
  <si>
    <t>Adv. Narayan</t>
  </si>
  <si>
    <t>.</t>
  </si>
  <si>
    <t>Main</t>
  </si>
  <si>
    <t>Swapan Mandol</t>
  </si>
  <si>
    <t>ABC</t>
  </si>
  <si>
    <t>Resale</t>
  </si>
  <si>
    <t>Pune. Ganesh Peth. CTS No. 48</t>
  </si>
  <si>
    <t>Aahan Buildcon</t>
  </si>
  <si>
    <t>Baner</t>
  </si>
  <si>
    <t>Santosh Ghumare</t>
  </si>
  <si>
    <t>Wakad</t>
  </si>
  <si>
    <t>Dattatray Suresh Kalbhor</t>
  </si>
  <si>
    <t>Mrs. Deepali Dattatray Kalbhor</t>
  </si>
  <si>
    <t>Builder Purchase</t>
  </si>
  <si>
    <t>All that residential Apartment No. 2405 on the 24th Floor, admeasuring 55.76 Sq. Mtrs. carpet area, along with appurtenant area of 9.14 Sq. Mtrs., including attached balcony admeasuring 2.60 Sq. Mtrs., in the Building No. G, known as “Giardino” in the project known as “Puraniks Abitante Fiore, Phase 2B”, to be constructed on the aforesaid entire land property, i.e. Survey No. 233/1 to 7/235/1/235/2A/235/2B/244/2 and others, situated at Village – Bavdhan Budruk, Taluka – Mulshi, District – Pune.</t>
  </si>
  <si>
    <t>APF</t>
  </si>
  <si>
    <t>Tathastu</t>
  </si>
  <si>
    <t>Pradeep Patil</t>
  </si>
  <si>
    <t>All that piece and parcel of property bearing Flat No. 704, having built-up area admeasuring of 601 sq. feets., i.e. 55.85 sq. mtrs., along with terrace area admeasuring of 74 sq. feets., i.e. 6.87 sq. mtrs., i.e. total saleable area admeasuring of 638 sq. feets., i.e. 59.29 sq.mtrs., situated on the Seventh Floor, along with one two wheeler parking space, in Building No. "K-2", out of the project known as "Kate Puram-II", constructed on the land bearing No. Plot No. 3+4, out of the Survey No. 48/1/1 + 48/2/1, situated at Village - Pimpale Gurav, Taluka - Haveli, District - Pune and within local limits of Pimpri Chinchwad Municipal Corporation, Pimpri.</t>
  </si>
  <si>
    <t>Swapnil Mardane</t>
  </si>
  <si>
    <t>BT Top UP</t>
  </si>
  <si>
    <t>All that residential Flat/Apartment No. 108, having built-up area admeasuring 1059.50 Sq. Feet (i.e. 98.46 Sq. Mtrs.), along with adjoining terrace area admeasuring 62.88 Sq. Feet (i.e. 5.84 Sq. Mtrs.), aggregating to total saleable area of 1100 Sq. Feet (i.e. 102.23 Sq. Mtrs.), situated on the First Floor, in Wing B-2 of the building known as “Sneha Vihar B-2 Co-operative Housing Society Ltd.”, constructed on land bearing Survey No. 82, Hissa No. 10, situated at Village – Shivane, Taluka – Haveli, District – Pune, within the limits of Pune Municipal Corporation.</t>
  </si>
  <si>
    <t>77000251190_1</t>
  </si>
  <si>
    <t>VRINDA MANISH BUTTAN</t>
  </si>
  <si>
    <t>All that residential Flat/Apartment No. 701, admeasuring 92.44 Sq. Mtrs. (i.e. approximately 995.01 Sq. Feet), situated on the 7th Floor, in “D” Building of the project known as “Maestros”, constructed on land bearing Survey No. 60/7, situated at Village – Wanawadi (Wanorie), Taluka – Haveli, District – Pune, within the limits of Pune Municipal Corporation, along with the right to use one car parking space, together with all easements, rights and appurtenances thereto.</t>
  </si>
  <si>
    <t>77000251190_2</t>
  </si>
  <si>
    <t>All that residential Flat/Apartment No. 701-B, admeasuring 88.72 Sq. Mtrs. (i.e. approximately 955.00 Sq. Feet), situated on the 7th Floor, in “D” Building of the project known as “Maestros”, constructed on land bearing Survey No. 60/7, situated at Village – Wanawadi (Wanorie), Taluka – Haveli, District – Pune, within the limits of Pune Municipal Corporation, together with undivided share of 0.190% in the land, along with all easements, rights and appurtenances thereto.</t>
  </si>
  <si>
    <t>77000251190_3</t>
  </si>
  <si>
    <t>All that residential Flat/Apartment No. 801, admeasuring 88.26 Sq. Mtrs. (i.e. approximately 949.91 Sq. Feet), situated on the 8th Floor, in “D” Building of the project known as “Maestros”, constructed on land bearing Survey No. 60/7, situated at Village – Wanawadi (Wanorie), Taluka – Haveli, District – Pune, within the limits of Pune Municipal Corporation, together with adjoining terrace and terrace appurtenant to the said flat admeasuring in aggregate 157.93 Sq. Mtrs., along with undivided share of 0.190% in the land, together with all easements, rights and appurtenances thereto.</t>
  </si>
  <si>
    <t>Hadapsar</t>
  </si>
  <si>
    <t>Bharat Motkar</t>
  </si>
  <si>
    <t>All that piece and parcel of property admeasuring of H. 00-01.39 Ares, i.e. 139.40 sq. mtrs., i.e. 1500 sq. feets., out of land bearing Survey No. 39/2/3, having an area admeasuring of H. 00-83 Ares, assessed at Rs. 05-25 Paise, situated at Village – Manjari Budruk, Taluka – Haveli, District – Pune</t>
  </si>
  <si>
    <t>Chinchwad</t>
  </si>
  <si>
    <t>Dhananjay Kulkarni</t>
  </si>
  <si>
    <t>Resale Home Loan</t>
  </si>
  <si>
    <t>All that piece and parcel of residential Flat bearing No. 104, situated on the First Floor in Wing ‘O’ of the building known as “Hubtown Countrywoods”, constructed on a part of the land bearing Survey No. 45/1/1 and other Hissa Numbers, admeasuring in aggregate 17 Hectares 27.1686 Ares (i.e. 1,72,716.86 Sq. Mtrs.), out of which an area admeasuring 11,969.99 Sq. Mtrs. is earmarked for the said project and out of which the building is constructed on land admeasuring 1,293.63 Sq. Mtrs., situated at Village Kondhwa Budruk, Taluka Haveli, District Pune, within the limits of Pune Municipal Corporation, the said Flat admeasuring Carpet Area 64.01 Sq. Mtrs. along with additional saleable terrace area admeasuring 3.43 Sq. Mtrs., together with one stilt car parking space and all easements, rights and appurtenances attached thereto.</t>
  </si>
  <si>
    <t>Shubham Tayade</t>
  </si>
  <si>
    <t>All that piece and parcel of property bearing H. 00-00.50 Ares, i.e. 500 sq. feets., out of Survey No. 79/13/10, having an area admeasuring of H. 00-01.50 Ares, assessed at Rs. 00-05 Paise, situated at Village – Rahatani, Taluka – Haveli, District – Pune</t>
  </si>
  <si>
    <t>Kolhapur</t>
  </si>
  <si>
    <t>Bharat Sanjay Vaidya</t>
  </si>
  <si>
    <t>Apana Ghar Self Construction</t>
  </si>
  <si>
    <t>All that piece and parcel of non-agricultural property admeasuring 47.46 Sq. Mtrs., together with a residential house constructed in the year 2011, built with brick and mud walls and having a cement sheet roof, admeasuring 330 Sq. Ft., constructed on the land bearing CTS No. 460, situated at Village – Chandur, Taluka – Hatkanangale, District – Kolhapur</t>
  </si>
  <si>
    <t>Abhijeet Auto Components Pvt Ltd</t>
  </si>
  <si>
    <t xml:space="preserve">1) Mr. Jitendrakumar Narayan Singh 
2) Mr. Arunkumar Narayan Singh 
3) Mr. Santoshkumar Narayan Singh
</t>
  </si>
  <si>
    <t>BT + TOP-UP</t>
  </si>
  <si>
    <t>All that piece and parcel of property admeasuring of H. 00-05 Ares, out of Survey No. 35, Hissa No. 2/1, having an area admeasuring of H. 01-30.50 Ares, together with Pot-Kharab area admeasuring of H. 00-33 Ares, i.e. total area admeasuring of H. 01-63.50 Ares, assessed at Rs. 02-62 Paise, situated at Village – Uruli Devachi, Taluka – Haveli, District – Pune</t>
  </si>
  <si>
    <t>Mr.Umravati Jakkappa Patil</t>
  </si>
  <si>
    <t>Umesh Jakkappa Patil</t>
  </si>
  <si>
    <t>HL Premium Seller BT</t>
  </si>
  <si>
    <t>All that piece and parcel of non-agricultural property bearing Plot No. 5, having an area admeasuring of 104.80 sq. mtrs., together with construction of RCC building having an area admeasuring of 1150 sq. feets., carved out of Gat No. 282, Hissa No. 26, having an area admeasuring of H. 00-19 Ares, assessed at Rs. 00-22 Paise, situated at Village – Gokul Shirgaon, Taluka – Karveer, District – Kolhapur</t>
  </si>
  <si>
    <t>Subhash Shamrao Patil</t>
  </si>
  <si>
    <t>Suman Subhash Patil</t>
  </si>
  <si>
    <t>Apana Ghar Regular</t>
  </si>
  <si>
    <t>All that piece and parcel of non-agricultural property admeasuring of H. 00-02 Ares, i.e. 200 sq. mtrs., out of Survey No. 15, Hissa No. 3/1, having total area admeasuring of H. 00-32 Ares, assessed at Rs. 04-25 Paise, situated at Village – Kokrud, Taluka – Shirala, District – Sangli</t>
  </si>
  <si>
    <t>Tajmohammad</t>
  </si>
  <si>
    <t>Khairul Nesha</t>
  </si>
  <si>
    <t>All that piece and parcel of property admeasuring of Gat No. 298/1A/Plot No./37, having an area admeasuring of 66 sq. mtrs., together with RCC building consisting of Ground Floor having built-up area admeasuring of 52.80 sq. mtrs., and First Floor having built-up area admeasuring of 52.80 sq. mtrs., i.e. total built-up area admeasuring of 105.60 sq. mtrs., situated at Village – Kalambe Tarfe Thane, Taluka – Karveer, District – Kolhapur</t>
  </si>
  <si>
    <t>Tanaji Rau Vithekar</t>
  </si>
  <si>
    <t>Apana Ghar Regular (HL Self Construction)</t>
  </si>
  <si>
    <t>All that piece and parcel of the non-agricultural property bearing CTS No. 65, admeasuring 174.09 Sq. Mtrs., together with an existing structure constructed of stone, brick and mud, having a built-up area admeasuring 52.12 Sq. Mtrs., situated at Village Akurde, Taluka Panhala, District Kolhapur</t>
  </si>
  <si>
    <t>Jagdish Mohanram Mahariya</t>
  </si>
  <si>
    <t>Dhannaram Mohanram Maharia</t>
  </si>
  <si>
    <t>LAP</t>
  </si>
  <si>
    <t>All that piece and parcel of property admeasuring of H. 00-14 Ares, out of Gat No. 54, having an area admeasuring of H. 00-85 Ares, together with Pot-Kharab area admeasuring of H. 00-09 Ares, assessed at Rs. 01-75 Paise, situated at Village – Vikaswadi, Taluka – Karveer, District – Kolhapur</t>
  </si>
  <si>
    <t>Kanisfatima Imran Shaikh</t>
  </si>
  <si>
    <t xml:space="preserve">Imran Anwar Shaikh </t>
  </si>
  <si>
    <t>All that piece and parcel of the property being Flat No. 122, admeasuring 693 Sq. Ft. i.e. 64.38 Sq. Mtrs. saleable area, situated on the Sixth Floor, in Wing “A” of the building known as “Waghere Towers”, constructed on the land bearing Survey No. 101/1B, CTS No. 6449 (part), situated at Village Pimpri Waghere, within the limits of Pimpri Chinchwad Municipal Corporation, Taluka Haveli, District Pune, together with all rights, easements and appurtenances thereto.</t>
  </si>
  <si>
    <t>Vishrantwadi</t>
  </si>
  <si>
    <t>Seema Abhijeet Rithe</t>
  </si>
  <si>
    <t xml:space="preserve"> Nilesh Soundade</t>
  </si>
  <si>
    <t>All that piece and parcel of the property being Flat No. 351, admeasuring 928 Sq. Ft. i.e. 86.25 Sq. Mtrs. carpet area, along with terrace admeasuring 109 Sq. Ft. i.e. 10.13 Sq. Mtrs., situated on the Third Floor, in Building No. “I” (Tropica I Co-operative Housing Society Limited) of the project known as “Tropica”, constructed on land bearing Survey Nos. 56/1A, 57/2, 58/1A and 57/1B, situated at Village Ravet, Taluka Haveli, District Pune, within the limits of Pimpri Chinchwad Municipal Corporation, together with Car Parking No. 727 (below central podium garden), bearing Property No. 1150103129.00 and Electricity Consumer No. 170074482328, along with all rights, easements and appurtenances thereto.</t>
  </si>
  <si>
    <t>Anand Masurkar</t>
  </si>
  <si>
    <t>Kharadi</t>
  </si>
  <si>
    <t>Amit Arvind Kadam</t>
  </si>
  <si>
    <t>Pallavi Amit Kadam</t>
  </si>
  <si>
    <t>Balance Transfer</t>
  </si>
  <si>
    <t>All that piece and parcel of the property being Apartment No. 1304, admeasuring 53.52 Sq. Mtrs. carpet area, along with adjoining open balcony admeasuring 7.68 Sq. Mtrs., situated on the Thirteenth Floor, in Building No. “B” of the project known as “Yashada Supreme”, constructed on land bearing Gat No. 96 admeasuring 2 H 25 R (including Pot Kharaba area 0 H 3 R) and Gat No. 97 admeasuring 0 H 64 R (including Pot Kharaba area 0 H 1 R), aggregating to total land admeasuring 2 H 30 R, situated at Village Dudulgaon, Taluka Haveli, District Pune, within the limits of Pimpri Chinchwad Municipal Corporation, together with all rights, easements and appurtenances thereto.</t>
  </si>
  <si>
    <t>Santosh Hirappa Sutar</t>
  </si>
  <si>
    <t>Suraj Hirappa Sutar</t>
  </si>
  <si>
    <t>Non Home Loan LAP</t>
  </si>
  <si>
    <t>All that piece and parcel of properties bearing-
a.        Plot No. 1, having an area admeasuring of 147.98 sq. mtrs., 
b.        Plot No. 2, having an area admeasuring of 141.47 sq. mtrs., 
c.        Plot No. 3, having an area admeasuring of 150.67 sq. mtrs., 
d.        Plot No. 4, having an area admeasuring of 159.88 sq. mtrs., 
i.e. total area admeasuring of 600 sq. mtrs., carved out of entire land bearing R.S. No. 237/3/A, having total area admeasuring of H. 00-17.95 Ares, assessed at Rs. 02-10 Paise, situated at Village – Gokul Shirgaon, Taluka – Karveer, District – Kolhapur</t>
  </si>
  <si>
    <t>Mahika Sales and Services Private Limited</t>
  </si>
  <si>
    <t>Mr. Mahendrakumar Pandit Patil 
Mrs. Kavita Mahendrakumar Patil</t>
  </si>
  <si>
    <t>Plot Purchase</t>
  </si>
  <si>
    <t>All that piece and parcel of the plot being Plot No. D–13, admeasuring 86.40 Sq. Mtrs., together with proportionate (pro-rata) built-up area admeasuring 49.784 Sq. Mtrs., aggregating to total area admeasuring 136.184 Sq. Mtrs., having total permissible built-up area admeasuring 144.82 Sq. Mtrs., being part of the sanctioned layout known as “Sai Kuber Jewel”, as per Layout Plan bearing No. BP/Layout/Dudulgaon/37/2024 dated 12.07.2024 sanctioned by Pimpri Chinchwad Municipal Corporation, constructed on the land bearing Survey No. 216/1A, admeasuring 3789 Sq. Mtrs., situated at Village Dudulgaon, within the limits of Pimpri Chinchwad Municipal Corporation, Taluka Haveli, District Pune, together with all rights, easements and appurtenances thereto</t>
  </si>
  <si>
    <t>Amar Keshav Khote</t>
  </si>
  <si>
    <t>Shubhangi Amar Khote</t>
  </si>
  <si>
    <t>All that piece and parcel of the property being Apartment/Flat No. 311, admeasuring 37.77 Sq. Mtrs. carpet area, along with balcony admeasuring 4.59 Sq. Mtrs. and one covered car parking space, situated on the Second Residential Habitable Floor, in Building/Tower “D” of the project known as “Life Republic – Sector R-10 / Avenue-10 (Universe) Phase-4”, constructed on land bearing New Survey No. 86 (Old Survey No. 78/1 Part, 80, 81 Part and others), New Survey No. 74/B (Old Survey No. 74/2, 74/3, 74/9/2 and others) and out of Survey Nos. 124/1/1 (Part), 124/1/2 (Part), 124/2 (Part) and others, situated at Villages Jambe, Nere and Marunji, Taluka Mulshi, District Pune, together with all rights, easements and appurtenances thereto.</t>
  </si>
  <si>
    <t>Akash Kale</t>
  </si>
  <si>
    <t>Swati Kale</t>
  </si>
  <si>
    <t>Plot + Construction</t>
  </si>
  <si>
    <t>All that piece and parcel of property bearing Private Plot No. 40, having an area admeasuring of H. 00-00.98 Ares, i.e. 1058 sq. fees., out of the project known as Sai Balaji Greens carved out of land bearing Survey No. 7, Hissa No. 6/6, admeasuring of H. 00-21 Ares, assessed at Rs. 00-75 Ares, situated at Village – Manjari Budruk, Taluka – Haveli, District – Pune</t>
  </si>
  <si>
    <t>Subrata Nitai Patra</t>
  </si>
  <si>
    <t>Nil</t>
  </si>
  <si>
    <t>LAP BT + TOP UP</t>
  </si>
  <si>
    <t>All that piece and parcel of the property being Residential Apartment No. 7, admeasuring 74.34 Sq. Mtrs. built-up area, situated on the Third Floor, in the building known as “Vitthal Rukhmini Apartment”, constructed on the land bearing City Survey No. 477-A, situated at Raviwar Peth (Gaothan), Pune, Taluka Haveli, District Pune, within the local limits of Pune Municipal Corporation, Pune together with 12.86% undivided share in the common areas and facilities and all other rights, easements and appurtenances thereto.</t>
  </si>
  <si>
    <t>Eknath Govind Pardeshi</t>
  </si>
  <si>
    <t>Gayatri Eknath Pardeshi</t>
  </si>
  <si>
    <t xml:space="preserve">All that piece and parcel of proeprty bearing Flat No. A-7, having an area admeasuring of 500 sq. feets, situated ont eh Stilt Floor, out of the society known as "Gokul Park Co-Operative Housing Society Limited", constructed on the land bearing Plot No. RH-91/2, G-Block, MIDC, situated at Village - Akurdi, Taluka - Haveli, District - Pune and within local limits of Pimpri Chinchwad Municipal Corporation, Pimpri and wihtin jurisdiction of MIDC, Pimpri. </t>
  </si>
  <si>
    <t xml:space="preserve">Prem Wilfred alosias Paul Monis </t>
  </si>
  <si>
    <t>Zitha Pinto</t>
  </si>
  <si>
    <t>HL Resale</t>
  </si>
  <si>
    <t>All that piece and parcel of property bearing Flat No. B-404, having an area admeasuring of 55.28 sq. mtrs., i.e. 595 sq. feets., (Carpet), along with terrace area admeasuring of 4.18 sq. mtrs., i.e. 45 sq. feets., situated on the Fourth Floor, out of the project known as “Nital Residency”, constructed on the entire land property, i.e. Survey No. 35, Hissa No. 1, situated at Village – Narhe, Taluka – Haveli, District – Pune and within local limits of Pune Municipal Corporation, Pune.</t>
  </si>
  <si>
    <t>Deepali</t>
  </si>
  <si>
    <t>Mr. Omprakash Sharma</t>
  </si>
  <si>
    <t>Mrs. Kiran Devi, W/o. Omprakash Sharma</t>
  </si>
  <si>
    <t>All that piece and parcel of the Flat No.301 admeasuring 25.35 Sq. Mtrs. (Carpet Area) along with Enclosed Balcony admeasuring 7.45 Sq. Mtrs. and Open Balcony admeasuring 2.80 Sq. Mtrs. on the Third Floor, in the said project known as "Lotus Residency", constructed on the Private Plot No. 11 and 12 carved out of Survey No. 13/1A/3/2, situated at Village – Mamrudi, Taluka – Haveli, District – Pune and within local limits of Pimpri Chinchwad Municipal Corporation, Pimpri.</t>
  </si>
  <si>
    <t>77000251175_1</t>
  </si>
  <si>
    <t xml:space="preserve">Aaiji Developers </t>
  </si>
  <si>
    <t>Jiwaram Magaji Choudhary 
Suresh Jiwaram Choudhary
Hemant Jiwaram Choudhary</t>
  </si>
  <si>
    <t>Lap Commercial</t>
  </si>
  <si>
    <t>All that piece and parcel of property bearing Office No. 401, having carpet area admeasuring of 714.50 sq. mtrs., situated on the Fourth Floor, out of the project known as “Solitaire Business Hub – Baner”, constructed on the entire land bearing Survey No. 3/7B,+ 9 situated at Village Baner, Taluka – Haveli, District – Pune and within local limits of Pune Municipal Corporation, Pune.</t>
  </si>
  <si>
    <t>34A</t>
  </si>
  <si>
    <t>77000251175_2</t>
  </si>
  <si>
    <t>All that piece and parcel of property bearing Office No. 501, having carpet area admeasuring of 714.50 sq. mtrs., situated on the Fifth Floor, out of the project known as “Solitaire Business Hub – Baner”, constructed on the entire land bearing Survey No. 3/7B,+ 9 situated at Village Baner, Taluka – Haveli, District – Pune and within local limits of Pune Municipal Corporation, Pune.</t>
  </si>
  <si>
    <t>Anand Madhukar Patil</t>
  </si>
  <si>
    <t>Rupali Anand patil</t>
  </si>
  <si>
    <t>Regular HL BT+ TOP-UP</t>
  </si>
  <si>
    <t>All that piece and parcel of the property bearing Plot No. 64A out of Gut No. 546/1/B/64/A (formed under Gunthewari), admeasuring 204.46 Sq. Mtrs. i.e. 2200 Sq. Ft., situated at E Ward, Kasba Bawda, within the limits of Kolhapur Municipal Corporation, together with a structure thereon comprising a tin shed construction admeasuring 45.00 Sq. Mtrs. (built-up), along with all rights, easements and appurtenances attached thereto</t>
  </si>
  <si>
    <t>Dipak Sambhaji Kadam</t>
  </si>
  <si>
    <t>Rahul Sambhaji Kadam Bharati Rahul Kadam</t>
  </si>
  <si>
    <t>Regular P+C</t>
  </si>
  <si>
    <r>
      <rPr>
        <rFont val="Calibri"/>
        <b/>
        <sz val="8.0"/>
      </rPr>
      <t xml:space="preserve">A ward Karvir Kolhapur </t>
    </r>
    <r>
      <rPr>
        <rFont val="Calibri"/>
        <b/>
        <color rgb="FF1155CC"/>
        <sz val="8.0"/>
        <u/>
      </rPr>
      <t>S.No</t>
    </r>
    <r>
      <rPr>
        <rFont val="Calibri"/>
        <b/>
        <sz val="8.0"/>
      </rPr>
      <t>.896</t>
    </r>
  </si>
  <si>
    <t xml:space="preserve"> Satish Mahadev Vetale</t>
  </si>
  <si>
    <t xml:space="preserve"> Radhika Satish Vetale</t>
  </si>
  <si>
    <t>Kasababavda Kolhapur S.No.1476</t>
  </si>
  <si>
    <t xml:space="preserve"> Suhas Appasaheb Gavali</t>
  </si>
  <si>
    <t>Rajshri Suhas Gavali</t>
  </si>
  <si>
    <t>Regular Lap BT+Topup</t>
  </si>
  <si>
    <r>
      <rPr>
        <rFont val="Calibri"/>
        <b/>
        <sz val="8.0"/>
      </rPr>
      <t xml:space="preserve">A ward Karvir Kolhapur </t>
    </r>
    <r>
      <rPr>
        <rFont val="Calibri"/>
        <b/>
        <color rgb="FF1155CC"/>
        <sz val="8.0"/>
        <u/>
      </rPr>
      <t>S.No</t>
    </r>
    <r>
      <rPr>
        <rFont val="Calibri"/>
        <b/>
        <sz val="8.0"/>
      </rPr>
      <t>. 858</t>
    </r>
  </si>
  <si>
    <t>Vijendrasingh m tak</t>
  </si>
  <si>
    <t xml:space="preserve"> LAP</t>
  </si>
  <si>
    <r>
      <rPr>
        <rFont val="Calibri"/>
        <b/>
        <sz val="8.0"/>
      </rPr>
      <t xml:space="preserve">Lohagaon </t>
    </r>
    <r>
      <rPr>
        <rFont val="Calibri"/>
        <b/>
        <color rgb="FF1155CC"/>
        <sz val="8.0"/>
        <u/>
      </rPr>
      <t>S.No</t>
    </r>
    <r>
      <rPr>
        <rFont val="Calibri"/>
        <b/>
        <sz val="8.0"/>
      </rPr>
      <t>.71</t>
    </r>
  </si>
  <si>
    <t>Prabhakar Nagesh Tandale</t>
  </si>
  <si>
    <t>Aruna Prabhakar Tandale</t>
  </si>
  <si>
    <t>Builder Purchase Non APF</t>
  </si>
  <si>
    <t>All that piece and parcel of the Flat No. 403, admeasuring Carpet Area 37.44 Sq. Mtrs. along with Sit-out Area 3.57 Sq. Mtrs., situated on the Fourth Floor, in Building “D” (EWS) of the project known as “Gangadham Towers”, constructed on the land bearing CTS No. 370, Hissa No. 4 (earlier Survey No. 578, Hissa No. 2), situated at Village Bibwewadi (Munjeri), Taluka Pune City, District Pune, within the limits of Pune Municipal Corporation.</t>
  </si>
  <si>
    <t>Patansing Patlawat</t>
  </si>
  <si>
    <t>Nande Pune S.No.35</t>
  </si>
  <si>
    <t xml:space="preserve"> Bhagwandatta Varma </t>
  </si>
  <si>
    <t xml:space="preserve">Nirmala Varma </t>
  </si>
  <si>
    <t>Lap</t>
  </si>
  <si>
    <t>All that piece and parcel of the property being Flat No. 13, admeasuring 850 Sq. Ft. i.e. 78.99 Sq. Mtrs., situated on the Second Floor, in Wing “B” of Building “B”, in the building known as “Swapnanagari”, constructed on land bearing Gat Nos. 381, 382, 383, 384, 385, 386, 370, 390 and 484/3, admeasuring total non-agricultural area 44,476.91 Sq. Mtrs., situated at Village Chakan, Taluka Khed, District Pune, together with all rights, easements and appurtenances thereto.</t>
  </si>
  <si>
    <t xml:space="preserve">Pawan Tukaram Bhosale </t>
  </si>
  <si>
    <t>Sharada Tukaram Bhosale</t>
  </si>
  <si>
    <t>Resale Purchase - Apana Ghar Regular</t>
  </si>
  <si>
    <t>All that piece and parcel of Flat No. 201, admeasuring 47.08 Sq. Mtrs. carpet area and 62.45 Sq. Mtrs. super built-up area, situated on the Second Floor of the building known as “Tulip Buds”, constructed on land bearing R.S. No. 529/1, T.P. Scheme No. 3, Final Plot No. 30 (Part), situated at Kasba Karveer, Taluka Karveer, ‘E’ Ward, Kolhapur.</t>
  </si>
  <si>
    <t>Narayan</t>
  </si>
  <si>
    <t>77000244864 and 7792149821</t>
  </si>
  <si>
    <t>Sangeeta Yogesh Hajare</t>
  </si>
  <si>
    <t>Yogesh Ajitsingh Hajare</t>
  </si>
  <si>
    <t>NRP Purchase</t>
  </si>
  <si>
    <t>All that piece and parcel of Shop No. 3 admeasuring about 31.97 Sq. Mtrs. (Built-up) i.e. 344 Sq. Ft., along with Loft admeasuring about 11.99 Sq. Mtrs. i.e. 129 Sq. Ft. and open space in front of the said shop admeasuring about 32.53 Sq. Mtrs. i.e. 350 Sq. Ft., situated on the Stilt and Upper Ground Floor in Building “B”, known as Meenakshi Puram B Building Co-operative Housing Society Ltd., constructed on land bearing Survey No. 42/1 (Part), situated at Village Wadgaon Budruk, Taluka Haveli, District Pune, within the limits of Pune Municipal Corporation, along with all rights, easements and appurtenances attached thereto.</t>
  </si>
  <si>
    <t xml:space="preserve">Mayur Shankar Amrale </t>
  </si>
  <si>
    <t>Kunal Shankar Amrale</t>
  </si>
  <si>
    <t>Case self contraction</t>
  </si>
  <si>
    <t>All that piece and parcel of property bearing CTS No. 41, having an area admeasuring of 164.31 sq. mtrs., situated at Village – Ambethan, Taluka – Khed, District – Pune.</t>
  </si>
  <si>
    <t>Saumya Umeshkumar Trivedi</t>
  </si>
  <si>
    <t xml:space="preserve"> HL Resale</t>
  </si>
  <si>
    <t>All that piece and parcel of the Flat No. 601, admeasuring Carpet Area 41.17 Sq. Mtrs. i.e. 443 Sq. Ft. along with additional saleable terrace area admeasuring 3.25 Sq. Mtrs. i.e. 35 Sq. Ft., situated on the Sixth Floor of Wing “H” in the project known as “Akruti Countrywoods”, constructed on land bearing Survey Nos. 45/1/1, 45/1/4, 45/1/4/1, 45/1/4/6, 45/1/4/8A, 45/2/1, 45/2/2, 45/3/1, 45/3/2, 45/3/3, 45/3/9, 45/3/11, 45/3/14 (part), 45/3/15, 45/3/16, 45/3/17, 45/3/18, 45/4/1, 45/4/2 (part), 45/5/1, 45/5/2, 45/5/4, 45/5/5 and its sub-divisions, 45/5/6, 45/5/7, 45/5/9, 45/5/13, 45/5/15, 45/5/16, 45/6/1 (part), 45/6/2, 45/6/3, 45/6/4 and its sub-divisions, 45/6/5, 45/6/6, 45/7/1, 45/7/2, 45/7/3, 45/7/4, 45/7/5 and its sub-divisions, 45/7/6 (part), 45/7/7, 45/7/8 and its sub-divisions, 45/7/9 and its sub-divisions, 45/3/10, 45/3/12, 45/3/13, 45/3/19, 45/3/20, 45/3/21, 45/3/22 and its sub-divisions, 45/5/3, 45/5/8, 45/5/10, 45/5/11, 45/5/12 and its sub-divisions, 45/5/14, together admeasuring in aggregate about 17 Hectares 29.3386 Ares i.e. 172,933.86 Sq. Mtrs., out of which land admeasuring 54,339.99 Sq. Mtrs. is developed for the said project, situated at Village Kondhwa Budruk, Taluka Haveli, District Pune, within the limits of Pune Municipal Corporation, together with all rights, easements and appurtenances attached thereto.</t>
  </si>
  <si>
    <t>Jyoti Mahadev Sandur</t>
  </si>
  <si>
    <t>All that piece and parcel of the residential flat bearing Flat No. 1, admeasuring Built-up Area 530 Sq. Ft. (i.e. 49.25 Sq. Mtrs.), situated on the Ground Floor, in Wing “A” of the building known as “Shivtirth Apartment”, constructed on the entire land property bearing Survey No. 37, Hissa No. 4, situated at Village - Dhanakwadi, Taluka Haveli, District Pune, and within local limits of Pune Municipal Corporation, Pune.</t>
  </si>
  <si>
    <t>waman jadhav</t>
  </si>
  <si>
    <t>mahananda jadhav</t>
  </si>
  <si>
    <t>resale( seller BT)</t>
  </si>
  <si>
    <t>All that piece and parcel of the Flat No. 1, admeasuring 48.60 Sq. Mtrs., together with adjoining terrace admeasuring 46 Sq. Ft. i.e. 4.27 Sq. Mtrs. (built-up), situated on the First Floor of the building known as “Pratibha Apartment”, constructed on land bearing Survey Nos. 23, 24, 55, 57 and 58 corresponding to City Survey No. 23, out of Plot No. 80, situated at Village Karvenagar, Taluka Haveli, District Pune.</t>
  </si>
  <si>
    <t>Rushi kale</t>
  </si>
  <si>
    <t xml:space="preserve"> Gorakh kale</t>
  </si>
  <si>
    <r>
      <rPr>
        <rFont val="Calibri"/>
        <b/>
        <sz val="8.0"/>
      </rPr>
      <t xml:space="preserve">Hadapsar </t>
    </r>
    <r>
      <rPr>
        <rFont val="Calibri"/>
        <b/>
        <color rgb="FF1155CC"/>
        <sz val="8.0"/>
        <u/>
      </rPr>
      <t>S.No</t>
    </r>
    <r>
      <rPr>
        <rFont val="Calibri"/>
        <b/>
        <sz val="8.0"/>
      </rPr>
      <t>. 231</t>
    </r>
  </si>
  <si>
    <t>7040506640(SIR)</t>
  </si>
  <si>
    <t>Riverview city construction Ltd</t>
  </si>
  <si>
    <t>7030156651(MAIL)</t>
  </si>
  <si>
    <t>Rekha Ankush Kongale</t>
  </si>
  <si>
    <t>Ankush Vyankat Kongale</t>
  </si>
  <si>
    <t>BUILDER PURCHASE</t>
  </si>
  <si>
    <t>All that piece and parcel of the residential premises being Flat No. 705, situated at Seventh Floor, admeasuring about 427.87 Sq. ft. = 39.76 Sq. mtrs. carpet alongwith balcony admeasuring about 50.26 Sq. ft. = 4.67 Sq. mtrs. thus total admeasuring about 478.13 Sq. ft. = 44.42 Sq. mtrs. in the building of Nakshatra Residency Cooperative Housing Society Ltd. constructed on land Survey No. 43, Hissa No. 7/2A/1/1 and Survey No. 43, Hissa No. 7/2B, situated at Village Katraj, Taluka Haveli, District Pune and within local limits of Pune Municipal Corportion, Pune.</t>
  </si>
  <si>
    <t xml:space="preserve">Kharadi </t>
  </si>
  <si>
    <t xml:space="preserve">Sambhaji Vasant Choudhary </t>
  </si>
  <si>
    <t>Plot + Contruction</t>
  </si>
  <si>
    <t>All that piece and parcel of non-agricultural property admeasuring of H. 00-04 Ares, out of Gat No. 991, having an area admeasuring of H. 01-32 Ares, assessed at Rs. 03-06 Paise, situated at Village – Ranjangao Ganpati, Taluka – Shirur, District – Pune</t>
  </si>
  <si>
    <t xml:space="preserve"> Virendra Krushnat Patil</t>
  </si>
  <si>
    <t>home loan</t>
  </si>
  <si>
    <t>All that piece and parcel of property admeasuring of 31.66 sq. mtrs., out of non-agricultural property bearing CTS No. 2874, having an area admeasuring of 47.5 sq. mtrs., situated at Village – Kodoli, Taluka – Panhala, District Kolhapur.</t>
  </si>
  <si>
    <t>Kedar Narayan Khandagale</t>
  </si>
  <si>
    <t>Surekha Narayan Khandagle</t>
  </si>
  <si>
    <t>Home Loan Resale</t>
  </si>
  <si>
    <r>
      <rPr>
        <rFont val="Calibri"/>
        <b/>
        <sz val="8.0"/>
      </rPr>
      <t xml:space="preserve">Kandal Gaon Kolhapur </t>
    </r>
    <r>
      <rPr>
        <rFont val="Calibri"/>
        <b/>
        <color rgb="FF1155CC"/>
        <sz val="8.0"/>
        <u/>
      </rPr>
      <t>S.No</t>
    </r>
    <r>
      <rPr>
        <rFont val="Calibri"/>
        <b/>
        <sz val="8.0"/>
      </rPr>
      <t>. 106</t>
    </r>
  </si>
  <si>
    <t>Makuniversal Infratech India Private Limited</t>
  </si>
  <si>
    <t>piyush pandit ,nandkumar pandit ,jyoti pandit</t>
  </si>
  <si>
    <t>LAP case</t>
  </si>
  <si>
    <t>9112040427 (NLK Mobile)</t>
  </si>
  <si>
    <t>Pooja</t>
  </si>
  <si>
    <t>Vitthal Maruti Mane</t>
  </si>
  <si>
    <t>All that piece and parcel of property bearing L Room No. 210, having an area admeasuring of 25.95 Sq. Mtrs. (Carpet Area 15.09 Sq. Mtrs. + Terrace Area 10.86 Sq. Mtrs.), situated on the Second Floor, in Building known as “Udyam Bizcasa”, out of the project known as “Udyam Bizcasa”, constructed/to be constructed on the entire land property, i.e. Survey No. 128/2 (Old Survey No. 128), situated at Village – Saswad, Taluka – Purandar, District – Pune and within local limits of Saswad Municipal Council.</t>
  </si>
  <si>
    <t>Document hard copy</t>
  </si>
  <si>
    <t>Satish Kumar Pandey</t>
  </si>
  <si>
    <t>Mamata Satishkumar Pandey</t>
  </si>
  <si>
    <t>Builder Purshases</t>
  </si>
  <si>
    <t>All that piece and parcel of property bearing Office No. 450, having an area admeasuring of 30.65 sq. mtrs. Situated on the 4th Floor, out of the project known as “Shakuntal Commercia”, being constructed on the entire land property, i.e. Gat No. 68, situated at Village – Chikhali, Taluka – Haveli, District – Pune and within local limits of Pimpri Chinchwad Municipal Corporation, Pimpri.</t>
  </si>
  <si>
    <t>Riveriew City</t>
  </si>
  <si>
    <t xml:space="preserve">Abduljalil Farooque ansari </t>
  </si>
  <si>
    <t>Jaibunnisa Abduljalil Ansari</t>
  </si>
  <si>
    <t xml:space="preserve"> Lap Residential</t>
  </si>
  <si>
    <r>
      <rPr>
        <rFont val="Calibri"/>
        <b/>
        <sz val="8.0"/>
      </rPr>
      <t xml:space="preserve">Chikhali </t>
    </r>
    <r>
      <rPr>
        <rFont val="Calibri"/>
        <b/>
        <color rgb="FF1155CC"/>
        <sz val="8.0"/>
        <u/>
      </rPr>
      <t>S.No</t>
    </r>
    <r>
      <rPr>
        <rFont val="Calibri"/>
        <b/>
        <sz val="8.0"/>
      </rPr>
      <t>.741</t>
    </r>
  </si>
  <si>
    <t>Main Group</t>
  </si>
  <si>
    <t>Aditya Vijay Wadekar</t>
  </si>
  <si>
    <t>Vijay Sitaram Wadekar</t>
  </si>
  <si>
    <t>All that piece and parcel of property bearing Flat No. A-11, having an area admeasuring of 875 sq. feets., i.e. 81.31 sq. mtrs., situated on the Third Floor, out of the project known as “Rajlaxmi Glory”, constructed on the entire land property, i.e. Plot No. 2, carved out of Gat No. 490/1, (Old Gat No. 1842), situated at Village – Medankarwadi, Taluka – Khed, District – Pune.</t>
  </si>
  <si>
    <t>8600751454 Sir whats up</t>
  </si>
  <si>
    <t>MRUNALINI Vishwas Tongale</t>
  </si>
  <si>
    <t xml:space="preserve">Viraj Vishwas Tongale </t>
  </si>
  <si>
    <t>All that piece and parcel of property bearing Shop (Store) No. 32, having an area admeasuring of 175 sq. feets., i.e. 16.26 sq. mtrs., situated on the Ground Floor, out of the project known as “Khandage Arcade”, constructed on the land bearing CTS No. 1158 to 1184, situated at Village – Talegaon Dabhade (Shahari), Taluka – Mawal, District – Pune.</t>
  </si>
  <si>
    <t>9307166109 Sir Whats up</t>
  </si>
  <si>
    <t>77000253345_1</t>
  </si>
  <si>
    <t>M/s. Wakadkar Brothers</t>
  </si>
  <si>
    <t>Mr. Vishal Yashwant Wakadkar
Mr. Yashwant Sopan Wakadkar</t>
  </si>
  <si>
    <t>LAP - RESI</t>
  </si>
  <si>
    <t>All that residential Flat bearing No. 406, situated on the 4th Floor, admeasuring 631 Sq. Ft. saleable built-up area along with terrace, in the project known as “Atelier”, constructed on the land bearing Survey No. 173/1/1B, situated at Village Mouje Wakad, Taluka Mulshi, District Pune, within the limits of Pimpri Chinchwad Municipal Corporation.</t>
  </si>
  <si>
    <t>9075190961 Sir what up Mail</t>
  </si>
  <si>
    <t>63A</t>
  </si>
  <si>
    <t>77000253345_2</t>
  </si>
  <si>
    <t>All that piece and parcel of property bearing Flat/Apartment No. B-206, having an area admeasuring 65.82 Sq. Mtrs. (Carpet Area 51.10 Sq. Mtrs. + Enclosed Balcony Area 6.11 Sq. Mtrs. + Dry Balcony Area 2.21 Sq. Mtrs. + Terrace Area 6.40 Sq. Mtrs.), situated on the Second Floor, in Wing ‘B’, out of the project known as “Viva ABCD”, constructed/to be constructed on the entire land property bearing Survey Nos. 130/3/1, 130/3/2 and 130/2/4, situated at Village – Wakad, Taluka – Mulshi, District – Pune, within the limits of Pimpri Chinchwad Municipal Corporation.</t>
  </si>
  <si>
    <t>63B</t>
  </si>
  <si>
    <t>77000253345_3</t>
  </si>
  <si>
    <t>All that piece and parcel of property bearing Flat/Apartment No. C-107, having an area admeasuring 76.58 Sq. Mtrs. (Carpet Area 58.42 Sq. Mtrs. + Enclosed Balcony Area 5.34 Sq. Mtrs. + Dry Balcony Area 2.21 Sq. Mtrs. + Terrace Area 10.61 Sq. Mtrs.), situated on the First Floor, in Wing ‘C’, out of the project known as “Viva ABCD”, constructed/to be constructed on the entire land property bearing Survey Nos. 130/3/1, 130/3/2 and 130/2/4, situated at Village – Wakad, Taluka – Mulshi, District – Pune, within the limits of Pimpri Chinchwad Municipal Corporation, along with one car parking space.</t>
  </si>
  <si>
    <t>Abhijeet Janardhan Sharma</t>
  </si>
  <si>
    <t>Atul Sonawane</t>
  </si>
  <si>
    <t>All that piece and parcel of land admeasuring of H. 00-02 Ares i.e. 2000 sq. Feets out of the land bearing Survey No. 51A/1C/1, having an area admeasuring of H. 00-31.29 Ares together with Pot-Kharab area admeasuring of H. 00-01 Ares i.e. total area admeasuring of H. 00-32.29 Ares, assessed at Rs. 00-87 Paise, situated at Village – Hadapsar, Taluka – Haveli, District – Pune and within local limits of Pune Municipal Corporation</t>
  </si>
  <si>
    <t>Prakash Sujaji chaudhary</t>
  </si>
  <si>
    <t>All that piece and parcel of property bearing Flat No. 102, having an area admeasuring of 646 sq. Feets. i.e. 60.01 sq. Mtrs., (Carpet), i.e. 877 sq. Feets., i.e. 81.47 sq. Mtrs., saleable built-up, situated on the First Floor, out of the building constructed on the entire land i.e. CTS No. 307, Village – Rasta Peth, Taluka – Haveli, District – Pune and within local limits of Pune Municipal Corporation, Pune.</t>
  </si>
  <si>
    <t>Sagar Turakhia</t>
  </si>
  <si>
    <t>All that piece and parcel of property admeasuring of H. 00-42 Ares, out of the Gat No. 568, having total area admeasuring of H. 01-01 Ares, assessed at Rs. 10-30 Ares, sitauted at Village – Koregaon Bhima, Taluka – Shirur, District – Pune and which is bounded as under.-</t>
  </si>
  <si>
    <t>Santosh Abnave</t>
  </si>
  <si>
    <t>Flat / Unit No. A3-303, having carpet area admeasuring about 172.09 Sq. Mtrs., along with terrace area admeasuring of 1500 sq. feets., situate on the Third Floor and also allotted 4 Covered Car Parking Space situated at Ground Floor, in the building named “A3”, out of the project known as “Green Ville”, to be constructed on the entire land property, i.e. Survey No. 211, Hissa No. 11, situated at Village – Hadapsar, Taluka – Haveli, District – Pune and within local limits of Pune Municipal Corporation, Pune.</t>
  </si>
  <si>
    <t>kharadi</t>
  </si>
  <si>
    <t>Sakshi ROY</t>
  </si>
  <si>
    <t>All that piece and parcel of Residential Unit bearing No. 8, admeasuring 817 sq. ft. (i.e. 75.90 sq. mtrs.) built-up area, together with attached terrace area admeasuring 40 sq. ft. (i.e. 3.72 sq. mtrs.), situated on the Third Floor of the building known as “Aashiyana Enclave”, constructed on land bearing Survey No. 33, Hissa No. 2, Plot No. 87, situated at Village Dhanori, Taluka Haveli, District Pune, within the limits of Pune Municipal Corporation, along with the exclusive right to use Car Parking Space No. 8, and together with all appurtenant rights, easements and proportionate undivided share in the said land</t>
  </si>
  <si>
    <t>Kanaram Prabhuraj Sirvi</t>
  </si>
  <si>
    <t>By part of Gat No. 568 and approach road from Pune Nagar Road,</t>
  </si>
  <si>
    <t>Akshay Gaikwad</t>
  </si>
  <si>
    <t>On or towards the South</t>
  </si>
  <si>
    <t>Sharad Sonawale( flat no A 601)</t>
  </si>
  <si>
    <t>All that piece and parcel of property bearing Flat No. A 601, having an area admeasuring of 26.49 sq. mtrs., along with open balcony area admeasuring of 1.56 sq. mtrs., situated on the 6th Floor, along with covered car parking area bearing No. A-26, in Building No. “A”, out of the project known as “Happy City Talegaon”, constructed on the entire land property bearing Survey No. 542, Hissa No. 2, (Old S. No. 725), having corresponding CTS No. 4645, situated at Village – Talegaon Dabhade (Shahari), Taluka – Mawal, District – Pune.</t>
  </si>
  <si>
    <t>Sharad Sonawale( flat no A 614)</t>
  </si>
  <si>
    <t>Hereinafter, referred to as the “Subject Flat Property”. All that piece and parcel of property bearing Flat No. 614, having a carpet area admeasuring 26.49 Sq. Mtrs., along with open balcony admeasuring 1.56 Sq. Mtrs., situated on the Sixth Floor, in Building No. “A”, in the project known as “Happy City Talegaon”, constructed on the entire land property bearing Survey No. 542, Hissa No. 2 (Old Survey No. 725), corresponding to CTS No. 4645, admeasuring 8700 Sq. Mtrs., situated at Village – Talegaon Dabhade, Taluka – Mawal, District – Pune.</t>
  </si>
  <si>
    <t>77000223008 and 77000223007</t>
  </si>
  <si>
    <t>Akshada kisan Watekar</t>
  </si>
  <si>
    <t>All that piece and parcel of property bearing Flat No. 407 on Fourth Floor admeasuring Carpet Area 47.50 Sq. Mtrs., along with Open/Normal Balcony admeasuring 5.42 Sq. Mtrs. (total net usable area admeasuring 52.92 Sq. Mtrs.), in Wing “A” of the project known as “7 SAGAR PLAZA”, constructed on the land bearing CTS No. 1212 and 1213, situated at Rajgurunagar (CT), Taluka Khed, District Pune, within the limits of Rajgurunagar Municipal Council.</t>
  </si>
  <si>
    <t>Avinash Pandurang Jadhav</t>
  </si>
  <si>
    <t>All that Row House No. 08 situated on the Ground Floor in the residential project known as “Ganga Village” constructed on land bearing Survey No. 46, Hissa No. 1/1 to 1/8, situated at Village Hadapsar, Taluka Haveli, District Pune, having built-up area admeasuring 1360 Sq. Ft. (126.39 Sq. Mtrs.) together with terrace admeasuring 160 Sq. Ft. (14.68 Sq. Mtrs.), garden admeasuring 285 Sq. Ft. (26.48 Sq. Mtrs.) and car parking area admeasuring 180 Sq. Ft. (16.72 Sq. Mtrs.), along with all rights, easements and appurtenances attached thereto.</t>
  </si>
  <si>
    <t>Jayshree Brahme</t>
  </si>
  <si>
    <t>All that piece and parcel of property bearing Apartment No. 612, having carpet area admeasuring 27.02 sq. mtrs., along with enclosed balcony area admeasuring 7.33 sq. mtrs. and exclusive open terrace area admeasuring 3.57 sq. mtrs., situated on the Sixth Floor, in Building “B” of the project known as “Aishwaryam Hamara Gaurav (Aishwaryam Gaurav)”, together with Single Covered Car Parking bearing No. B2-82 admeasuring 10.12 sq. mtrs., to be constructed upon the land more particularly described in Schedule II, forming part of Gat No. 94 situated at Village Chikhali, Taluka Haveli, District Pune and within the local limits of Pimpri Chinchwad Municipal Corporation.</t>
  </si>
  <si>
    <t>Arjun Rajendra Kudale</t>
  </si>
  <si>
    <t>All that piece and parcel of property bearing Shop No. 2, having an area admeasuring of 19.14 sq. mtrs., i.e. 206 sq. feets., situated on the First Floor, out of the building known as "Naushad Cold Drinks", constructed on the land bearing CTS No. 1448/B, having an area admeasuring of 118.1 sq. mtrs., situated at Village – Akluj, Taluka – Malshiras, District – Solapur.</t>
  </si>
  <si>
    <t>Abhijit Vitthal Jadhav</t>
  </si>
  <si>
    <t>Bagdaram Sakaji Prajapati</t>
  </si>
  <si>
    <t>All that piece and parcel of the Plot bearing No. 46 (Type “D”), admeasuring 4932 Sq. Ft. (i.e. 458.20 Sq. Mtrs.), along with adjoining open space admeasuring 7240 Sq. Ft. (i.e. 672.61 Sq. Mtrs.), forming part of the scheme known as “Emirates Hills”, as per the sanctioned layout plan, constructed on the land bearing Gat Nos. 326, 337, 338, 339, 341, 344, 349, 350, 351, 354 to 369, 371, 372, 373, 380, 381 and 382 (Old Survey Nos. 13/2/1/1, 17 and 18), admeasuring in aggregate 11 Hectares 15.12 Ares (i.e. 1,11,512 Sq. Mtrs.), situated at Village Somatne, Taluka Maval, District Pune, within the jurisdiction of Sub-Registrar, Maval.</t>
  </si>
  <si>
    <t>Hemant Ugale</t>
  </si>
  <si>
    <t>All the piece and parcel of flat property bearing Flat No. 701, admeasuring 663 sq.fts; i.e. 61.593 sq. mtrs; built-up along with attached terrace admeasuring 104 sq.fts; i.e. 9.662 sq. mtrs; which flat is located on the Seventh Floor in the Building ‘B’, of the project known as Suman Shilp Phase-II along with one covered car parking admeasuring 89 sq.fts; i.e. 8.27 sq. mtrs; constructed on the entire land property, i.e. Surve No. 85/1/2, situated at Village – Dighi, Taluka – Haveli, District – Pune and within local limits of Pimpri Chinchwad Municipal Corporation, Pimpri</t>
  </si>
  <si>
    <t>Kishore Chunge</t>
  </si>
  <si>
    <t>All that piece and parcel of Office Premises admeasuring 48.52 sq. mtrs. carpet area (equivalent to 522.08 sq. ft.) bearing No. “EMPORIUS OFFICE – 410”, situated on the 4th Floor of the building known as “NYATI EMPORIUS”, constructed on the said entire land property more particularly described above, together with the exclusive right of use of: (i) enclosed balcony/ies admeasuring 8.32 sq. mtrs. (89.52 sq. ft.), (ii) open terrace/s at eye level admeasuring 11.60 sq. mtrs. (124.82 sq. ft.), (iii) pantry admeasuring 2.81 sq. mtrs. (30.24 sq. ft.), (iv) toilet admeasuring 3.90 sq. mtrs. (41.96 sq. ft.), and (v) lobby/passage admeasuring 5.25 sq. mtrs. (56.49 sq. ft.), appurtenant thereto; along with exclusive right of use of open/covered parking space/s bearing Nos. “EMPORIUS – BP-18 &amp; 18 A (First Basement Floor)” situated in the First Basement Floor of the said building, together with all easements, rights and appurtenances attached thereto.</t>
  </si>
  <si>
    <t>Santosh Shankar Pawar</t>
  </si>
  <si>
    <t>All that piece and parcel of property bearing Flat No. 71, having an area admeasuring of 350 sq. feets., i.e. 32.53 sq. mtrs., situated on the Third Floor, out of the society known as "Amar Baug Co-Operative Housing Society Limited", constructed on the land bearing Survey No. 11/1, 11/2A, having corresponding CTS No. 4200 (Part), situated at Village – Hadapsar, Taluka – Haveli, District – Pune and within local limits of Pune Municipal Corporaiton, Pune.</t>
  </si>
  <si>
    <t>Rahees Ansari</t>
  </si>
  <si>
    <t>All that piece and parcel of property bearing CTS No. 3947, having an area admeasuring of 29.50 sq. mtrs., and the construction of residential building constructed thereon, situated at Village – Akurdi, Taluka – Haveli, District – Pune and within local limits of Pimpri Chinchwad Municipal Corporation, Pimpri and which is bounded as under.- On or towards the East : By the building known as Parvati Nandan, On or towards the West : By Road, On or towards the North : By the property of Mr. Shaikh, On or towards the South : By the property of Mr. Nagarkar.</t>
  </si>
  <si>
    <t>Dhanraj Naval Patil</t>
  </si>
  <si>
    <t>All that piece and parcel of property bearing Flat No. 302 on Third floor admeasuring about 490 Sq.fts. i.e. 45.53 Sq. mtrs. (Built-up) (Inclusive area of Balconies), along with Covered Car parking 100 Sq.fts. i.e. 9.29 Sq.mtrs. in building known as “ ROYAL RESIDENCY” which has been constructed on the entire land proeprty, i.e. Survey No. 76, Hissa No. 4/2, having Plot No. 16 &amp; 17 Village Ravet Taluka Haveli Dist. Pune, within the limits of Pimpri Chinchwad Municipal Corporation, Pimpri.</t>
  </si>
  <si>
    <t>Chaitanya Netke</t>
  </si>
  <si>
    <t>All that piece and parcel of property bearing Flat No. 9, having an area admeasuring of 766 sq. feets., i.e. 71.18 sq. mtrs., (built-up), Third Floor, out of the project known as “Santkrupa Plaza”, constructed on the entire land property, i.e. Plot No. 8, carved out of Survey No. 71, Hissa No. 1+2/207, situated at Village – Sangavi, Taluka – Haveli, District – Pune and within local limits of Pimpri Chinchwad Municipal Corporation, Pimpri.</t>
  </si>
  <si>
    <t>kolahpur</t>
  </si>
  <si>
    <t>Sunil Maruti Patil</t>
  </si>
  <si>
    <t>All that piece and parcel of property bearing Flat No. S-206, having carpet area admeasuring of 47.96 sq. mtrs., together with common area admeasuring of 1.39 sq. mtrs., i.e. total carpet area admeasuring of 49.35 sq. mtrs., i.e. total salabe area admeasuring of 64.16 sq. mtrs., situated on the Second Floor, out of the project known as "Naik Kharude Heights", constructed on the entire land property bearing Gat No. 32, situated at Village – Ajara, Taluka – Ajara, District – Kolhapur</t>
  </si>
  <si>
    <t>KHARADI</t>
  </si>
  <si>
    <t>Monika Bhosle( only VET)</t>
  </si>
  <si>
    <t>All that piece and parcel of property bearing Flat No. B-2/102, having carpet area admeasuring of 415 sq. Feet i.e. 38.55 sq. Mtrs., i.e. built-up area admeasuring of 540 sq. Feets., i.e. 50.16 sq. Mtrs., situated on the First Floor, out of the in building known as "Nirzar" and Wing No. "B-2", out of the project known as "Eco Gram", and out of the society known as "Eco Gram Nirzar B1, B2, B3 Co-Operative Housing Society Limited", constructed on the land bearing Gat No. 1123, 1124, and 1240/1, situated at Village – Shikrapur, Taluka – Shirur, District – Pune2. All that piece and parcel of property bearing Flat No. B-2/101, having carpet area admeasuring of 415 sq. Feet i.e. 38.55 sq. Mtrs., i.e. built-up area admeasuring of 540 sq. Feets., i.e. 50.16 sq. Mtrs., situated on the First Floor, out of the in building known as "Nirzar" and Wing No. "B-2", out of the project known as "Eco Gram", and out of the society known as "Eco Gram Nirzar B1, B2, B3 Co-Operative Housing Society Limited", constructed on the land bearing Gat No. 1123, 1124, and 1240/1, situated at Village – Shikrapur, Taluka – Shirur, District – Pune..</t>
  </si>
  <si>
    <t>Bharat Wable( only VET)</t>
  </si>
  <si>
    <t>All that piece and parcel of the residential tenement bearing Flat No. EWS-3-9-907, situated on the 9th Floor in Building No. EWS-3, admeasuring 29.04 Sq. Mtrs. carpet area along with balcony admeasuring 2.22 Sq. Mtrs., constructed in the housing project known as “648 EWS (Pradhan Mantri Awas Yojana) Phase-02”, developed by Maharashtra Housing and Area Development Authority (MHADA), Pune Housing and Area Development Board, on the land bearing Gat No. 44 (Part), 49 (Part), 129 (Part), 130/1/A (Part), 130/1/B, 130/2, 130/3 (Part) and 130/4 (Part), situated at Village Mhalunge (Ingale), Taluka Khed, District Pune.</t>
  </si>
  <si>
    <t>Ripusudan Sharma</t>
  </si>
  <si>
    <t>All that piece and parcel of Flat No. 807, having a carpet area admeasuring 376.31 Sq. Ft. (34.96 Sq.Mtrs.) along with balcony and open terrace carpet area admeasuring 39.72 Sq. Ft. (3.69 Sq. Mtrs.), together with car parking, situated on the Eighth Floor, in Wing/Building No. “A”, out of the project known as “Abhiman Homes”, constructed on land bearing Gat No. 8 admeasuring 05 H 47 R (out of which 05 H 43.5 R), Gat No. 12 admeasuring 00 H 62 R, Gat No. 16 admeasuring 00 H 13 R, Gat No. 18 admeasuring 00 H 27 R, Gat No. 19 admeasuring 00 H 42 R and Gat No. 20 admeasuring 00 H 86 R, aggregating to a total area of 07 H 73.5 R, situated at Village Shirgaon, Taluka – Maval, District – Pune.</t>
  </si>
  <si>
    <t>Kiran Kondhalkar</t>
  </si>
  <si>
    <t>All that piece and parcel of Flat No. 10 (2 BHK), admeasuring 52.53 Sq. Mtrs. carpet area + 2.79 Sq. Mtrs. terrace area aggregating to 69.17 Sq. Mtrs. along with proportionate common area, on the Second Floor, and one car parking, out of the project/builder known as “Muktai Building (C Building)” in the project Godavari Puram – Phase II constructed on Plot Nos. 27 &amp; 28, Sector No. 6 at Village Moshi Pradhikaran, Taluka Haveli, District Pune bearing PCMC Property No. 1120402528.00 and Electricity Consumer No. 170140485562, together with all common rights and amenities.</t>
  </si>
  <si>
    <t>Omkar Falke</t>
  </si>
  <si>
    <t>All that piece and parcel of non-agricultural property bearing Plot No. 4, having an area admeasuring of H. 00-01.20 Ares, i.e. 120.35 sq. mtrs., i.e. 1295 sq. feets., carved out of Gat No. 439, situated at Village – Herale, Taluka – Hatkanangale, District – Kolhapur and which is bounded as under.-</t>
  </si>
  <si>
    <t>Chinchvad</t>
  </si>
  <si>
    <t>Ramdas Jambhulkar</t>
  </si>
  <si>
    <t>All that piece and parcel of Flat No. 501, having Carpet Area admeasuring 177.54 Sq. Mtrs. (i.e. 1911 Sq. Ft.), together with exclusive usage rights of 2 Car Parking Spaces admeasuring 11.00 Sq. Mtrs. each, situated on the Fifth Floor of Tower No. 10 in the project known as “Blue Ridge Township”, constructed on the land bearing Survey Nos. 124/1, 124/2, 125/1, 125/2, 156/1, 156/2, 156/3, 161/1, 161/2, 162, 163/1A, 163/1B, 163/1C, 164/1, 164/2, 165/1 and 165/2 falling under User Zone No. R- 2 (after amalgamation forming consolidated Survey Nos. 119 (Part) to 125 plus 154 (Part) to 160 plus 160/2 to 171 plus 173 Plot No. 1), admeasuring in aggregate 55,329 Sq. Mtrs., forming part of the approved Special Township Scheme known as “Blue Ridge Township”, out of which Residential Project “B Land” admeasuring 22,573.09 Sq. Mtrs., situated at Village Hinjawadi, Taluka Mulshi, District Pune</t>
  </si>
  <si>
    <t>7792149892/ 77950046402</t>
  </si>
  <si>
    <t>Aman Sayyad</t>
  </si>
  <si>
    <t>All that piece and parcel of Flat No. PRF-416 admeasuring about 55.27 Sq.Mtrs. (Built-up) along with Terrace admeasuring about 55.27 Sq.Mtrs., situated on the 4th Floor in the Building 'P' (As per PMC record Flat No. 15 Building "B") along with one car park at stilt level, situated in PARMAR RESIDENCY CO-OPERATIVE HOUSING SOCIETY LTD., situated at Survey No.16A, Hissa No.4,CTS No. 669 (part) Kondhwa Khurd,Pune within the limits, of Pune Municipal Corporation</t>
  </si>
  <si>
    <t>Anesh Mahadev Bhokare</t>
  </si>
  <si>
    <t>All that piece and parcel of property bearing Flat No. 305, having an area admeasuring of 558 sq.</t>
  </si>
  <si>
    <t>Arjunsingh Dhaliwal</t>
  </si>
  <si>
    <t>Bhagwat tukaram Satav</t>
  </si>
  <si>
    <t>All that piece and parcel of property bearing Flat No. B-404, having an area admeasuring 559 sq. ft., i.e. 51.95 sq. mtrs., situated on the Fourth Floor, in B Wing, in the building known as “Samruddhi Residency”, constructed on the land bearing Plot No. 38A admeasuring 428 sq. mtrs. and Plot No. 38B admeasuring 200 sq. mtrs. + 316 sq. ft. i.e. 29.36 sq. mtrs., aggregating to total area 657.36 sq. mtrs., out of Gat No. 575/2, situated at Village – Kadamwakvasti, Taluka – Haveli</t>
  </si>
  <si>
    <t>Babasaheb Butkar</t>
  </si>
  <si>
    <t>All that piece and parcel of property admeasuring of H. 00-00.50 Ares i.e. 500 sq. Feets out of the land bearing Survey No. 260, Hissa No. 167, situated at Village – Phursungi, Taluka – Haveli, District – Pune and within local limits of Phursungi-Uruli Devachi Nagar Parishad.</t>
  </si>
  <si>
    <t>Indrabhan Shinde</t>
  </si>
  <si>
    <t>All that piece and parcel of the Flat No. 6, having an area admeasuring of 723 Sq. Ft. i.e. 67.19 Sq. Mtrs. (Built-up Area), situated on the First Floor, along with the right to use common parking space on the ground floor, out of the building known as “Dhaval Park Apartment”, constructed on land bearing Survey No. 20, Hissa No. 1/1/53, lying, being and situated at Mouje Dighi, Taluka Haveli, District Pune and within local limits of Pimpri Chinchwad Municipal Corporation, Pimpri.</t>
  </si>
  <si>
    <t>Shankar Rambhau Margale</t>
  </si>
  <si>
    <t>All that piece and parcel of property bearing Flat No. 802, admeasuring 68.20 Sq. Mtrs. (734 Sq. Ft.) carpet area, along with enclosed balcony, if any, and one covered car parking space admeasuring 5.50 Sq. Mtrs. (59 Sq. Ft.), being Car Parking No. 10 in the upper basement, situated on the Eighth Floor, in the building known as “Sarthk Highrich", constructed on the land bearing Survey No. 132/1/13/2/1, Plot Nos. 1 and 3, admeasuring in aggregate 00 H 29.75 Are, situated at Village – Dhayari, Taluka – Haveli, District – Pune and within the local limits of Pune Municipal Corporation.</t>
  </si>
  <si>
    <t>Mansanna Ramanna Nangi</t>
  </si>
  <si>
    <t>All that piece and parcel of the residential flat bearing Flat No. 501, admeasuring carpet area 43 Sq. Mtrs., along with enclosed balcony admeasuring 13.57 Sq. Mtrs. and terrace area admeasuring 5.67 Sq. Mtrs., together with parking, situated on the Fifth Floor in the building known as “Vitthal Residency”, constructed on the land bearing Survey No. 73/1/1/2/2 and Survey No. 73/1/1/2/2/1, situated at Village Mouje Kiwale, Taluka Haveli, District Pune, and within the limits of Pimpri Chinchwad Municipal Corporation, Pimpri.</t>
  </si>
  <si>
    <t>ARNAV VIJAY THITE</t>
  </si>
  <si>
    <t>All that piece and parcel of property bearing Survey No. 33, Hissa No. 87 (having corresponding Old Survey No. 30), having an area admeasuring of H. 00-02 Ares, assessed at Rs. 00 – 05 Paise, together the with the construction of building having built-up area admeasurig of 179 sq. mtrs., situated at Village – Katraj, Taluka – Haveli, District – Pune and within local limits of Pune Municipal Corporation, Pune and which is bounded as under. -</t>
  </si>
  <si>
    <t>Devaram Chaudhary</t>
  </si>
  <si>
    <t>All that piece and parcel of property bearing Flat No. 10 (As per Agreement Flat No. 9/B), having an area admeasuring of 41.15 sq. mtrs., i.e. 443 sq. feets., situated on the Ground Floor, out of the apartment constructed on the entire land property, i.e. Survey No. 9B/11 and 9B/12, situated at Village – Sangavi, Taluka – Haveli, District – Pune.</t>
  </si>
  <si>
    <t>Madhav shinde</t>
  </si>
  <si>
    <t>All that piece and parcel of Flat No. 405, admeasuring Carpet Area 78 Sq. Mtrs., situated on the Fourth Floor in Building “A” of the project known as “Mauli Park”, constructed on the above said land bearing Gat No. 8, situated at Village – Mauje (Shindewadi), Taluka – Bhor, District – Pune.</t>
  </si>
  <si>
    <t>Manda Umesh Gujar(Prashant Makhurne)</t>
  </si>
  <si>
    <r>
      <rPr>
        <rFont val="Calibri"/>
        <b/>
        <sz val="8.0"/>
      </rPr>
      <t xml:space="preserve">Loahagaon </t>
    </r>
    <r>
      <rPr>
        <rFont val="Calibri"/>
        <b/>
        <color rgb="FF1155CC"/>
        <sz val="8.0"/>
        <u/>
      </rPr>
      <t>S.No</t>
    </r>
    <r>
      <rPr>
        <rFont val="Calibri"/>
        <b/>
        <sz val="8.0"/>
      </rPr>
      <t xml:space="preserve"> 68</t>
    </r>
  </si>
  <si>
    <t>CTC only</t>
  </si>
  <si>
    <t>Tejas Sunil More</t>
  </si>
  <si>
    <r>
      <rPr>
        <rFont val="Calibri"/>
        <b/>
        <sz val="8.0"/>
      </rPr>
      <t xml:space="preserve">Kanishka Grand Plazza Wing A </t>
    </r>
    <r>
      <rPr>
        <rFont val="Calibri"/>
        <b/>
        <color rgb="FF1155CC"/>
        <sz val="8.0"/>
        <u/>
      </rPr>
      <t>S.No</t>
    </r>
    <r>
      <rPr>
        <rFont val="Calibri"/>
        <b/>
        <sz val="8.0"/>
      </rPr>
      <t>.125 Hissa No.1/1 Saswad Purandar</t>
    </r>
  </si>
  <si>
    <t>Pratiksha Sapkal</t>
  </si>
  <si>
    <t>All that piece and parcel of property bearing Flat No. 4, having an area admeasuring 770 sq. feet, i.e. 71.53 sq. mtrs. built-up area, along with attached terrace area admeasuring 215 sq. feet, i.e. 19.97 sq. mtrs., and covered car parking bearing No. 4 admeasuring 130 sq. feet, i.e. 12.07 sq. mtrs., situated on the Second Floor, in the building known as “Nilkanth Apartment”, constructed on land bearing Survey No. 31/2/19, situated at Village – Pimple Gurav, Taluka – Haveli, District – Pune.</t>
  </si>
  <si>
    <t>Yogesh Adhav</t>
  </si>
  <si>
    <t>All that piece and parcel of residential unit bearing Unit No. 8, having carpet area admeasuring of</t>
  </si>
  <si>
    <t>Eknath govind Pardesi</t>
  </si>
  <si>
    <t>Ujwala Suryawanshi</t>
  </si>
  <si>
    <t>Nilesh Jejurkar</t>
  </si>
  <si>
    <t>All that piece and parcel of property there upon FLAT No. 201 on Second Floor, admeasuring Carpet area 345 Sq. ft. + Attached Terrace 100 Sq.ft Together 445 Sq.ft i.e. 41.35 Sq. mtrs. in the building named “ASHWAMEDH DIGNITY”, constructed on the land bearing Survey No. 216/7, situated at Village – Baner, Taluka – Haveli, District – Pune and within local limits of Pune Municipal Corporation, Pune</t>
  </si>
  <si>
    <t>Kolahpur</t>
  </si>
  <si>
    <t>Dhananjay Amrut Patil</t>
  </si>
  <si>
    <t>All that piece and parcel of non-agricultural property bearing CTS No. 63, having an area admeasuring of 132.94 sq. mtrs., together with an existing semi-pucca structure constructed of stone, bricks and mud admeasuring approximately 1430 sq. ft., standing thereon, situated at Village – Galagale, Taluka -Kagal, District – Kolhapur and which is bounded as under.-</t>
  </si>
  <si>
    <t>Joyti Sadusure</t>
  </si>
  <si>
    <t>Satish Kumar Pandye</t>
  </si>
  <si>
    <t>CTC +VET</t>
  </si>
  <si>
    <t>Hadmatsingh Chauhan</t>
  </si>
  <si>
    <t>All that piece and parcel of the residential Flat bearing No. 205, having built-up area 530 Sq. Ft. (i.e. 49.25 Sq. Mtrs.), situated on the 2nd floor, in the building known as “Siddhi Plaza”, constructed on the land bearing C.S. No. 593 admeasuring 493.62 Sq. Mtrs. and C.S. No. 594 admeasuring 199.83 Sq. Mtrs., situated at Village Ganesh Peth, Taluka – Pune City, District – Pune and within the limits of Pune Municipal Corporation, Pune.</t>
  </si>
  <si>
    <t>Nibin Babu john</t>
  </si>
  <si>
    <t>All that piece and parcel of property bearing Flat No. 4, having built-up area admeasuring 840 sq. feet, i.e. 78.03 sq. mtrs., along with adjoining terrace area admeasuring 40 sq. feet, i.e. 3.71 sq. mtrs., situated on the First Floor, in Building No. E-3, out of the project known as “Citadel Phase-I Co-operative Housing Society Ltd.”, constructed on the entire land property bearing Survey No. 51/1/6, 51/1/7, 51/1/8, 67A/3, 67A/10B, 68/7, 68/8 and 68/9, having corresponding C.S. No. 701 to 713, situated at Village – Ghorpadi, Taluka – Haveli, District – Pune and within the local limits of Pune Municipal Corporation.</t>
  </si>
  <si>
    <t>Vivek Dhore</t>
  </si>
  <si>
    <t>All that piece and parcel of Flat No. 101 on the First Floor admeasuring 451 sq. ft. i.e. 41.98 sq. mtrs. built-up area, in the building known as “Gargee Classic Apartment Condominium”, constructed on the entire land property, i.e. Survey No. 25, Hissa No. 1/1B/1/11, situated at Village – Pimpale Nilakh, Taluka – Haveli, District – Pune and within local limits of Pimpri Chinchwad Municipal Corporation, Pimpri.</t>
  </si>
  <si>
    <t>Sushil chavan</t>
  </si>
  <si>
    <t>All that piece and parcel of Flat bearing No. 104, on First Floor, admeasuring 56.20 sq. mtrs. Carpet + Terrace 15.19 sq. mtrs., in SAI BLESSINGS CO-OP. HOUSING SOCIETY LTD., together with membership rights of the society and proportionate share in the common amenities and facilities, constructed on Survey No. 95, admeasuring 1469.29 sq. mtrs., lying and situated at Village Ravet, Tal – Haveli, Dist - Pune, within the limits of Pimpri Chinchwad Municipal Corporation, Pimpri.</t>
  </si>
  <si>
    <t>Shrikant mane</t>
  </si>
  <si>
    <t>All that piece and parcel of property bearing Flat No. 9 on the Second Floor, admeasuring saleable super built-up area of about 44.14 Sq. Mtrs. (475 Sq. Ft.) along with adjoining terrace admeasuring about 7.43 Sq. Mtrs. (80 Sq. Ft.), in ‘B Wing’ of the building known as “Suyog Sagar Co-operative Housing Society Ltd.” constructed on the land bearing Survey No. 56/3/51 admeasuring 0 Hectare 10 Ares out of C.T.S. No. 1618, situated at Village Pimple Gurav, Taluka Haveli, District Pune, within the limits of Pimpri-Chinchwad Municipal Corporation</t>
  </si>
  <si>
    <t>Rahul Shinde</t>
  </si>
  <si>
    <t>All that piece and parcel of property bearing Shop No. 6, having an area admeasuring of 235.09 sq. feets., i.e. 21.84 sq.mtrs., along with Loft area admeasuring of 101.72 sq. feets i.e. 9.45 sq.mtrs., (Carpet Area), situated on the Ground Floor, in Wing No. “A”, out of the project known as “Ganesh Siddhi”, being constructed on the entire land property i.e. Gat No. 967 and others, situated at Village – Chikhali, Taluka – Haveli, District – Pune and within local limits of Pimpri Chinchwad Municipal Corporation, Pimpri.</t>
  </si>
  <si>
    <t>Prashant Dilip Pawale</t>
  </si>
  <si>
    <t>Sonu Panchal</t>
  </si>
  <si>
    <t>VET</t>
  </si>
  <si>
    <t>Abhijit bhanudas navale</t>
  </si>
  <si>
    <t>All that piece and parcel of Flat No. 703, on 7th Floor, in Wing/Building E admeasuring Carpet Area 35.62 Square Meters with Opening Balcony 5.23 Square Meters out of restrictive common area and proportionate share in the common passage in Building called as "OVI HOMES", situated at S. No. 40/2A and 40/2B situated at Village Dehugaon, Taluka - Haveli, District – Pune</t>
  </si>
  <si>
    <t>77000232962 (1)</t>
  </si>
  <si>
    <t>Krishnat Pandurang Patil</t>
  </si>
  <si>
    <t>All that piece and parcel of property admeasuring of H. 00-02.5 Ares, out of Gat No. 1127, having an area admeasuring of H. 00-23 Ares, together with Pot-Kharab area admeasuring of H. 00-01</t>
  </si>
  <si>
    <t>Jayashree Sanjay Boddu</t>
  </si>
  <si>
    <t>Sanjay Ramchandra Boddu</t>
  </si>
  <si>
    <t>Resale purchase</t>
  </si>
  <si>
    <t>Ares, i.e. total area admeasuring of H. 00-24 Ares, assessed at Rs. 00-44 Paise, situated at Village</t>
  </si>
  <si>
    <t>Hard copy</t>
  </si>
  <si>
    <t>Vitthal Residency.</t>
  </si>
  <si>
    <t>– Vhannur, Taluka – Kagal, District – Kolhapur and which is bounded as under.</t>
  </si>
  <si>
    <t>Tejpal Navalmal Jain</t>
  </si>
  <si>
    <t>Sunita Tejpal Jain</t>
  </si>
  <si>
    <t>All that piece and parcel of Shop No. 7, situated on the Ground Floor, admeasuring 192 Sq. Ft. carpet area (i.e. 17.84 Sq. Mtrs.) along with loft area admeasuring 96 Sq. Ft. (i.e. 8.92 Sq. Mtrs.), aggregating to 240 Sq. Ft. built-up area (i.e. 22.30 Sq. Mtrs.) and equivalent to 324 Sq. Ft. saleable area (i.e. 30.11 Sq. Mtrs.), together with car parking admeasuring 100 Sq. Ft. (i.e. 9.29 Sq. Mtrs.), situated in the building known as “Business Plaza”, constructed on the entire land property, i.e. Final Plot No. 230, Town Planning Scheme III, Ghorpade Peth (Old Ganj Peth), Pune, within the limits of Pune Municipal Corporation and within the jurisdiction of Sub-Registrar Haveli, District Pune.</t>
  </si>
  <si>
    <t>Mail</t>
  </si>
  <si>
    <t>Gaurav Paigude</t>
  </si>
  <si>
    <t>Shobha Paigude</t>
  </si>
  <si>
    <t>BT</t>
  </si>
  <si>
    <t>All that piece and parcel of Flat No. 10, admeasuring of 500 sq. ft. (i.e. 46.46 sq. mtrs.) saleable area, situated on the Second Floor of the building known as “Pari Heights”, constructed on land bearing Survey No. 45, Hissa No. 6, admeasuring in aggregate 00 Hectare 37 Are (including Pot Kharaba), assessed at Rs. 00.31 Paise, situated at Village Mouje Nere, Taluka Haveli, District Pune and within local limits of Pune Municipal Corporation, Pune.</t>
  </si>
  <si>
    <t>Group</t>
  </si>
  <si>
    <t>77000232962 (2)</t>
  </si>
  <si>
    <t>77000232962 (3)</t>
  </si>
  <si>
    <t>Anil Dhananjay Akhade (Project - Mauli Park)</t>
  </si>
  <si>
    <t>APF_1</t>
  </si>
  <si>
    <t>Pune. Khadakwasala. S. No. 33</t>
  </si>
  <si>
    <t>APF_2</t>
  </si>
  <si>
    <t>Skylark Apartments RVR 7A at Riverview City</t>
  </si>
  <si>
    <t>Pune. Kadmakvasti. S. No. 540</t>
  </si>
  <si>
    <t>wakad</t>
  </si>
  <si>
    <t>Satish Sudam More</t>
  </si>
  <si>
    <t>Anita Satish More</t>
  </si>
  <si>
    <t>All that piece and parcel of the unit/rowhouse Flat No. 4 situating on the ground floor area 30.38 Sq. Mtrs. 327.00 Sq. Ft. with provision of M.S. stairs from out side alongwith 8.18% undivided share except the piece of land specifically sold to any of the purchaser/s in the land bearing Plot No. 23, (City Survey No. 1930) at Anandnagar Colony, Survey No. 26 (New), 24 (Old), Talegaon Dabhade, Taluka – Maval, District – Pune admeasuring 665.00 Sq. Mtrs. Situated at Village Talegaon Dabhade, Taluka – Maval, District – Pune within the limits of Sub Registrar Taluka Maval and within the limits of Talegaon Dabhade Municipal Council</t>
  </si>
  <si>
    <t>Kumar Staywel Realtors LLP Flat no = 01</t>
  </si>
  <si>
    <t>Kumar Staywel Realtors LLP Flat no = 02</t>
  </si>
  <si>
    <t>kolhapur</t>
  </si>
  <si>
    <t>Sanket Maruti Kambale</t>
  </si>
  <si>
    <t>Maruti Vilas Kambale</t>
  </si>
  <si>
    <t>builder purchase 
Apna ghar Dreamz</t>
  </si>
  <si>
    <r>
      <rPr>
        <rFont val="Calibri"/>
        <b/>
        <sz val="8.0"/>
      </rPr>
      <t xml:space="preserve">Tamgaon Kolhapure </t>
    </r>
    <r>
      <rPr>
        <rFont val="Calibri"/>
        <b/>
        <color rgb="FF1155CC"/>
        <sz val="8.0"/>
        <u/>
      </rPr>
      <t>S.No</t>
    </r>
    <r>
      <rPr>
        <rFont val="Calibri"/>
        <b/>
        <sz val="8.0"/>
      </rPr>
      <t>. 1008</t>
    </r>
  </si>
  <si>
    <t>Jitendra Manurkar</t>
  </si>
  <si>
    <t>Mohammad Shoeb</t>
  </si>
  <si>
    <t>self contraction</t>
  </si>
  <si>
    <t>All that piece and parcel of property admeasuring of H. 00-01.39 Ares, i.e. 1500 sq. feets., out of Survey No. 7, Hissa No. 1, having total area admeasuring of H. 04-67 Ares, together with Pot-Kharab area admeasuring of H. 00-09 Ares, i.e. total area admeasuring of H. 04-76 Ares, assessed at Rs. 02-44 Paise, situated at Village – Marunji, Taluka – Mulshi, District – Pune</t>
  </si>
  <si>
    <t>Document in group</t>
  </si>
  <si>
    <t>Juber Mahmadhusen Shaikh</t>
  </si>
  <si>
    <t xml:space="preserve">BT TOP UP </t>
  </si>
  <si>
    <r>
      <rPr>
        <rFont val="Calibri"/>
        <b/>
        <sz val="8.0"/>
      </rPr>
      <t xml:space="preserve">Avalwadi (Wagholi) </t>
    </r>
    <r>
      <rPr>
        <rFont val="Calibri"/>
        <b/>
        <color rgb="FF1155CC"/>
        <sz val="8.0"/>
        <u/>
      </rPr>
      <t>S.No</t>
    </r>
    <r>
      <rPr>
        <rFont val="Calibri"/>
        <b/>
        <sz val="8.0"/>
      </rPr>
      <t>.861</t>
    </r>
  </si>
  <si>
    <t>Haresh Pawar</t>
  </si>
  <si>
    <t>HL Resell Purchase</t>
  </si>
  <si>
    <t>All that piece and parcel of property bearing Flat No. 10, having an area admeasuring of 438.25 sq. feets., i.e. 40.72 sq. mtrs., situated on the Second Floor, out of the project known as “Swami Samarth”, constructed on the entire land property, i.e. Plot No. 19, carved out of Gat No. 285, situated at Village – Karegaon, Taluka – Shirur, District – Pune.</t>
  </si>
  <si>
    <t xml:space="preserve">Sharanbasppa khyamanna Sangundi </t>
  </si>
  <si>
    <t>Asharani sharanbasppa Sangundi</t>
  </si>
  <si>
    <t xml:space="preserve"> HL BT + Top Up </t>
  </si>
  <si>
    <t>All that piece and parcel of Flat No. 802, situated on the Eighth Floor in “C” Wing of the residential project known as “Dwaraka Square”, constructed on land bearing Survey No. 187/1 (Old Survey No. 587/1) admeasuring 00 Hectare 22 Ares, Survey No. 187/2 (Old Survey No. 587/2) admeasuring 00 Hectare 43 Ares, Survey No. 187/3 (Old Survey No. 587/3) admeasuring 00 Hectare 46 Ares, Survey No. 188/1 (Old Survey No. 586/1) admeasuring 00 Hectare 04 Ares, Survey No. 188/2A (Old Survey No. 586/2) admeasuring 00 Hectare 21 Ares, Survey No. 188/2B (Old Survey No. 586/2B) admeasuring 00 Hectare 16 Ares, Survey No. 188/3 (Old Survey No. 588/3) admeasuring 00 Hectare 24 Ares and Survey No. 188/4 (Old Survey No. 586/4) admeasuring 00 Hectare 18 Ares, situated at Village Chovisawadi, Taluka Haveli, District Pune, within the limits of Pune Municipal Corporation; said flat admeasuring 32.17 Sq. Mtrs. carpet area, along with enclosed balcony area admeasuring 4.52 Sq. Mtrs., cupboard area admeasuring 0.16 Sq. Mtrs., and terrace area admeasuring 8.24 Sq. Mtrs.</t>
  </si>
  <si>
    <t>Choviswadi. S. No. 187</t>
  </si>
  <si>
    <t>Pradip Appasaheb Sawant</t>
  </si>
  <si>
    <t>Jyoti Pradip Sawant</t>
  </si>
  <si>
    <t>All that piece and parcel of property bearing Row House Unit No. 2, having ½ land area out of the entire land property i.e. 56.25 sq. mtrs., along with the construction of RCC building constructed thereon consisting of two floor having total built-up area admeasuring of 86.90 sq. mtrs., (as per assessment 92.09 sq. mtrs.,), having corresponding Grampanchayat Milkat No. 7748/1, constructed on the entire land property, i.e. Plot No. 20, admeasuring about 112.50 Sq. Mtrs., being part of Gat No. 344/3, situated at Village Uchgaon, Taluka Karveer, District Kolhapur.</t>
  </si>
  <si>
    <t>Akshay Sartape</t>
  </si>
  <si>
    <t>Laxman Sartape</t>
  </si>
  <si>
    <r>
      <rPr>
        <rFont val="Calibri"/>
        <b/>
        <sz val="8.0"/>
      </rPr>
      <t xml:space="preserve">Kharadi </t>
    </r>
    <r>
      <rPr>
        <rFont val="Calibri"/>
        <b/>
        <color rgb="FF1155CC"/>
        <sz val="8.0"/>
        <u/>
      </rPr>
      <t>S.No</t>
    </r>
    <r>
      <rPr>
        <rFont val="Calibri"/>
        <b/>
        <sz val="8.0"/>
      </rPr>
      <t>.41</t>
    </r>
  </si>
  <si>
    <t>Sakib Biradar</t>
  </si>
  <si>
    <t>Shirin Biradar</t>
  </si>
  <si>
    <r>
      <rPr>
        <rFont val="Calibri"/>
        <b/>
        <sz val="8.0"/>
      </rPr>
      <t xml:space="preserve">Bhosari </t>
    </r>
    <r>
      <rPr>
        <rFont val="Calibri"/>
        <b/>
        <color rgb="FF1155CC"/>
        <sz val="8.0"/>
        <u/>
      </rPr>
      <t>S.No</t>
    </r>
    <r>
      <rPr>
        <rFont val="Calibri"/>
        <b/>
        <sz val="8.0"/>
      </rPr>
      <t>. 484</t>
    </r>
  </si>
  <si>
    <t>Devidas Gaikwad</t>
  </si>
  <si>
    <t>Parag Gupta</t>
  </si>
  <si>
    <t xml:space="preserve">Rambabu mishra </t>
  </si>
  <si>
    <r>
      <rPr>
        <rFont val="Calibri"/>
        <b/>
        <sz val="8.0"/>
      </rPr>
      <t xml:space="preserve">Manjari Budrukh </t>
    </r>
    <r>
      <rPr>
        <rFont val="Calibri"/>
        <b/>
        <color rgb="FF1155CC"/>
        <sz val="8.0"/>
        <u/>
      </rPr>
      <t>S.No</t>
    </r>
    <r>
      <rPr>
        <rFont val="Calibri"/>
        <b/>
        <sz val="8.0"/>
      </rPr>
      <t>.130</t>
    </r>
  </si>
  <si>
    <t>Bhushan Sonawane</t>
  </si>
  <si>
    <t>All that piece and parcel of Flat No. 403 on the Fourth Floor, admeasuring 610 Sq. Ft. built-up area (i.e. 56.69 Sq. Mtrs.), along with terrace, in the building known as “Laxmi Villa”, constructed on land bearing C.T.S. No. 531 and C.T.S. No. 532, total admeasuring 536.5 Sq. Mtrs., situated at Village Punawale (Gaothan), Taluka Mulshi, District Pune, within the local limits of Pimpri Chinchwad Municipal Corporation and within the jurisdiction of Sub-Registrar Haveli, along with all common amenities and facilities.</t>
  </si>
  <si>
    <t>Chandrakant Raghwani</t>
  </si>
  <si>
    <t>SANDEEP UTTAM UNDALKAR</t>
  </si>
  <si>
    <t>ROHINI SANDEEP UNDALKAR</t>
  </si>
  <si>
    <r>
      <rPr>
        <rFont val="Calibri"/>
        <b/>
        <sz val="8.0"/>
      </rPr>
      <t xml:space="preserve">Moshi </t>
    </r>
    <r>
      <rPr>
        <rFont val="Calibri"/>
        <b/>
        <color rgb="FF1155CC"/>
        <sz val="8.0"/>
        <u/>
      </rPr>
      <t>S.No</t>
    </r>
    <r>
      <rPr>
        <rFont val="Calibri"/>
        <b/>
        <sz val="8.0"/>
      </rPr>
      <t>.272/ Borhadewadi S. No. 272</t>
    </r>
  </si>
  <si>
    <t>Dnyaneshwar Balasaheb Kale</t>
  </si>
  <si>
    <t>Seller BT</t>
  </si>
  <si>
    <t>All that piece and parcel of Flat No. 304, Wing C, on the 3rd Floor, admeasuring 35.64 sq. mtrs. carpet area, along with enclosed balcony admeasuring 4.5 sq. mtrs., cupboard area admeasuring 0.44 sq. mtrs., dry balcony admeasuring 3 sq. mtrs., open terrace admeasuring 4.6 sq. mtrs., and one covered car parking space, in the project known as "Dynamic Grandeur – Phase 2 Essensia" (as per Index II) and forming part of the concerned Co-operative Housing Society, constructed on the land bearing: Survey No. 53 Hissa No. 4/2 admeasuring 0 Hectare 65 Ares, and Survey No. 54 (Part) admeasuring total 9 Hectares 32 Ares out of which 1 Hectare 60 Ares, and Survey No. 53/1 admeasuring 88 Ares, Survey No. 53/2 admeasuring 88 Ares, and Survey No. 53/3 admeasuring 82 Ares, out of the total land admeasuring 15,968.67 sq. mtrs., situated at Village Undri, Pune, within the limits of Pune Municipal Corporation and the jurisdiction of the Sub-Registrar, Haveli, Pune.</t>
  </si>
  <si>
    <t>77000240739_1</t>
  </si>
  <si>
    <t xml:space="preserve">Vishal Appasaheb Moholkar </t>
  </si>
  <si>
    <t>Vaibhav Appasaheb Moholkar</t>
  </si>
  <si>
    <t>All that piece and parcel of Shop No. 1, admeasuring 26.01 Sq. Mtrs. (i.e. 280 Sq. Ft.), together with 1.20% undivided share in the land, situated on the Ground Floor in the building known as “Sneha Complex Condominium”, constructed on Final Plot No. 359/B/1 of Town Planning Scheme No. 1, bearing CTS No. 1032/B/1, situated at Village Shivajinagar (Bhamburda), Taluka – Haveli, District – Pune and within local limits of Pune Municipal Corporation, Pune.</t>
  </si>
  <si>
    <t>APF_3</t>
  </si>
  <si>
    <t>RIVERAIN CLASSIC</t>
  </si>
  <si>
    <t>All that piece and parcel of land admeasuring about 3254 sq. mtrs. out of final plot bearing No. 103, having S. No. 450/2A/1/1 and 450/2A/2, situated at village Ghorpadi, Sangamwadi, Taluka Haveli and District Pune, which is within the local limits of Pune Municipal Corporation and within the jurisdiction of Sub Registrar Haveli, Pune</t>
  </si>
  <si>
    <t>Ganesh Bhagwan Dhurkar</t>
  </si>
  <si>
    <t>Sushma Ganesh Durkar</t>
  </si>
  <si>
    <t>All that piece and parcel of property bearing Flat No. 701, having an area admeasuring 69.88 sq. mtrs. carpet area along with balcony area admeasuring 8.31 sq. mtrs., situated on the 7th Floor, in Building/Wing No. B, out of the project known as “Basil Mount Lords Wing B &amp; C”, constructed/to be constructed on the entire land property, i.e. Survey No. 8, Hissa Nos. 6A/7/8/2, 6A/7/8/3, 6A/7/8/9 and 6A/7/8/10, situated at Village – Dhankawadi, Taluka - Haveli, District - Pune and within local limits of Pune Municipal Corporation.</t>
  </si>
  <si>
    <t>9689929534 NK</t>
  </si>
  <si>
    <t>PANKAJ RAMESH JADHAO</t>
  </si>
  <si>
    <t>DNYANESHWARI PRADIPRAO MAHALLE</t>
  </si>
  <si>
    <t>All that piece and parcel of property bearing Flat No. 305, having an area admeasuring 71.44 Sq. Mtrs. (Carpet Area) along with Open Balcony Area 3.62 Sq. Mtrs. and Utility Area 1.91 Sq. Mtrs., situated on the Third Floor, in Tower No. 7, out of the project known as “Gera’s Isle of Joy – Project C”, constructed/to be constructed on the entire land property, i.e. Gat Nos. 1255/73, 1255/65, 1255/66, 1255/69, 1255/70, 1255/71, 1255/72 (Part) and 1267 (Part), situated at Village – Wagholi, Taluka – Haveli, District – Pune and within local limits of Pune Municipal Corporation.</t>
  </si>
  <si>
    <t>Sir Mail</t>
  </si>
  <si>
    <t>Kolhapure</t>
  </si>
  <si>
    <t>Abhijeet Ananda Mane Patil</t>
  </si>
  <si>
    <t>Supriya Abhijeet Mane Patil</t>
  </si>
  <si>
    <t xml:space="preserve">Apana Ghar Regular P + C </t>
  </si>
  <si>
    <t xml:space="preserve">All that piece and parcel of open non-agricultural plot bearing Plot No. 66, admeasuring 138.13 Sq. Mtrs., carved out of land bearing Gat No. 70/A admeasuring 0 H 76 R and Gat No. 70/B admeasuring 3 H 22.60 R (Pot Kharab 0 H 02 R), situated at Village Bahirewadi, Taluka Panhala, District Kolhapur, within the jurisdiction of Sub-Registrar Panhala.
The said plot is forming part of a layout known as “Savi Park”, developed on the aforesaid land.
</t>
  </si>
  <si>
    <t>Kulswamini associate</t>
  </si>
  <si>
    <t>MAIN</t>
  </si>
  <si>
    <t>Mohan Riswadkar</t>
  </si>
  <si>
    <t>Krishna Manik Patil</t>
  </si>
  <si>
    <t>Karuna Krishna Patil</t>
  </si>
  <si>
    <t>All that piece and parcel of property bearing Private Plot No. 26, admeasuring of H. 00-00.92.93 Ares, i.e. 1000 sq. feets., out of the Survey No.84, Hissa No. 5, having total area admeasuring of H. 05-84.75 Ares, assessed at Rs. 05-85 Paise, situated at Village – Lohgaon, Taluka – Haveli, District – Pune</t>
  </si>
  <si>
    <t xml:space="preserve">Vishal Kalekar </t>
  </si>
  <si>
    <r>
      <rPr>
        <rFont val="Calibri"/>
        <b/>
        <sz val="8.0"/>
      </rPr>
      <t xml:space="preserve">Talegaon Dabhade  Gramin </t>
    </r>
    <r>
      <rPr>
        <rFont val="Calibri"/>
        <b/>
        <color rgb="FF1155CC"/>
        <sz val="8.0"/>
        <u/>
      </rPr>
      <t>S.No</t>
    </r>
    <r>
      <rPr>
        <rFont val="Calibri"/>
        <b/>
        <sz val="8.0"/>
      </rPr>
      <t>.386</t>
    </r>
  </si>
  <si>
    <t xml:space="preserve">  9960009255 NK</t>
  </si>
  <si>
    <t>RAJU KATRAVATH</t>
  </si>
  <si>
    <t xml:space="preserve"> LAXMI BAI RAJU KATHRAVATH </t>
  </si>
  <si>
    <t xml:space="preserve"> HLBT</t>
  </si>
  <si>
    <t>All that piece and parcel of property bearing Flat No. A-26, admeasuring 35.95 Sq. Mtrs. (Carpet Area) i.e. 386.82 Sq. Ft., along with attached terrace admeasuring 3.85 Sq. Mtrs. (41.42 Sq. Ft.) and dry balcony admeasuring 1.80 Sq. Mtrs. (19.36 Sq. Ft.), aggregating to a total area of 41.60 Sq. Mtrs. (447.61 Sq. Ft.), situated on the Third Floor, in Wing ‘A’, in the project known as “AMBAR VILAS”, constructed on the land bearing Gat No. 1713A, admeasuring 00 Hectare 14.5 Ares, situated at Village – Loni Kalbhor, Taluka – Haveli, District – Pune, within the local limits of the concerned authority, together with one car parking space.</t>
  </si>
  <si>
    <t>Jay Ramesh Kithani</t>
  </si>
  <si>
    <t>Pankaj Satish Kithani</t>
  </si>
  <si>
    <t xml:space="preserve"> Resale </t>
  </si>
  <si>
    <t>All that Piece and Parcel of property bearing Flat No.202, on 2nd Floor in B Wing area admeasuring 63.31 sq. mtrs. Carpet and Attach Terrace Area adm. 3.28 sq. along with one Covered Car Parking No.10 having Property bearing No. O/I/79/12856031 in the society known as “AIRIANA CO-OPERATIVE HOUSING SOCIETY LIMITED” constructed on S. No. 296, Hissa No. 2 situated at village Lohegaon Taluka - Haveli, Dist. - Pune within the local limits of Pune Municipal Corporation, Pune.</t>
  </si>
  <si>
    <t>8767085640 NLK</t>
  </si>
  <si>
    <t xml:space="preserve">Abbas Sahebji Pathan    </t>
  </si>
  <si>
    <t xml:space="preserve"> Aafrin Abbas Pathan  </t>
  </si>
  <si>
    <t>All that piece and parcel of property bearing Flat No. 402, having an area admeasuring 37.08 sq. mtrs. carpet area along with terrace area admeasuring 6.88 sq. mtrs., situated on the Fourth Floor, in Building/Wing No. A, out of the project known as “Abhang Vishwa”, constructed/to be constructed on the entire land property, i.e. Gat No. 1599, situated at Village – Chikhali, Taluka – Haveli, District – Pune and within local limits of Pimpri Chinchwad Municipal Corporation.</t>
  </si>
  <si>
    <t>Akshay Ohol</t>
  </si>
  <si>
    <t xml:space="preserve">Chinchwad </t>
  </si>
  <si>
    <t>Subhash  Chabukswar</t>
  </si>
  <si>
    <t xml:space="preserve"> Chinchwad </t>
  </si>
  <si>
    <t xml:space="preserve">Sandip Kanpile </t>
  </si>
  <si>
    <t>Harsh Joglekar</t>
  </si>
  <si>
    <t>Harshal Nayan Patil</t>
  </si>
  <si>
    <t>Sunita Patil</t>
  </si>
  <si>
    <t>All that residential Apartment/Flat bearing No. 107, situated on the 1st Floor, having carpet area admeasuring 49.81 Sq. Mtrs., along with enclosed balcony area admeasuring 7.77 Sq. Mtrs. and attached sit-out/dry balcony area admeasuring 2.80 Sq. Mtrs., in ‘A’ Wing of the project known as “Prism City Skylife”, constructed on the entire land, i.e. Survey No. 534/1 and 535/2, both situated at Village Charholi Budruk, Taluka Haveli, District Pune, within the limits of Pimpri Chinchwad Municipal Corporation, Pimpri.</t>
  </si>
  <si>
    <t>Chandrakant Raghuwant</t>
  </si>
  <si>
    <t>Surendra Bhimarao Patil</t>
  </si>
  <si>
    <t xml:space="preserve"> Usha Surendra Patil</t>
  </si>
  <si>
    <t xml:space="preserve"> Home loan BT</t>
  </si>
  <si>
    <t>All that piece and parcel of property bearing Private Plot No. 11 admeasuring of H. 00-01 Ares, i.e. 1060 sq. feets., out of the Survey No. 95, having an area admeasuring of H. 0639 Ares together with Pot-Kharab area admeasuring of H. 00-19 Ares, i.e. total area admeasuring of H. 06-58 Ares, assessed at Rs. 20-00 Paise, situated at Village – Vitthalnagar, Taluka – Haveli, District – Pune</t>
  </si>
  <si>
    <t>9970073654 NLK</t>
  </si>
  <si>
    <t xml:space="preserve">Baner </t>
  </si>
  <si>
    <t>Ganesh salave Flat No. 301</t>
  </si>
  <si>
    <t>Ganesh salave Flat No. 302</t>
  </si>
  <si>
    <t>77000240739_2</t>
  </si>
  <si>
    <t>All that piece and parcel of Shop No. 2, admeasuring 29.54 Sq. Mtrs. (i.e. 318 Sq. Ft.), together with 1.20% undivided share in the land as per Deed of Apartment and 1.733% undivided share as per Deed of Declaration, situated on the Ground Floor in the building known as “Sneh Complex Condominium”, constructed on Final Plot No. 359/B/1 of Town Planning Scheme No. 1, bearing CTS No. 1032/B/1, situated at Village Shivajinagar (Bhamburda), Taluka – Haveli, District – Pune and within the local limits of Pune Municipal Corporation, Pune.</t>
  </si>
  <si>
    <t>77000240739_3</t>
  </si>
  <si>
    <t>All that piece and parcel of Shop No. 3, admeasuring 13.19 Sq. Mtrs. (i.e. 142 Sq. Ft.), together with 0.773% undivided share in the land as per Deed of Declaration, situated on the Ground Floor in the building known as “Sneh Complex Condominium”, constructed on Final Plot No. 359/B/1 of Town Planning Scheme No. 1, bearing CTS No. 1032/B/1, situated at Village Shivajinagar (Bhamburda), Taluka – Haveli, District – Pune and within the local limits of Pune Municipal Corporation, Pune.</t>
  </si>
  <si>
    <t>Rahul Patil</t>
  </si>
  <si>
    <t>7792145490_1</t>
  </si>
  <si>
    <t xml:space="preserve">Santosh Jawalkar </t>
  </si>
  <si>
    <t>Irsha Jawalkar, Raghunath Jawalkar, Muktabai Jawalkar</t>
  </si>
  <si>
    <t>All that piece and parcel of property being Flat No. 401, admeasuring Carpet Area 520.76 Sq. Ft., together with Open/Enclosed Balcony area admeasuring 51.45 Sq. Ft., Dry Balcony area admeasuring 19.38 Sq. Ft. and Terrace area admeasuring 66.52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t>
  </si>
  <si>
    <t>8983701761 NLK</t>
  </si>
  <si>
    <t>Vijay Kharat</t>
  </si>
  <si>
    <t>Sunita Kharat</t>
  </si>
  <si>
    <t>All that piece and parcel of property bearing Private Plot No. 9, having an area admeasuring of H. 00-00.93 Ares, i.e. 1000 sq. feets., out of Survey No. 46, Hissa No. 12, having total area admeasuring of H. 01-08 Ares, together with Pot-Kharab area admeasuring of H. 00-20 Ares, total area admeasuring of H. 01-28 Ares, assessed at Rs. 01-00 Paise, situated at Village – Lohgaon, Taluka – Haveli, District – Pune</t>
  </si>
  <si>
    <t xml:space="preserve">Asha Rupesh Jathar </t>
  </si>
  <si>
    <t>Jay Rupesh Jathar</t>
  </si>
  <si>
    <t xml:space="preserve"> HL Internal Top Up </t>
  </si>
  <si>
    <t>All that piece and parcel of property bearing Flat No. 7A (as per Pune Municipal Corporation sanctioned plan Flat No. 7), having an area admeasuring 270 sq. ft. i.e. 25.09 sq. mtrs. built-up, situated on the Fourth Floor, in the building known as “Sai Shraddha”, constructed on the land bearing City Survey No. 532, situated at Mouje Ganesh Peth, Taluka Haveli, District Pune and within the local limits of Pune Municipal Corporation.</t>
  </si>
  <si>
    <t>Balaji Ambadas Samlet</t>
  </si>
  <si>
    <t>Resale Property</t>
  </si>
  <si>
    <t>Kharadi S.No . 37</t>
  </si>
  <si>
    <t>77000234237_1</t>
  </si>
  <si>
    <t>Sandeep Jadhav</t>
  </si>
  <si>
    <t>LAP - Commercial</t>
  </si>
  <si>
    <t>All that piece and parcel of Unit No. G-01, having built-up area admeasuring of 457.728 sq. mtrs., situated on the Ground Floor, out of the project known as "Bellissima", being constructed on the land project land, i.e. Surve No. 271/1, 275/A, 275/B and 275, situated at Village – Baner, Taluka – Haveli, District – Pune and within local limits of Pune Municipal Corporation, Pune.</t>
  </si>
  <si>
    <t>email</t>
  </si>
  <si>
    <t>Mr. Akshay Suresh Patil</t>
  </si>
  <si>
    <t>Savita Suresh Patil</t>
  </si>
  <si>
    <t>Apana Ghar Regular Under Construction</t>
  </si>
  <si>
    <t>All that piece and parcel of land property bearing non-agricultural Plot No. 34, having an area admeasuring of 160.34 sq.mtrs., carved out of Gat No. 307/A and Gat No. 307/B, both situated at Village – Vathar Tarf Vadgaon, Taluka – Hatkanangale, District – Kolhapur.</t>
  </si>
  <si>
    <t>Ref. No. : IHFC/TSR/88/2025</t>
  </si>
  <si>
    <t>77000234237_2</t>
  </si>
  <si>
    <t>All that piece and parcel of Unit No. G-02, having built-up area admeasuring of 463.699 sq. mtrs., situated on the Ground Floor, out of the project known as "Bellissima", being constructed on the land project land, i.e. Surve No. 271/1, 275/A, 275/B and 275, situated at Village – Baner, Taluka – Haveli, District – Pune and within local limits of Pune Municipal Corporation, Pune.</t>
  </si>
  <si>
    <t>77000234237_3</t>
  </si>
  <si>
    <t>All that piece and parcel of Unit No. G-01, having built-up area admeasuring of 120.33 sq. mtrs., situated on the Ground Floor, out of the project known as "Bellissima", being constructed on the land project land, i.e. Surve No. 271/1, 275/A, 275/B and 275, situated at Village – Baner, Taluka – Haveli, District – Pune and within local limits of Pune Municipal Corporation, Pune.</t>
  </si>
  <si>
    <t>Rohit Ramesh Salekar</t>
  </si>
  <si>
    <t>Kushal Ramesh Salekar</t>
  </si>
  <si>
    <t>All that piece and parcel of property bearing Flat No. 401, having an area admeasuring 51.98 Sq. Mtrs. (Carpet Area) along with exclusive area of 4.75 Sq. Mtrs., situated on the Fourth Floor, in the building out of the project known as “PRAJAKT RESIDENCE”, constructed/to be constructed on the entire land property, i.e. Survey No. 21/5, situated at Village – Dhayari, Taluka – Haveli, District – Pune and within the local limits of Pune Municipal Corporation.</t>
  </si>
  <si>
    <t>7448000858 NK</t>
  </si>
  <si>
    <t>77000255382_1</t>
  </si>
  <si>
    <t>Sabiya Arif Shaikh</t>
  </si>
  <si>
    <t>All that piece and parcel of property bearing Flat No. 306, admeasuring Carpet Area 29.39 Sq. Mtrs., along with adjoining Terrace Area 3.15 Sq. Mtrs. and Balcony Area 6.87 Sq. Mtrs., situated on the Third Floor in Building No. “A”, in the project known as “Prajol Ashiyana”, constructed on the land bearing CTS No. 5023, CTS No. 5020/4 (Sheet No. 118), CTS No. 5026 (Sheet No. 119) and other connected CTS numbers, situated at Village Pimpri Waghere, Taluka Haveli, District Pune and within the local limits of Pimpri Chinchwad Municipal Corporation.</t>
  </si>
  <si>
    <t>Krishna Sandip Kanpile</t>
  </si>
  <si>
    <t xml:space="preserve">Amruta Sandeep Bhapkar </t>
  </si>
  <si>
    <t xml:space="preserve">Sandeep Shrikant Bhapkar.  </t>
  </si>
  <si>
    <t>Regular Lap</t>
  </si>
  <si>
    <t>All that piece and parcel of property bearing CTS No. 2684/2/B/1, admeasuring 44.40 Sq. Mtrs., together with RCC construction standing thereon, situated at A Ward, Kolhapur City, within the limits of Kolhapur Municipal Corporation, Taluka Karveer, District Kolhapur</t>
  </si>
  <si>
    <t xml:space="preserve">Suhas Appasaheb Gavali </t>
  </si>
  <si>
    <t xml:space="preserve">Rajashri Suhas Gavali </t>
  </si>
  <si>
    <t>Regular Comercial Lap</t>
  </si>
  <si>
    <t>All that piece and parcel of property being Shop/Gala No. 2, admeasuring area 27.00 Sq. Mtrs., situated on the Ground Floor in the RCC building known as “Parijaat”, constructed/to be constructed on the land bearing City Survey No. 764/B and City Survey No. 764/A/2, admeasuring in aggregate 592.45 Sq. Mtrs. as per Property Card, situated at Kasba Bawada, E Ward, within the limits of Kolhapur Municipal Corporation, Taluka Karveer, District Kolhapur.</t>
  </si>
  <si>
    <t>Kishori Santosh Tambe</t>
  </si>
  <si>
    <t>Santosh Macchindra Tambe</t>
  </si>
  <si>
    <t xml:space="preserve">Hadapsar </t>
  </si>
  <si>
    <t>Ranjeet Patil</t>
  </si>
  <si>
    <t>Kiran Namdev Shinde</t>
  </si>
  <si>
    <t>Nirmalsharada Trading LLP
Rupali Kiran Shinde</t>
  </si>
  <si>
    <t>All that piece and parcel of Shop No. 02, situated on the Ground Floor, admeasuring 323.03 square feet i.e. 30.02 square metres (carpet area), in Building No. “B”, in the building known as “Sai Vivek Co-operative Housing Society Ltd.”, together with membership rights in the said society, and along with proportionate undivided share in the land and common areas, amenities and facilities appurtenant thereto, constructed on land bearing Survey No. 77/4, lying and situated at Village Ravet, Taluka Haveli, District Pune, within the limits of Pimpri Chinchwad Municipal Corporation, Pimpri.</t>
  </si>
  <si>
    <t>Swati Yogesh Ingale</t>
  </si>
  <si>
    <t>Yogesh Laxman Ingale</t>
  </si>
  <si>
    <t>Builder purchase</t>
  </si>
  <si>
    <t>All that piece and parcel of Flat/Apartment No. 302, having carpet area admeasuring 52.99 Sq. Mtrs. along with balcony area admeasuring 3.20 Sq. Mtrs., aggregating to total carpet area of 56.19 Sq. Mtrs., situated on the 3rd Floor, in Building/Wing “E”, of the project known as “DEW DROPS”, constructed/to be constructed on the land bearing Survey No. 72A, Hissa No. 2, situated at Village Saswad, Taluka Purandar, District Pune. The said flat is along with one tin shade car parking space, and is entitled to proportionate undivided share in the land and common areas and amenities appurtenant thereto.</t>
  </si>
  <si>
    <t>7887572265 NLK</t>
  </si>
  <si>
    <t>Jagdish Popat Patil</t>
  </si>
  <si>
    <t>Popat Patil,Nirmala Patil</t>
  </si>
  <si>
    <t xml:space="preserve">Builder purchase </t>
  </si>
  <si>
    <t>All that piece and parcel of property being Flat No. 104, admeasuring Carpet Area 31.28 Sq. Mtrs., together with Balcony area admeasuring 5.42 Sq. Mtrs., situated on the First Floor in C &amp; D Wing/Building of the project known as “Khush Vista Phase I”, constructed/to be constructed on the land bearing Survey No. 2/1A/1B/2A/2B/2C/Plot No. D admeasuring 5591.35 Sq. Mtrs. and Survey No. 2/1A/1B/2A/2B/2C/Open Space/Plot No. D admeasuring 776.16 Sq. Mtrs., situated at Village Mohammadwadi, Taluka Haveli, District Pune and within the limits of Pune Municipal Corporation, along with all easements and appurtenances thereto.</t>
  </si>
  <si>
    <t>APF 4</t>
  </si>
  <si>
    <t>Avighna Heights</t>
  </si>
  <si>
    <t>All those pieces and parcels of land bearing N.A. Plot No. 53 and N.A. Plot No. 54, situate at Vadgaon, Taluka – Maval, District – Pune, formed out of Survey No. 81 + 81/2 + 281/2B, admeasuring in aggregate 905.20 Sq. Mtrs. (i.e. Plot No. 53 admeasuring 418.50 Sq. Mtrs. and Plot No. 54 admeasuring 486.70 Sq. Mtrs.), assessed at 00 Rs. 14 Ps.,</t>
  </si>
  <si>
    <t>Hardcopy (8888167545)Sourabh shinde WAKAD</t>
  </si>
  <si>
    <t>APF 5</t>
  </si>
  <si>
    <t>APF(Hadpsar)</t>
  </si>
  <si>
    <t>Santiago Skyarc (Anjani Gatha)</t>
  </si>
  <si>
    <r>
      <rPr>
        <rFont val="Calibri"/>
        <b/>
        <sz val="8.0"/>
      </rPr>
      <t xml:space="preserve">Chikhali </t>
    </r>
    <r>
      <rPr>
        <rFont val="Calibri"/>
        <b/>
        <color rgb="FF1155CC"/>
        <sz val="8.0"/>
        <u/>
      </rPr>
      <t>S.No</t>
    </r>
    <r>
      <rPr>
        <rFont val="Calibri"/>
        <b/>
        <sz val="8.0"/>
      </rPr>
      <t>.1582</t>
    </r>
  </si>
  <si>
    <t>Hardcopy 9823212931 Suraj</t>
  </si>
  <si>
    <t>Hirachand Panditrao Somwanshi</t>
  </si>
  <si>
    <t>Vishnu Bhausaheb Lasure</t>
  </si>
  <si>
    <t>Anjana Vishnu Lasure</t>
  </si>
  <si>
    <t xml:space="preserve"> Resale Commercial Lap</t>
  </si>
  <si>
    <t>All that piece and parcel of Shop/Gala No. 2, admeasuring approximately 240 Sq. Ft., situated on the Ground Floor in the building known as “Shankar Chhaya A”, constructed on land bearing Survey No. 92 (part), situated at Erandwane, Taluka Haveli, District Pune, within the limits of Pune Municipal Corporation.</t>
  </si>
  <si>
    <t xml:space="preserve">Pankaj prakash chand Jangid </t>
  </si>
  <si>
    <t xml:space="preserve"> PRAKASH CHAND SOHANLALJI JANGID</t>
  </si>
  <si>
    <t>All that piece and parcel of Flat No. 613, admeasuring Carpet Area 56.82 Sq. Mtrs., along with Enclosed Balcony area admeasuring 4.19 Sq. Mtrs., adjoining Terrace area admeasuring 5.44 Sq. Mtrs. and Dry Balcony area admeasuring 2.76 Sq. Mtrs., situated on the Sixth Floor in Building “A” of the project known as “Arun Ayon”, constructed on land bearing Survey Nos. 97/1A/1A/3, 97/1A/1A/4, 97/1A/1A/5, 97/1A/1A/6, 97/1A/1A/7, 97/1A/1A/11, 97/1A/1A/13 and 97/1A/1A/38, situated at Village Ravet, Taluka Haveli, District Pune, within the limits of Pimpri Chinchwad Municipal Corporation. Together with Covered Parking Space No. UD-7 on Upper Ground Floor, and along with proportionate undivided share in the land and all easements, rights and appurtenances thereto.</t>
  </si>
  <si>
    <t xml:space="preserve">Sandeep Sathiya </t>
  </si>
  <si>
    <t>Seema Sethiya</t>
  </si>
  <si>
    <t>NRP -Commercial</t>
  </si>
  <si>
    <r>
      <rPr>
        <rFont val="Calibri"/>
        <b/>
        <sz val="8.0"/>
      </rPr>
      <t xml:space="preserve">Mahmadwadi </t>
    </r>
    <r>
      <rPr>
        <rFont val="Calibri"/>
        <b/>
        <color rgb="FF1155CC"/>
        <sz val="8.0"/>
        <u/>
      </rPr>
      <t>S.No</t>
    </r>
    <r>
      <rPr>
        <rFont val="Calibri"/>
        <b/>
        <sz val="8.0"/>
      </rPr>
      <t>.43</t>
    </r>
  </si>
  <si>
    <t>9075190361 NK</t>
  </si>
  <si>
    <t xml:space="preserve">Rameshwar dakhore </t>
  </si>
  <si>
    <r>
      <rPr>
        <rFont val="Calibri"/>
        <b/>
        <sz val="8.0"/>
      </rPr>
      <t xml:space="preserve">Kondave dhavde </t>
    </r>
    <r>
      <rPr>
        <rFont val="Calibri"/>
        <b/>
        <color rgb="FF1155CC"/>
        <sz val="8.0"/>
        <u/>
      </rPr>
      <t>S.No</t>
    </r>
    <r>
      <rPr>
        <rFont val="Calibri"/>
        <b/>
        <sz val="8.0"/>
      </rPr>
      <t>. 343</t>
    </r>
  </si>
  <si>
    <t>9096923616 NLK</t>
  </si>
  <si>
    <t xml:space="preserve">APF 6 </t>
  </si>
  <si>
    <t>Vitthal Residency</t>
  </si>
  <si>
    <t xml:space="preserve">Pune. Khedshivapur. Milkat No. 154, </t>
  </si>
  <si>
    <t>Harudevi Premsingh Bohara</t>
  </si>
  <si>
    <t xml:space="preserve">Vijay Gonsalves </t>
  </si>
  <si>
    <t>Mr. Mohammad Shoeb Mohammad Yusuf</t>
  </si>
  <si>
    <t xml:space="preserve">CTC </t>
  </si>
  <si>
    <t>Mariyamnisha shaikh</t>
  </si>
  <si>
    <t>Hanumant Rohidas Raut</t>
  </si>
  <si>
    <t>Archana Hanumant Raut</t>
  </si>
  <si>
    <t>Internal Top - UP</t>
  </si>
  <si>
    <t>All that piece and parcel of Flat No. 102, admeasuring saleable built-up area of 49.25 Sq. Mtrs. (i.e. 530 Sq. Ft.), situated on the 1st Floor, in the building known as “Unit Plaza”, constructed on land bearing Plot No. 160, admeasuring 180 Sq. Mtrs. (i.e. 1937 Sq. Ft.), forming part of the sanctioned layout out of land bearing Survey No. 178 (Old Survey No. 150), admeasuring in aggregate 17 Hectares 29 Ares, out of which 11 Hectares 94 Ares is assessable land and 00 Hectares 46 Ares is Potkharaba, situated at Village Phursungi, Taluka Haveli, District Pune.</t>
  </si>
  <si>
    <t xml:space="preserve">Rajesh Wagh </t>
  </si>
  <si>
    <t>Harshada wagh</t>
  </si>
  <si>
    <t xml:space="preserve">Resale </t>
  </si>
  <si>
    <t>All that piece and parcel of Flat No. 404, admeasuring carpet area of 50.94 Sq. Mtrs., along with enclosed balcony admeasuring 5.87 Sq. Mtrs., open balcony admeasuring 2.05 Sq. Mtrs. and terrace admeasuring 6.72 Sq. Mtrs., situated on the 4th Floor, in Wing/Building No. D-1, in the project known as “Renuka Tulsi Phase-II”, constructed on the land bearing Survey No. 125, corresponding to CTS Nos. 2437 (Part) and 2438 (Part), situated at Village Chinchwad, Taluka Haveli, District Pune.</t>
  </si>
  <si>
    <t xml:space="preserve"> Manesh Tarachand Khaire</t>
  </si>
  <si>
    <t>Reshma Manesh Khaire</t>
  </si>
  <si>
    <t>All that piece and parcel of property bearing Flat No. 14, having an area admeasuring 39.94 Sq. Mtrs. i.e. 430 Sq. Ft. (Carpet Area), situated on the Third Floor, in Building/Wing No. A, Building No. 12, out of the project known as “Dreams Nivara Phase II”, constructed on the entire land property bearing Gat No. 528 and Gat No. 529, situated at Village – Koregaon-Mul, Taluka – Haveli, District – Pune.</t>
  </si>
  <si>
    <t>CHIRAG RAVINDRA THORAVE</t>
  </si>
  <si>
    <t>RAVINDRA TUKARAM THORAVE</t>
  </si>
  <si>
    <t>All that piece and parcel of property admeasuring of H. 00-15 Ares, out of Gat No. 520/4, having an area admeasuring of H. 00-60 Ares, assessed at Rs. 02-18 Paise, situated at Village – Charoli Khurd, Taluka – Khed, District – Pune.</t>
  </si>
  <si>
    <t>9579133298 NLK</t>
  </si>
  <si>
    <t xml:space="preserve"> Rohini Inchale </t>
  </si>
  <si>
    <t xml:space="preserve">Anil Inchale </t>
  </si>
  <si>
    <t>Resale Purchase</t>
  </si>
  <si>
    <t>All that piece and parcel of property bearing Flat No. 401, having a carpet area admeasuring 24.71 Square Meters (i.e. 266 Square Feet) along with terrace area admeasuring 88 Square Feet (i.e. 40.31 Square Meters built-up saleable area), situated on the 4th Floor, in “Renuka Heritage – Building C”, constructed on the land bearing CTS No. 170A/5+170B, admeasuring area 213.68 Square Meters, situated at Parvati, Taluka Haveli, District Pune, within the local limits of Pune Municipal Corporation and within the registration limits of Sub-Registrar District Pune.</t>
  </si>
  <si>
    <t>Document in Group</t>
  </si>
  <si>
    <t>Nikita Malhari Kande</t>
  </si>
  <si>
    <t xml:space="preserve">Malhari Shripati Kande </t>
  </si>
  <si>
    <t>Resale BT</t>
  </si>
  <si>
    <t>All that piece and parcel of property being Flat No. 304, admeasuring Carpet Area 54.35 Sq. Mtrs., together with adjoining Terrace area admeasuring 8.56 Sq. Mtrs., along with one covered car parking space, situated on the Third Floor in Wing “B” of the building known as “Shreeji Sharan”, constructed on the land bearing Survey Nos. 165/1, 171/1, 171/2, 171/3 and 171/4, admeasuring in aggregate 0 Hectare 49 Ares, situated at Village Chovisawadi, Taluka Haveli, District Pune, along with all rights, easements and appurtenances thereto.</t>
  </si>
  <si>
    <t>Seema Abhjieet Rithe</t>
  </si>
  <si>
    <t>MALHARI SHRIPATI KANADE</t>
  </si>
  <si>
    <r>
      <rPr>
        <rFont val="Calibri"/>
        <b/>
        <sz val="8.0"/>
      </rPr>
      <t xml:space="preserve">Choviswadi </t>
    </r>
    <r>
      <rPr>
        <rFont val="Calibri"/>
        <b/>
        <color rgb="FF1155CC"/>
        <sz val="8.0"/>
        <u/>
      </rPr>
      <t>S.No</t>
    </r>
    <r>
      <rPr>
        <rFont val="Calibri"/>
        <b/>
        <sz val="8.0"/>
      </rPr>
      <t>.165</t>
    </r>
  </si>
  <si>
    <t>NK Nitin Ajare</t>
  </si>
  <si>
    <t xml:space="preserve"> Gayatri Govardhan Raut</t>
  </si>
  <si>
    <t>Govardhan Chaganrao Raut</t>
  </si>
  <si>
    <t xml:space="preserve"> Builder</t>
  </si>
  <si>
    <t>All that piece and parcel of property being Shop No. 4, admeasuring Carpet Area 24.98 Sq. Mtrs., situated on the Ground Floor in Commercial Building “A” of the project known as “Sopan Sai”, constructed on the land bearing Survey Nos. 12/2+3/1, 12/2+3/3 and 12/1, situated at Village Alandi Devachi (Nagari), Taluka Khed, District Pune, along with all rights, easements and appurtenances thereto.</t>
  </si>
  <si>
    <t>Kedar Kumbhare</t>
  </si>
  <si>
    <t>Raviraj Kumbhare</t>
  </si>
  <si>
    <t>All that piece and parcel of Flat No. D-504, admeasuring carpet area of 50.35 Sq. Mtrs. (i.e. 542 Sq. Ft.), along with terrace area admeasuring 6.22 Sq. Mtrs. (i.e. 67 Sq. Ft.), aggregating to total saleable built-up area of 69.68 Sq. Mtrs. (i.e. 750 Sq. Ft.), situated on the 5th Floor, in D-Wing Building, in the project known as “Urban Gram Pirangut – I”, constructed on the land bearing Gat Nos. 1210 (Old Gat No. 279), 1211 (Old Gat No. 280), 1212 (Old Gat No. 308) and 1213 (Old Gat No. 307), situated at Village Pirangut, Taluka Mulshi, District Pune.</t>
  </si>
  <si>
    <t xml:space="preserve">Dhiraj sanjay shinde </t>
  </si>
  <si>
    <t>Prajakta Diraj shinde</t>
  </si>
  <si>
    <t>All that piece and parcel of property bearing Flat No. 803, having an area admeasuring of 59.89 sq. mtrs., i.e. 644.65 sq. feet carpet area, situated on the 8th Floor, in Wing No. “D”, out of the project known as “Satyam Prima”, constructed on the entire land property, i.e. S. No. 80/2/5, 80/2/4 and 80/2/3, all situated at Village – Manjari Budruk, Taluka – Haveli, District – Pune.</t>
  </si>
  <si>
    <t>Hardcopy</t>
  </si>
  <si>
    <t xml:space="preserve"> shubhash devkar </t>
  </si>
  <si>
    <t xml:space="preserve">Anita devkar </t>
  </si>
  <si>
    <t xml:space="preserve">builder purchase </t>
  </si>
  <si>
    <r>
      <rPr>
        <rFont val="Calibri"/>
        <b/>
        <sz val="8.0"/>
      </rPr>
      <t xml:space="preserve">Chikhali </t>
    </r>
    <r>
      <rPr>
        <rFont val="Calibri"/>
        <b/>
        <color rgb="FF1155CC"/>
        <sz val="8.0"/>
        <u/>
      </rPr>
      <t>S.No</t>
    </r>
    <r>
      <rPr>
        <rFont val="Calibri"/>
        <b/>
        <sz val="8.0"/>
      </rPr>
      <t>.669</t>
    </r>
  </si>
  <si>
    <t>77000260228/77000260227</t>
  </si>
  <si>
    <t>Nilesh Rambhau Jadhav</t>
  </si>
  <si>
    <t>Bharati Nilesh Jadhav</t>
  </si>
  <si>
    <t>BT + TOP UP</t>
  </si>
  <si>
    <t>All that piece and parcel of property bearing Flat No. 301, having an area admeasuring of 367 sq. ft. carpet area + 38 sq. ft. covered balcony + 30 sq. ft. dry balcony + 38 sq. ft. open balcony, situated on the Third Floor, in Building/Wing No. A, out of the project known as “Atharva Patson Phoenix”, constructed/to be constructed on the entire land property bearing Gat No. 1615 admeasuring 00 Hectare 26 Ares, Gat No. 1616 admeasuring 00 Hectare 11 Ares and Gat No. 1617/1 admeasuring 00 Hectare 09.5 Ares, situated at Village – Chakan, Taluka – Khed, District – Pune and within local limits of Chakan Municipal Council.</t>
  </si>
  <si>
    <t>Mahalunge Real Estate Developers Pvt. Ltd.</t>
  </si>
  <si>
    <t>4e2038fbf4974653</t>
  </si>
  <si>
    <t>LAP Commercial</t>
  </si>
  <si>
    <t>Pune. Wakad. S. No. 153</t>
  </si>
  <si>
    <t>Vijay Shelar</t>
  </si>
  <si>
    <t>Reshma Shelar</t>
  </si>
  <si>
    <t xml:space="preserve"> resale </t>
  </si>
  <si>
    <t>All that piece and parcel of Flat No. 102, admeasuring saleable area of 51.40 Sq. Mtrs. (i.e. 553 Sq. Ft.), situated on the 1st Floor, in the building known as “Jai Ganesh Apartment”, constructed on land bearing Survey No. 26, Hissa No. 3, admeasuring 04 Ares (i.e. 4000 Sq. Ft.), situated at Village Pimple Gurav, Taluka Haveli, District Pune, together with two-wheeler parking space.</t>
  </si>
  <si>
    <t>Mr. Kalim Fatemohammad Shaikh</t>
  </si>
  <si>
    <t>Rajiya Kalim Shaikh</t>
  </si>
  <si>
    <t>All that piece and parcel of land admeasuring of H. 00-01 Ares, i.e. 100 sq. mtrs., and the construction of RCC residential housing having built-up area admeasuring of 177.33 sq. mtrs., out of Survey No. 140/6, having total area admeasuring of H. 00-03 Ares, assessed at Rs. 00-06 Paise, situated at Village – Chinchwad, Taluka – Haveli, District – Pune and within local limits of Pimpri Chinchwad Municipal Corporation, Pimpri</t>
  </si>
  <si>
    <t>Mallikarjun Jattappa Mendgudli</t>
  </si>
  <si>
    <t>Resale home loan</t>
  </si>
  <si>
    <t>All that piece and parcel of property bearing Flat No. 04, having an area admeasuring of 400 sq. ft. (i.e. 37.19 sq. mtrs.), situated on the First Floor, in the building known as “Shivdatta Apartment”, constructed on the land bearing Survey No. 30/7 and 30/7/3, situated at Village – Ambegaon Budruk, Taluka – Haveli, District – Pune and within the local limits of Pune Municipal Corporation.</t>
  </si>
  <si>
    <t>JAVED SAYYED</t>
  </si>
  <si>
    <t xml:space="preserve">RESAL PURCHASE </t>
  </si>
  <si>
    <t>All that piece and parcel of land and ground situated within the Registration Sub-District Taluka Haveli, District Pune and within the limits of Pune Municipal Corporation, bearing Survey No. 46 (Part) and Survey No. 62 (Part) at Village Kondhwa Khurd, admeasuring in aggregate 26,100 sq. mtrs., out of which a Community Co-operative Housing Society has been constructed and allotted Plot No. A-83, admeasuring 2000 sq. ft., together with a bungalow/unit constructed thereon having built-up area 675 sq. ft. (i.e. 52.70 sq. mtrs.)</t>
  </si>
  <si>
    <t>Farhana Shah ( Flat 605)</t>
  </si>
  <si>
    <t>7792144884_1</t>
  </si>
  <si>
    <t>Sai Shot Blasting Services</t>
  </si>
  <si>
    <t>Nitin Shripad Satpute</t>
  </si>
  <si>
    <t>LAP BT</t>
  </si>
  <si>
    <t>All that piece and parcel of property bearing Flat No. 10, having an area admeasuring 70.44 sq. mtrs. carpet area along with terrace area admeasuring 11.33 sq. mtrs., situated on the Third Floor, in Building/Wing No. A, out of the project known as “Stone Ridge Building A Co-operative Housing Society Ltd.”, constructed on the land bearing Survey No. 315/2/13 corresponding to City Survey No. 6768, situated at Village – Pimpri Waghere, Taluka – Haveli, District – Pune and within local limits of Pimpri Chinchwad Municipal Corporation, bearing Property No. 0602181902323.</t>
  </si>
  <si>
    <t>Farhana Shah ( Flat 606)</t>
  </si>
  <si>
    <t>Dnyaneshwar Pandharinath Mohite</t>
  </si>
  <si>
    <t>Shital Mohite</t>
  </si>
  <si>
    <t>HL</t>
  </si>
  <si>
    <t>All that piece and parcel of property bearing Flat No. 613, having an area admeasuring 32.58 sq. mtrs. carpet area along with enclosed balcony admeasuring 5.03 sq. mtrs. and terrace admeasuring 5.65 sq. mtrs., situated on the Sixth Floor, in Building/Wing No. B, out of the project known as “Ganesh Siddhi”, constructed/to be constructed on the entire land property, i.e. Gat Nos. 967, 968, 969, 970, 985, 986, 987 and 988, situated at Village – Chikhali, Taluka - Haveli, District - Pune and within local limits of Pimpri Chinchwad Municipal Corporation.</t>
  </si>
  <si>
    <t>7792144884_2</t>
  </si>
  <si>
    <t>All that piece and parcel of property bearing Flat No. 11, having an area admeasuring 65.70 sq. mtrs. carpet area along with terrace area admeasuring 11.33 sq. mtrs., situated on the Third Floor, in Building/Wing No. A, out of the project known as “Stone Ridge”, constructed on the land bearing Survey No. 315/2/13 corresponding to City Survey No. 6768, situated at Village – Pimpri Waghere, Taluka – Haveli, District – Pune and within local limits of Pimpri Chinchwad Municipal Corporation.</t>
  </si>
  <si>
    <t>vishrantwadi</t>
  </si>
  <si>
    <t>NINAD NAIKWADE</t>
  </si>
  <si>
    <t>SANJAY NAIKWADE</t>
  </si>
  <si>
    <t>Commercial LAP</t>
  </si>
  <si>
    <t>All that piece and parcel of property bearing Shop No. 02, having an area admeasuring 221.25 sq. ft. (i.e. 20.56 sq. mtrs. carpet area) and 310 sq. ft. built-up area, situated on the Lower Ground Floor, in the building known as “ABC Junction H-9 Co-operative Housing Society Ltd.”, constructed on the land bearing Plot No. H-9, Akurdi District Center, situated at Village – Akurdi, Taluka – Haveli, District – Pune and within the local limits of Pimpri Chinchwad Municipal Corporation.</t>
  </si>
  <si>
    <t xml:space="preserve">Main </t>
  </si>
  <si>
    <t xml:space="preserve">Aniket Dandgavhan </t>
  </si>
  <si>
    <t>Vithal Tandale</t>
  </si>
  <si>
    <t>bharti shirsath</t>
  </si>
  <si>
    <t>All that piece and parcel of property bearing Flat No. A-604, having an area admeasuring of 51.67 sq. mtrs. (i.e. 556 sq. ft. carpet area) along with attached terrace admeasuring 9.94 sq. mtrs. (i.e. 107 sq. ft.) and saleable area admeasuring 82.25 sq. mtrs. (i.e. 885 sq. ft.), situated on the Sixth Floor, in Building/Wing No. A, out of the project known as “Oxy Valley Phase II Co-Operative Housing Society Ltd.”, constructed on the entire land property bearing Gat No. 743, Old Gat No. 744 and Gat No. 744/1 (Old Gat No. 745/1), situated at Village – Wagholi, Taluka – Haveli, District – Pune.</t>
  </si>
  <si>
    <t>7030156651 Nk</t>
  </si>
  <si>
    <t>Vishal Babasaheb Jadhav</t>
  </si>
  <si>
    <t>Pradnya Vishal Jadhav</t>
  </si>
  <si>
    <t xml:space="preserve"> BT+TopUp</t>
  </si>
  <si>
    <t>All that piece and parcel of property bearing Flat No. 21, having an area admeasuring of 444 sq. ft. (i.e. 41.26 sq. mtrs. built-up area), situated on the Fourth Floor, in Building No. 5, out of the project known as “Runwal Park Co-operative Housing Society Ltd.”, constructed on the entire land property bearing Survey No. 580/581, CTS No. 3223, Plot No. R-9 (A+B), situated at Village – Munjeri Bibwewadi, Taluka – Haveli, District – Pune and within local limits of Pune Municipal Corporation.</t>
  </si>
  <si>
    <t>77000255382_2</t>
  </si>
  <si>
    <t>All that piece and parcel of property bearing Flat No. 307, admeasuring Carpet Area 28.49 Sq. Mtrs., along with adjoining Terrace Area 4.32 Sq. Mtrs. and Balcony Area 3.91 Sq. Mtrs., situated on the Third Floor in Building No. “A”, in the project known as “Prajol Ashiyana”, constructed on the land bearing CTS No. 5023, CTS No. 5020/4 (Sheet No. 118), CTS No. 5026 (Sheet No. 119) and other connected CTS numbers, situated at Village Pimpri Waghere, Taluka Haveli, District Pune and within the local limits of Pimpri Chinchwad Municipal Corporation.</t>
  </si>
  <si>
    <t>7792145490_2</t>
  </si>
  <si>
    <t>All that piece and parcel of property being Flat No. 304, admeasuring Carpet Area 518.07 Sq. Ft., together with Open/Enclosed Balcony area admeasuring 54.14 Sq. Ft., Dry Balcony area admeasuring 19.38 Sq. Ft. and Terrace area admeasuring 66.52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t>
  </si>
  <si>
    <t>7792145490_3</t>
  </si>
  <si>
    <t>All that piece and parcel of property being Flat No. A-1102, admeasuring Carpet Area 572.32 Sq. Ft., together with Open/Enclosed Balcony area admeasuring 0 Sq. Ft., Dry Balcony area admeasuring 19.38 Sq. Ft. and Terrace area admeasuring 59.09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t>
  </si>
  <si>
    <t>HFC Siliguri Branch</t>
  </si>
  <si>
    <t xml:space="preserve">Kuljeet Singh </t>
  </si>
  <si>
    <t xml:space="preserve">Paramjit Singh </t>
  </si>
  <si>
    <t>Regular Home Loan Seller BT</t>
  </si>
  <si>
    <t>All that piece and parcel of property bearing Flat No. 703, having an area admeasuring of 38.55 sq. mtrs. carpet area (equivalent to 415 sq. ft.) inclusive of balcony area, situated on the Seventh Floor, in Building/Wing No. A-3, out of the project known as “Xrbia Hinjewadi”, constructed/to be constructed on the entire land property bearing Plot No. R-29 (out of sanctioned layout of larger land), situated at Village – Dattawadi, Taluka – Mulshi, District – Pune and within local limits of Gram Panchayat, Dattawadi.</t>
  </si>
  <si>
    <t>9641889945Nlk</t>
  </si>
  <si>
    <t xml:space="preserve"> Main</t>
  </si>
  <si>
    <t>Neeraj phadke</t>
  </si>
  <si>
    <r>
      <rPr>
        <rFont val="Calibri"/>
        <b/>
        <sz val="8.0"/>
      </rPr>
      <t xml:space="preserve">Nagpur Mouza Ambazari </t>
    </r>
    <r>
      <rPr>
        <rFont val="Calibri"/>
        <b/>
        <color rgb="FF1155CC"/>
        <sz val="8.0"/>
        <u/>
      </rPr>
      <t>S.No</t>
    </r>
    <r>
      <rPr>
        <rFont val="Calibri"/>
        <b/>
        <sz val="8.0"/>
      </rPr>
      <t xml:space="preserve"> 109 (2181)</t>
    </r>
  </si>
  <si>
    <t xml:space="preserve"> 89562 10811 group </t>
  </si>
  <si>
    <t>Sandip Raghnunath Gore</t>
  </si>
  <si>
    <t>Kalyani Keshav Hirave</t>
  </si>
  <si>
    <t>All that piece and parcel of property bearing Flat No. 203, having an area admeasuring of 33.37 sq. mtrs. carpet area plus 13.39 sq. mtrs. balcony area aggregating to 46.76 sq. mtrs. (i.e. 503.32 sq. ft.), situated on the 2nd Floor, out of the project known as “DATTASHREE”, constructed/to be constructed on the entire land property bearing Survey No. 37 Hissa No. 5/7 and Survey No. 37 Hissa No. 5/9, situated at Village – Warje, Taluka – Haveli, District – Pune and within local limits of Pune Municipal Corporation.</t>
  </si>
  <si>
    <t xml:space="preserve">Ganesh sarak </t>
  </si>
  <si>
    <t xml:space="preserve">Subhash sarak </t>
  </si>
  <si>
    <t xml:space="preserve">All that piece and parcel of property bearing land situated at Village – Uruli Devachi, Taluka – Haveli, District – Pune, within the jurisdiction of Sub-Registrar Haveli No. 1 to 27 and within the limits of Fursungi–Uruli Devachi Municipal Council, comprising:
(i) Survey No. 237, Hissa No. 2A/43 admeasuring 00 Hectare 01 Are (i.e. 100 sq. mtrs.), and
(ii) Survey No. 237, Hissa No. 2A/45 admeasuring 00 Hectare 00.0040 Are (i.e. 40 sq. mtrs.),
aggregating to a total area of 00 Hectare 00.0140 Are (i.e. 140 sq. mtrs.), together with R.C.C. construction standing thereon admeasuring about 750 sq. ft. (i.e. 69.70 sq. mtrs.) on ground floor, bearing Property No. P/M/83/01239000,
</t>
  </si>
  <si>
    <t xml:space="preserve">Dnyaneshwar Balasaheb Kale </t>
  </si>
  <si>
    <t xml:space="preserve">Nil. </t>
  </si>
  <si>
    <t xml:space="preserve">Balance Transfer </t>
  </si>
  <si>
    <t>12549/2026/Haveli 12</t>
  </si>
  <si>
    <t>Rushikesh Pawar</t>
  </si>
  <si>
    <t>10671/2026/Haveli 7</t>
  </si>
  <si>
    <t>Omkar Ganapatrao Desai</t>
  </si>
  <si>
    <t>Poonam Omkar Desai</t>
  </si>
  <si>
    <t>All that piece and parcel of Flat No. O-306, admeasuring carpet area of 35.8 Sq. Mtrs. (i.e. 386 Sq. Ft.), along with adjoining terrace admeasuring about 4.18 Sq. Mtrs., situated on the 3rd Floor, in Building No. O, in the project known as “Shriniwas Green Land County Co-operative Housing Society Ltd.”, together with one car parking area admeasuring 9 Sq. Mtrs., constructed on the land bearing Survey No. 42/1A/1 to 42/1A/19, admeasuring in aggregate 04 Hectares 68 Ares, situated at Village Narhe, Taluka Haveli, District Pune.</t>
  </si>
  <si>
    <t>9162393045 NLK</t>
  </si>
  <si>
    <t>Pankaj Jadhav</t>
  </si>
  <si>
    <t>11040/2026/Haveli 11</t>
  </si>
  <si>
    <t xml:space="preserve"> Yuvraj pandurang powar </t>
  </si>
  <si>
    <t xml:space="preserve">Micro LAP </t>
  </si>
  <si>
    <t xml:space="preserve"> DINESH EKNATH IRALE</t>
  </si>
  <si>
    <t>MADHURI DINESH IRALE</t>
  </si>
  <si>
    <t xml:space="preserve">Builder Purchase </t>
  </si>
  <si>
    <t>All that piece and parcel of property bearing Flat No. 302, having an area admeasuring of 45.54 sq. mtrs. (i.e. 490 sq. ft. carpet area), situated on the Third Floor, in Inclusive Housing EWS Building, out of the project known as “The Kings Way AOP EWS”, constructed/to be constructed on the entire land property bearing Survey No. 67-A, Hissa Nos. 6-A, 8-A, 8-B, 7-A, 9-A, 9-B, 10-A and 10-C (corresponding to CTS No. 805), situated at Village – Ghorpadi, Taluka – Pune City, District – Pune and within local limits of Pune Municipal Corporation.</t>
  </si>
  <si>
    <t>Baner Group</t>
  </si>
  <si>
    <t>Beena K Revankar</t>
  </si>
  <si>
    <r>
      <rPr>
        <rFont val="Calibri"/>
        <b/>
        <sz val="8.0"/>
      </rPr>
      <t xml:space="preserve">Nanekarwadi </t>
    </r>
    <r>
      <rPr>
        <rFont val="Calibri"/>
        <b/>
        <color rgb="FF1155CC"/>
        <sz val="8.0"/>
        <u/>
      </rPr>
      <t>S.No</t>
    </r>
    <r>
      <rPr>
        <rFont val="Calibri"/>
        <b/>
        <sz val="8.0"/>
      </rPr>
      <t xml:space="preserve"> 407</t>
    </r>
  </si>
  <si>
    <t>9527523011 NK</t>
  </si>
  <si>
    <t>10507/2026/Haveli 11</t>
  </si>
  <si>
    <t>Prakash Veerabhadrappa Biradar</t>
  </si>
  <si>
    <t>Jyoti Prakash Biradar</t>
  </si>
  <si>
    <t>Resale Seller BT</t>
  </si>
  <si>
    <t>All that piece and parcel of property bearing Flat No. 104, having an area admeasuring of 57.04 sq. mtrs. (i.e. 614 sq. ft.) carpet area including balconies along with 11.24 sq. mtrs. (i.e. 121 sq. ft.) adjacent terrace area (exclusive right to use), situated on the First Floor, in Building/Wing No. A, out of the project known as “Mohar Pratima”, constructed/to be constructed on the entire land property bearing Survey No. 348/2/1 corresponding to CTS No. 7694 and Survey No. 349 corresponding to CTS No. 7696, situated at Village – Talegaon Dabhade, Taluka – Maval, District – Pune and within local limits of Talegaon Dabhade Municipal Council.</t>
  </si>
  <si>
    <t xml:space="preserve">Mohan Yashavantrao jadhav </t>
  </si>
  <si>
    <t>PRAVIN GANGADHARRAO SONTAKKE</t>
  </si>
  <si>
    <t>Sheetal Pravin sontakke</t>
  </si>
  <si>
    <t>Builder purchase HL</t>
  </si>
  <si>
    <t>All that piece and parcel of property bearing Flat No. A3/B-709, having an area admeasuring of 78.04 Sq. Mtrs. (i.e. 840 Sq. Ft. Carpet Area), situated on the 7th Floor, in Building/Wing No. A3, Wing B, out of the project known as “Aditya Vivaaz”, constructed/to be constructed on the entire land property, i.e. Survey No. 92 (Part), situated at Village – Ravet, Taluka – Haveli, District – Pune and within local limits of Pimpri Chinchwad Municipal Corporation.</t>
  </si>
  <si>
    <t>Rohit Namdev Kale</t>
  </si>
  <si>
    <t>11823/2026/Haveli 6</t>
  </si>
  <si>
    <t>Vijay Chakravarti</t>
  </si>
  <si>
    <t>All that piece and parcel of property bearing Survey No. 67/1B/4/1/43, having an area admeasuring of H. 00-01 Ares, i.e. 100 sq. mtrs., situated at Village – Dhanori, Taluka – Haveli, District – Pune and within local limits of Pune Municipal Corporation, Pune</t>
  </si>
  <si>
    <t>7792151880 / 7792145946</t>
  </si>
  <si>
    <t xml:space="preserve">Faiyaz Shaikh </t>
  </si>
  <si>
    <t>6663/2024/Haveli No 7</t>
  </si>
  <si>
    <t>Jagdish mahriya</t>
  </si>
  <si>
    <t xml:space="preserve">Dhannaram Mohanram Maharia  Gulab devi  Sushila devi </t>
  </si>
  <si>
    <t>5209/2017/Karvir1</t>
  </si>
  <si>
    <t>77000243985 No. 1</t>
  </si>
  <si>
    <t xml:space="preserve"> Vandana Vitthal Dalavi </t>
  </si>
  <si>
    <t>77000243985 No. 2</t>
  </si>
  <si>
    <t xml:space="preserve">Vandana Vitthal Dalavi </t>
  </si>
  <si>
    <t xml:space="preserve">77000243985 No. 3 </t>
  </si>
  <si>
    <t>Deepak Sambhaji Kadam</t>
  </si>
  <si>
    <t>2465/2023/Karvir 4</t>
  </si>
  <si>
    <t>Dipak Baban Mangade</t>
  </si>
  <si>
    <t>Priti Dipak Mangade</t>
  </si>
  <si>
    <t>All that piece and parcel of property bearing Flat No. 808, having an area admeasuring of 447.03 sq. ft. (i.e. 41.53 sq. mtrs. carpet area) along with balcony area admeasuring 33.26 sq. ft. (i.e. 3.09 sq. mtrs.), situated on the 8th Floor, in Building “Amruta Vihar”, out of the project known as “AMRUTA VIHAR”, constructed/to be constructed on the entire land property bearing Survey No. 132/1/1A, situated at Village – Dhayari, Taluka – Haveli, District – Pune and within local limits of Pune Municipal Corporation.</t>
  </si>
  <si>
    <t>TSR+LSR</t>
  </si>
  <si>
    <t>Bhavesh Marne</t>
  </si>
  <si>
    <t>13933/2024/Haveli 1</t>
  </si>
  <si>
    <t xml:space="preserve">Yuvraj Vithoba Patil </t>
  </si>
  <si>
    <t>934/2026/Chandgad</t>
  </si>
  <si>
    <t>Arij mulla</t>
  </si>
  <si>
    <t>4458/2025/Karvir 1</t>
  </si>
  <si>
    <t xml:space="preserve"> Hadapsar </t>
  </si>
  <si>
    <t>Sarath Nagalla</t>
  </si>
  <si>
    <t>11464/2026/Haveli 11</t>
  </si>
  <si>
    <t>Bhanwar singh</t>
  </si>
  <si>
    <t>Ajoy Patra</t>
  </si>
  <si>
    <t>12372/2026/Haveli 12</t>
  </si>
  <si>
    <t>d9f73887b8ee45bf</t>
  </si>
  <si>
    <t>Om prakash Sharma</t>
  </si>
  <si>
    <t>12692/2026/Haveli 24</t>
  </si>
  <si>
    <t>f56393bd8d6d49df</t>
  </si>
  <si>
    <t>Vaibhav Phadke</t>
  </si>
  <si>
    <t>631/2023/Haveli 3</t>
  </si>
  <si>
    <t>prashant pathare</t>
  </si>
  <si>
    <t>rajesh pathare</t>
  </si>
  <si>
    <r>
      <rPr>
        <rFont val="Calibri"/>
        <b/>
        <sz val="8.0"/>
      </rPr>
      <t xml:space="preserve">Sutarwadi </t>
    </r>
    <r>
      <rPr>
        <rFont val="Calibri"/>
        <b/>
        <color rgb="FF1155CC"/>
        <sz val="8.0"/>
        <u/>
      </rPr>
      <t>S.No</t>
    </r>
    <r>
      <rPr>
        <rFont val="Calibri"/>
        <b/>
        <sz val="8.0"/>
      </rPr>
      <t xml:space="preserve"> 2</t>
    </r>
  </si>
  <si>
    <t>7040506640(Group)</t>
  </si>
  <si>
    <t xml:space="preserve">Manish Udapurkar </t>
  </si>
  <si>
    <t xml:space="preserve"> Monali Udapurkar</t>
  </si>
  <si>
    <t>NRP (office space in Vj central, kharadi)</t>
  </si>
  <si>
    <t>Kharadi(Mahapalike madhe samavishta)S.No.38</t>
  </si>
  <si>
    <t>8446781857(NLK)</t>
  </si>
  <si>
    <t>Pramod Kavde</t>
  </si>
  <si>
    <t>yogesh kavde</t>
  </si>
  <si>
    <r>
      <rPr>
        <rFont val="Calibri"/>
        <b/>
        <sz val="8.0"/>
      </rPr>
      <t xml:space="preserve">Marunji </t>
    </r>
    <r>
      <rPr>
        <rFont val="Calibri"/>
        <b/>
        <color rgb="FF1155CC"/>
        <sz val="8.0"/>
        <u/>
      </rPr>
      <t>S.No</t>
    </r>
    <r>
      <rPr>
        <rFont val="Calibri"/>
        <b/>
        <sz val="8.0"/>
      </rPr>
      <t>.55</t>
    </r>
  </si>
  <si>
    <t>Group(7507686742)</t>
  </si>
  <si>
    <t xml:space="preserve">Neha Bhusari </t>
  </si>
  <si>
    <t xml:space="preserve">Saurabh Madhukar Patil </t>
  </si>
  <si>
    <t>Application ID</t>
  </si>
  <si>
    <t>Initiation Date</t>
  </si>
  <si>
    <t>Co-Applicant</t>
  </si>
  <si>
    <t>Executive Mobile No</t>
  </si>
  <si>
    <t>Executive Email</t>
  </si>
  <si>
    <t>Status</t>
  </si>
  <si>
    <t>Remark</t>
  </si>
  <si>
    <t>04.04.2026</t>
  </si>
  <si>
    <t>Results Downloaded_Pooja</t>
  </si>
  <si>
    <t>06.04.2026</t>
  </si>
  <si>
    <t xml:space="preserve">Done by Deepali </t>
  </si>
  <si>
    <t>07.04.2026</t>
  </si>
  <si>
    <t>15.04.2026</t>
  </si>
  <si>
    <t>08.04.2026</t>
  </si>
  <si>
    <t>09.04.2026</t>
  </si>
  <si>
    <t>10.04.2026</t>
  </si>
  <si>
    <t>02.04.2026</t>
  </si>
  <si>
    <t>Akash Dnyanoba Kale</t>
  </si>
  <si>
    <t>Swati Akash Kale</t>
  </si>
  <si>
    <t>28.03.2026</t>
  </si>
  <si>
    <t>13.04.2026</t>
  </si>
  <si>
    <t xml:space="preserve"> Done by Deepali Copy of Gift Deed and 7/12 pending.</t>
  </si>
  <si>
    <t>14.04.2026</t>
  </si>
  <si>
    <t>Results Downloaded _Deepali</t>
  </si>
  <si>
    <t>16.04.2026</t>
  </si>
  <si>
    <t>Joint/Undivided property</t>
  </si>
  <si>
    <t>Results downloaded</t>
  </si>
  <si>
    <t>30.03.2026</t>
  </si>
  <si>
    <t>29.03.2026</t>
  </si>
  <si>
    <t>17.04.2026</t>
  </si>
  <si>
    <t>Hard Copy/Negative Report. Informed on email</t>
  </si>
  <si>
    <t>18.04.2026</t>
  </si>
  <si>
    <t>Talegaon Dabhade  Shahari S.No.26</t>
  </si>
  <si>
    <t>20.04.2026</t>
  </si>
  <si>
    <t>19.04.2026</t>
  </si>
  <si>
    <t>Results Downloaded_Deepali</t>
  </si>
  <si>
    <t>23.04.2026</t>
  </si>
  <si>
    <t>21.04.2026</t>
  </si>
  <si>
    <t>647_1</t>
  </si>
  <si>
    <t>22.04.2026</t>
  </si>
  <si>
    <t>I completed the search,but none of the Results were downloaded / POOJA</t>
  </si>
  <si>
    <t>609_2</t>
  </si>
  <si>
    <t>609_3</t>
  </si>
  <si>
    <t>21.03.2026</t>
  </si>
  <si>
    <t>24.04.2026</t>
  </si>
  <si>
    <t>25.04.2026</t>
  </si>
  <si>
    <t xml:space="preserve">Group </t>
  </si>
  <si>
    <t>Document/Draft of Flat is not provided</t>
  </si>
  <si>
    <t>26.04.2026</t>
  </si>
  <si>
    <t>Commercial Lap</t>
  </si>
  <si>
    <r>
      <rPr>
        <rFont val="Calibri"/>
        <b/>
        <sz val="8.0"/>
      </rPr>
      <t xml:space="preserve">Avalwadi (Wagholi) </t>
    </r>
    <r>
      <rPr>
        <rFont val="Calibri"/>
        <b/>
        <color rgb="FF1155CC"/>
        <sz val="8.0"/>
        <u/>
      </rPr>
      <t>S.No</t>
    </r>
    <r>
      <rPr>
        <rFont val="Calibri"/>
        <b/>
        <sz val="8.0"/>
      </rPr>
      <t>.743</t>
    </r>
  </si>
  <si>
    <t>647_2</t>
  </si>
  <si>
    <t>647_3</t>
  </si>
  <si>
    <t>27.04.2026</t>
  </si>
  <si>
    <t>28.04.2026</t>
  </si>
  <si>
    <t>29.04.2026</t>
  </si>
  <si>
    <t>30.04.2026</t>
  </si>
  <si>
    <t>01.04.2026</t>
  </si>
  <si>
    <t>Sr. No.</t>
  </si>
  <si>
    <t>Receipt
  Date</t>
  </si>
  <si>
    <t>Case Type</t>
  </si>
  <si>
    <t>Description of Property</t>
  </si>
  <si>
    <t>Receipt No.</t>
  </si>
  <si>
    <t>Receipt Amount</t>
  </si>
  <si>
    <t>eSearch Receipt</t>
  </si>
  <si>
    <t>Report Date</t>
  </si>
  <si>
    <t>VeloCT Status</t>
  </si>
  <si>
    <t>Completed and Issued</t>
  </si>
  <si>
    <t>Narayn</t>
  </si>
  <si>
    <t>11.04.2026</t>
  </si>
  <si>
    <t>Rs. 25,000</t>
  </si>
  <si>
    <t>Rs. 10,000</t>
  </si>
  <si>
    <t>02.05.2026</t>
  </si>
  <si>
    <t>Sr. No</t>
  </si>
  <si>
    <t>Property</t>
  </si>
  <si>
    <t>Document Reg. No.</t>
  </si>
  <si>
    <t>Search ID</t>
  </si>
  <si>
    <t>GRN No.</t>
  </si>
  <si>
    <t>Amount</t>
  </si>
  <si>
    <t>Dept. ID</t>
  </si>
  <si>
    <t>Date of Completion</t>
  </si>
  <si>
    <t>N_242</t>
  </si>
  <si>
    <t>8435/2026/HVL24</t>
  </si>
  <si>
    <t>50b9bf774f9a48a3</t>
  </si>
  <si>
    <t>MH000743500202627E</t>
  </si>
  <si>
    <t>CTC + Vetting Provided</t>
  </si>
  <si>
    <t>N_243</t>
  </si>
  <si>
    <t>9766/2026/HVL16</t>
  </si>
  <si>
    <t>62f124e572724d4c</t>
  </si>
  <si>
    <t>N_244</t>
  </si>
  <si>
    <t>N.A.</t>
  </si>
  <si>
    <t>6262/2026/HVL20</t>
  </si>
  <si>
    <t>N_245</t>
  </si>
  <si>
    <t>10814/2026/HVL2</t>
  </si>
  <si>
    <t>a5ba3cddf8454725</t>
  </si>
  <si>
    <t>N_246_</t>
  </si>
  <si>
    <t>10118/2026/HVL 14</t>
  </si>
  <si>
    <t>4a8f764ccf144951</t>
  </si>
  <si>
    <t>10084/2022/Haveli No. 6</t>
  </si>
  <si>
    <t>eb35b2b7690a4a36</t>
  </si>
  <si>
    <t>MH000051700202627E</t>
  </si>
  <si>
    <t>D32</t>
  </si>
  <si>
    <t>9709/2026/Haveli No 6</t>
  </si>
  <si>
    <t>63450c5aa9ed4e2a</t>
  </si>
  <si>
    <t>D33</t>
  </si>
  <si>
    <t>5381/2019/Haveli 21</t>
  </si>
  <si>
    <t>ffdd9a56f74044a0</t>
  </si>
  <si>
    <t>D35</t>
  </si>
  <si>
    <t>9347/2026/Haveli 8</t>
  </si>
  <si>
    <t>beda5ce61adb484a</t>
  </si>
  <si>
    <t>D34</t>
  </si>
  <si>
    <t>9838/2026/Haveli2</t>
  </si>
  <si>
    <t>cb77d0c75da34447</t>
  </si>
  <si>
    <t>D45</t>
  </si>
  <si>
    <t>9236/2026/Haveli 8</t>
  </si>
  <si>
    <t>88bb845841f54091</t>
  </si>
  <si>
    <t>D70</t>
  </si>
  <si>
    <t>1995/2019/Haveli 1</t>
  </si>
  <si>
    <t>b5fac53d54734b3b</t>
  </si>
  <si>
    <t>D36</t>
  </si>
  <si>
    <t>10225/2026/Haveli 18</t>
  </si>
  <si>
    <t>e2c590e047464c0b</t>
  </si>
  <si>
    <t>D37</t>
  </si>
  <si>
    <t>5251/2026/Maval</t>
  </si>
  <si>
    <t>4fb068d5d4114df8</t>
  </si>
  <si>
    <t>D38</t>
  </si>
  <si>
    <t>5252/2026/Maval</t>
  </si>
  <si>
    <t>61f42a88e22742d9</t>
  </si>
  <si>
    <t>D40</t>
  </si>
  <si>
    <t>2874/2026/Khed</t>
  </si>
  <si>
    <t>3eb824847b0e4cfd</t>
  </si>
  <si>
    <t>D42</t>
  </si>
  <si>
    <t>668/2006/Haveli No. 6</t>
  </si>
  <si>
    <t>97f408c047984b98</t>
  </si>
  <si>
    <t>9655/2026/Haveli 24</t>
  </si>
  <si>
    <t>40ea2d6f9d5b48ad</t>
  </si>
  <si>
    <t>D23</t>
  </si>
  <si>
    <t>1891/2026/akluj</t>
  </si>
  <si>
    <t>8d883d288f984980</t>
  </si>
  <si>
    <t>D47</t>
  </si>
  <si>
    <t>10851/2026/Haveli 3</t>
  </si>
  <si>
    <t>22947343a18d4e3b</t>
  </si>
  <si>
    <t>D44</t>
  </si>
  <si>
    <t>5419/2026/Maval</t>
  </si>
  <si>
    <t>a4cc55859c2c4cce</t>
  </si>
  <si>
    <t>D84</t>
  </si>
  <si>
    <t>11260/2026/Haveli 10</t>
  </si>
  <si>
    <t>dc81599a92d04477</t>
  </si>
  <si>
    <t>D49</t>
  </si>
  <si>
    <t>20030/2023/Haveli 24</t>
  </si>
  <si>
    <t>93c5233aade74da0</t>
  </si>
  <si>
    <t>D76</t>
  </si>
  <si>
    <t>10860/2026/Haveli 3</t>
  </si>
  <si>
    <t>71c0633232104f71</t>
  </si>
  <si>
    <t>13-04-2026</t>
  </si>
  <si>
    <t>D25</t>
  </si>
  <si>
    <t>17017/2024/Haveli 19</t>
  </si>
  <si>
    <t>8041c39b9e2948e6</t>
  </si>
  <si>
    <t>D51</t>
  </si>
  <si>
    <t>9158/2026/Haveli 11</t>
  </si>
  <si>
    <t>3106412871ea4ead</t>
  </si>
  <si>
    <t>9148/2026/Haveli 19</t>
  </si>
  <si>
    <t>92c7d677c29549c7</t>
  </si>
  <si>
    <t>D75</t>
  </si>
  <si>
    <t>1658/2026/Gadhinglaj</t>
  </si>
  <si>
    <t>6b77f68592f94807</t>
  </si>
  <si>
    <t>D58</t>
  </si>
  <si>
    <t>3868/2026/Talegaon Dhamdhere</t>
  </si>
  <si>
    <t>only vetting</t>
  </si>
  <si>
    <t>Only vetting)</t>
  </si>
  <si>
    <t>D54</t>
  </si>
  <si>
    <t>D59</t>
  </si>
  <si>
    <t>9509/2024/Haveli 14</t>
  </si>
  <si>
    <t>778e5aa79b2649f8</t>
  </si>
  <si>
    <t>MH000375182202627U</t>
  </si>
  <si>
    <t>D62</t>
  </si>
  <si>
    <t>D57</t>
  </si>
  <si>
    <t>7889/2016/Mulshi 2</t>
  </si>
  <si>
    <t>f5056804c8554c31</t>
  </si>
  <si>
    <t>D56</t>
  </si>
  <si>
    <t>9663/2026/Haveli 23</t>
  </si>
  <si>
    <t>966cb4d5be004480</t>
  </si>
  <si>
    <t>D41</t>
  </si>
  <si>
    <t>D61</t>
  </si>
  <si>
    <t>11202/2026/Haveli 10</t>
  </si>
  <si>
    <t>b58de10b6eff43d1</t>
  </si>
  <si>
    <t>D64</t>
  </si>
  <si>
    <t>10791/2026/Haveli 2</t>
  </si>
  <si>
    <t>939c7b4a805341d0</t>
  </si>
  <si>
    <t>D65</t>
  </si>
  <si>
    <t>9366/2026/Haveli 6</t>
  </si>
  <si>
    <t>0384d3369ed14dd6</t>
  </si>
  <si>
    <t>D63</t>
  </si>
  <si>
    <t>9191/2026/Haveli 8</t>
  </si>
  <si>
    <t>60b5c8a3435341e3</t>
  </si>
  <si>
    <t>D66</t>
  </si>
  <si>
    <t>1518/2026/Haveli 13</t>
  </si>
  <si>
    <t>222718ad8dac431f</t>
  </si>
  <si>
    <t>D74</t>
  </si>
  <si>
    <t>D103</t>
  </si>
  <si>
    <t>6908/2020/Haveli 24</t>
  </si>
  <si>
    <t>9eac2d93abf0429e</t>
  </si>
  <si>
    <t>D69</t>
  </si>
  <si>
    <t>9870/2026/Haveli 6</t>
  </si>
  <si>
    <t>5f6ef7ebf4e64910</t>
  </si>
  <si>
    <t>9019/2026/Haveli 17</t>
  </si>
  <si>
    <t>81867e4079fd4944</t>
  </si>
  <si>
    <t>D68</t>
  </si>
  <si>
    <t>2744/2026/bhor</t>
  </si>
  <si>
    <t>4522b38c3ad84f5a</t>
  </si>
  <si>
    <t>16127/2018/Haveli 25</t>
  </si>
  <si>
    <t>29de0f3d9c824a42</t>
  </si>
  <si>
    <t>D90</t>
  </si>
  <si>
    <t>4091/2026/purandar</t>
  </si>
  <si>
    <t>2266844b862349c4</t>
  </si>
  <si>
    <t>D73</t>
  </si>
  <si>
    <t>22765/2024/Haveli 6</t>
  </si>
  <si>
    <t>94dc1863032d45b9</t>
  </si>
  <si>
    <t>D72</t>
  </si>
  <si>
    <t>2556/2026/Mulshi 2</t>
  </si>
  <si>
    <t>09facf3864ef4172</t>
  </si>
  <si>
    <t>8435/2026/Haveli 24</t>
  </si>
  <si>
    <t>1bd20bd6014f4a22</t>
  </si>
  <si>
    <t>D78</t>
  </si>
  <si>
    <t>3768/2026/Vadgaon Maval 2</t>
  </si>
  <si>
    <t>7a26ad70ca6d4f75</t>
  </si>
  <si>
    <t>15-04-2026</t>
  </si>
  <si>
    <t>D79</t>
  </si>
  <si>
    <t>11660/2026/Haveli 24</t>
  </si>
  <si>
    <t>eb3d8c27f7bf48b0</t>
  </si>
  <si>
    <t>D77</t>
  </si>
  <si>
    <t>14-04-2026</t>
  </si>
  <si>
    <t>1105/2026/Kagal</t>
  </si>
  <si>
    <t>fabb8f4dc1ac4f10</t>
  </si>
  <si>
    <t>6262/2026/Haveli 20</t>
  </si>
  <si>
    <t>c63a6676d9694c0f</t>
  </si>
  <si>
    <t>16-04-2026</t>
  </si>
  <si>
    <t>10814/2026/Haveli 2</t>
  </si>
  <si>
    <t>10118/2026/Haveli 14</t>
  </si>
  <si>
    <t>1350/2026/ Kagal</t>
  </si>
  <si>
    <t>2669b88540d14854</t>
  </si>
  <si>
    <t>D82</t>
  </si>
  <si>
    <t>9420/2026/Haveli 19</t>
  </si>
  <si>
    <t>b432c54f6a4645cf</t>
  </si>
  <si>
    <t>D81</t>
  </si>
  <si>
    <t>10511/2026/Haveli 11</t>
  </si>
  <si>
    <t>c97d1158811d4276</t>
  </si>
  <si>
    <t>D83</t>
  </si>
  <si>
    <t>9446/2026/Haveli 19</t>
  </si>
  <si>
    <t>27c42453b72e4b2e</t>
  </si>
  <si>
    <t>10906/2026/Haveli 24</t>
  </si>
  <si>
    <t>ebf8e27e75d049f7</t>
  </si>
  <si>
    <t>MH000924010202627E</t>
  </si>
  <si>
    <t>D92</t>
  </si>
  <si>
    <t>11375/2026/Haveli 18</t>
  </si>
  <si>
    <t>742933243eca4a33</t>
  </si>
  <si>
    <t>D89</t>
  </si>
  <si>
    <t>2080/2026/Haveli 25</t>
  </si>
  <si>
    <t>46ba5996316b42b6</t>
  </si>
  <si>
    <t>D87</t>
  </si>
  <si>
    <t>2632/2026/Karvir 4</t>
  </si>
  <si>
    <t>a5b848cc91e94718</t>
  </si>
  <si>
    <t>17-04-2026</t>
  </si>
  <si>
    <t>D86</t>
  </si>
  <si>
    <t>12125/2026/Haveli 2</t>
  </si>
  <si>
    <t>57232809b26f4da9
406f747aeef54466</t>
  </si>
  <si>
    <t xml:space="preserve">Vet </t>
  </si>
  <si>
    <t>D100</t>
  </si>
  <si>
    <t>D101</t>
  </si>
  <si>
    <t>5043/2026/Haveli 5</t>
  </si>
  <si>
    <t>c89362ff57494d0e</t>
  </si>
  <si>
    <t>D91</t>
  </si>
  <si>
    <t>2630/2023/Murgud/kagal</t>
  </si>
  <si>
    <t>8a633102012f4e07</t>
  </si>
  <si>
    <t>1402/2026/Kagal</t>
  </si>
  <si>
    <t>382c173c10434861</t>
  </si>
  <si>
    <t>319/2016/Mugud</t>
  </si>
  <si>
    <t>dd65b8339609451d</t>
  </si>
  <si>
    <t>D93</t>
  </si>
  <si>
    <t>18-04-2026</t>
  </si>
  <si>
    <t>21680/2025/Haveli 11</t>
  </si>
  <si>
    <t>c74eee8cd7d1470c</t>
  </si>
  <si>
    <t>D94</t>
  </si>
  <si>
    <t>27407/2025/Haveli 11</t>
  </si>
  <si>
    <t>51ff70f9b08b4ec9</t>
  </si>
  <si>
    <t>D96</t>
  </si>
  <si>
    <t>D95</t>
  </si>
  <si>
    <t>4497/2026/purandar</t>
  </si>
  <si>
    <t>bfa186b031c34e97</t>
  </si>
  <si>
    <t>D99</t>
  </si>
  <si>
    <t>16991/2022/Mulshi</t>
  </si>
  <si>
    <t>54aae6acddb4488c</t>
  </si>
  <si>
    <t>D97</t>
  </si>
  <si>
    <t>19-04-2026</t>
  </si>
  <si>
    <t>10486/2026/Haveli 17</t>
  </si>
  <si>
    <t>328f8a86fb144ae2</t>
  </si>
  <si>
    <t>15372/2022/Haveli 7</t>
  </si>
  <si>
    <t>ce3e7c15089c40a8</t>
  </si>
  <si>
    <t>D104</t>
  </si>
  <si>
    <t>12060/2026/Haveli 26</t>
  </si>
  <si>
    <t>912b5ed022504138</t>
  </si>
  <si>
    <t>615/2017/Haveli 10</t>
  </si>
  <si>
    <t>b140897c0b2b4fd2</t>
  </si>
  <si>
    <t>D98</t>
  </si>
  <si>
    <t>21-04-2026</t>
  </si>
  <si>
    <t>D113</t>
  </si>
  <si>
    <t>11632/2026/Haveli  18</t>
  </si>
  <si>
    <t>5c4654208baa43ac</t>
  </si>
  <si>
    <t>D105</t>
  </si>
  <si>
    <t>11461/2025/Khed 3</t>
  </si>
  <si>
    <t>16f2fb0927904d94</t>
  </si>
  <si>
    <t>CTC + Vetting Provided S.No. 1</t>
  </si>
  <si>
    <t>D102</t>
  </si>
  <si>
    <t>26102/2025/Haveli 18</t>
  </si>
  <si>
    <t>ee1a689840494160</t>
  </si>
  <si>
    <t>8150/2024/Haveli 7</t>
  </si>
  <si>
    <t>92c06a3706b0489a</t>
  </si>
  <si>
    <t>8152/2024/Haveli 7</t>
  </si>
  <si>
    <t>68baa509c36341f6</t>
  </si>
  <si>
    <t>D54B</t>
  </si>
  <si>
    <t>22-04-2026</t>
  </si>
  <si>
    <t>6198/2026/Maval</t>
  </si>
  <si>
    <t>570e996a7e314bea</t>
  </si>
  <si>
    <t>MH001237490202627U</t>
  </si>
  <si>
    <t>D106</t>
  </si>
  <si>
    <t>2588/2019/Haveli 25</t>
  </si>
  <si>
    <t>15af1d46eece437e</t>
  </si>
  <si>
    <t>D105A</t>
  </si>
  <si>
    <t>5821/2014/khed 2</t>
  </si>
  <si>
    <t>58084f7f85ca4be4</t>
  </si>
  <si>
    <t>MH001282536202627U</t>
  </si>
  <si>
    <t>CTC No.2</t>
  </si>
  <si>
    <t>P68</t>
  </si>
  <si>
    <t>11143/2026/Haveli 11</t>
  </si>
  <si>
    <t>b40959c1bf6340a4</t>
  </si>
  <si>
    <t>23-04-2026</t>
  </si>
  <si>
    <t>5499/2025/Haveli 28</t>
  </si>
  <si>
    <t>d2a5ff9911cb4856</t>
  </si>
  <si>
    <t>D111A</t>
  </si>
  <si>
    <t>4643/2026/Haveli 27</t>
  </si>
  <si>
    <t>D114</t>
  </si>
  <si>
    <t>24-04-2026</t>
  </si>
  <si>
    <t>4873/2018/Haveli 18</t>
  </si>
  <si>
    <t>60e57bc259bd42be</t>
  </si>
  <si>
    <t>D99A</t>
  </si>
  <si>
    <t>904/2023/Mulshi</t>
  </si>
  <si>
    <t>e3704f79b9884631</t>
  </si>
  <si>
    <t>D116</t>
  </si>
  <si>
    <t>24.04.2024</t>
  </si>
  <si>
    <t>5915/2026/Haveli 11</t>
  </si>
  <si>
    <t>d99248da357d4b0a</t>
  </si>
  <si>
    <t>D115</t>
  </si>
  <si>
    <t>60/2026/Haveli 14</t>
  </si>
  <si>
    <t>1d64be851d4249de</t>
  </si>
  <si>
    <t>D117</t>
  </si>
  <si>
    <t>11584/2026/Haveli 25</t>
  </si>
  <si>
    <t>639ad1c452134200</t>
  </si>
  <si>
    <t>11585/2026/Haveli 25</t>
  </si>
  <si>
    <t>5112d43166bd4649</t>
  </si>
  <si>
    <t>D119</t>
  </si>
  <si>
    <t>3487/2025/Haveli 6</t>
  </si>
  <si>
    <t>bd917f2675ca46fb</t>
  </si>
  <si>
    <t>ee9768bf1bf74fe5</t>
  </si>
  <si>
    <t>eab5f700dd424fdc</t>
  </si>
  <si>
    <t>f10c322fd6c24f9d</t>
  </si>
  <si>
    <t>da5f5452afd64976</t>
  </si>
  <si>
    <t>6932/2004/Hathkangale</t>
  </si>
  <si>
    <t>842167c2a0914f79</t>
  </si>
  <si>
    <t>d0273218882843e2</t>
  </si>
  <si>
    <t>b0e9443a041b4f13</t>
  </si>
  <si>
    <t>04e5f234bb794ad6</t>
  </si>
  <si>
    <t>3030/2007/Karvir 3</t>
  </si>
  <si>
    <t>2a5b021b443f43a5</t>
  </si>
  <si>
    <t>1429/2012/Karvir 2</t>
  </si>
  <si>
    <t>8b1e6603c85f4b94</t>
  </si>
  <si>
    <t>61b9c222516c4365</t>
  </si>
  <si>
    <t>10788/2022/HVL8</t>
  </si>
  <si>
    <t>30a04db633864694</t>
  </si>
  <si>
    <t>6f8d167902aa4d4e</t>
  </si>
  <si>
    <t>MH001742663202627E</t>
  </si>
  <si>
    <t>58bd47d953274dfa</t>
  </si>
  <si>
    <t>3f4b92d40f3f4ad6</t>
  </si>
  <si>
    <t>3821029181e846a8</t>
  </si>
  <si>
    <t>2011/2013./Haveli 2</t>
  </si>
  <si>
    <t>843a44d815b44e8e</t>
  </si>
  <si>
    <t>____</t>
  </si>
  <si>
    <t>Only vet</t>
  </si>
  <si>
    <t>All that piece and parcel of property bearing Flat No. 403, having an area admeasuring of 467 Sq. Ft. (Carpet) i.e. 607 Sq. Ft. (Saleable) i.e. 56.39 Sq. Mtrs., situated on the Fourth Floor, in Building/Wing No. A, out of the project known as "Monika Classic Phase 2", constructed/to be constructed on the entire land property, i.e. Survey No. Old 143, New 171, Hissa No. 8/1, situated at Village – Phursungi Taluka - Haveli, District - Pune and within local limits of Pune Municipal Corporation.</t>
  </si>
  <si>
    <t>e9401578af2d418a</t>
  </si>
  <si>
    <t>2705/2016/Maval</t>
  </si>
  <si>
    <t>711135bcca4a4d54</t>
  </si>
  <si>
    <t xml:space="preserve">Om Prakash Sharma </t>
  </si>
  <si>
    <t>Karvir1/3043/2026</t>
  </si>
  <si>
    <t>53bb1e436b554cf7</t>
  </si>
  <si>
    <t>Karvir2/2624/2026</t>
  </si>
  <si>
    <t>4fff64fa55b34f2d</t>
  </si>
  <si>
    <t>Date</t>
  </si>
  <si>
    <t>Subject</t>
  </si>
  <si>
    <t>Department ID</t>
  </si>
  <si>
    <t xml:space="preserve">eSearch </t>
  </si>
  <si>
    <t>MH000898332202627U</t>
  </si>
  <si>
    <t>MH001116660202627E</t>
  </si>
  <si>
    <t>MH001317628202627E</t>
  </si>
  <si>
    <t>MH001426566202627E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</si>
</sst>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2">
    <font>
      <sz val="10.0"/>
      <color rgb="FF000000"/>
      <name val="Arial"/>
      <scheme val="minor"/>
    </font>
    <font>
      <b/>
      <sz val="8.0"/>
      <color rgb="FFFFFFFF"/>
      <name val="Calibri"/>
    </font>
    <font>
      <b/>
      <sz val="8.0"/>
      <color theme="1"/>
      <name val="Calibri"/>
    </font>
    <font>
      <b/>
      <sz val="8.0"/>
      <color rgb="FF000000"/>
      <name val="Calibri"/>
    </font>
    <font>
      <b/>
      <u/>
      <sz val="8.0"/>
      <color rgb="FF0000FF"/>
      <name val="Calibri"/>
    </font>
    <font>
      <b/>
      <u/>
      <sz val="8.0"/>
      <color rgb="FF0000FF"/>
      <name val="Calibri"/>
    </font>
    <font>
      <sz val="8.0"/>
      <color rgb="FF000000"/>
      <name val="&quot;Georgia&quot;"/>
    </font>
    <font>
      <b/>
      <sz val="8.0"/>
      <color rgb="FF000000"/>
      <name val="&quot;Georgia&quot;"/>
    </font>
    <font>
      <b/>
      <sz val="8.0"/>
      <color rgb="FF1F1F1F"/>
      <name val="Calibri"/>
    </font>
    <font>
      <b/>
      <sz val="8.0"/>
      <color rgb="FF212121"/>
      <name val="Calibri"/>
    </font>
    <font>
      <b/>
      <sz val="8.0"/>
      <color rgb="FFFF0000"/>
      <name val="Calibri"/>
    </font>
    <font>
      <b/>
      <sz val="7.0"/>
      <color rgb="FF1F1F1F"/>
      <name val="&quot;Google Sans&quot;"/>
    </font>
    <font>
      <b/>
      <sz val="7.0"/>
      <color rgb="FF000000"/>
      <name val="Aptos"/>
    </font>
    <font>
      <b/>
      <sz val="7.0"/>
      <color rgb="FF000000"/>
      <name val="Arial"/>
    </font>
    <font>
      <sz val="8.0"/>
      <color rgb="FFFF0000"/>
      <name val="Verdana"/>
    </font>
    <font>
      <b/>
      <sz val="8.0"/>
      <color rgb="FF242424"/>
      <name val="Aptos"/>
    </font>
    <font>
      <sz val="11.0"/>
      <color rgb="FF242424"/>
      <name val="Aptos"/>
    </font>
    <font>
      <color theme="1"/>
      <name val="Arial"/>
    </font>
    <font>
      <sz val="8.0"/>
      <color rgb="FF1F1F1F"/>
      <name val="&quot;Google Sans&quot;"/>
    </font>
    <font>
      <sz val="11.0"/>
      <color rgb="FF000000"/>
      <name val="Calibri"/>
    </font>
    <font>
      <sz val="14.0"/>
      <color rgb="FFFF0000"/>
      <name val="Verdana"/>
    </font>
    <font>
      <b/>
      <u/>
      <sz val="8.0"/>
      <color rgb="FF0000FF"/>
      <name val="Calibri"/>
    </font>
    <font>
      <sz val="8.0"/>
      <color theme="1"/>
      <name val="Calibri"/>
    </font>
    <font>
      <color theme="1"/>
      <name val="Arial"/>
      <scheme val="minor"/>
    </font>
    <font>
      <b/>
      <sz val="8.0"/>
      <color theme="1"/>
      <name val="Arial"/>
      <scheme val="minor"/>
    </font>
    <font>
      <b/>
      <sz val="7.0"/>
      <color rgb="FF000000"/>
      <name val="Verdana"/>
    </font>
    <font>
      <b/>
      <sz val="8.0"/>
      <color rgb="FF000000"/>
      <name val="Verdana"/>
    </font>
    <font>
      <sz val="8.0"/>
      <color rgb="FF000000"/>
      <name val="Arial"/>
      <scheme val="minor"/>
    </font>
    <font>
      <sz val="9.0"/>
      <color rgb="FFFF0000"/>
      <name val="Verdana"/>
    </font>
    <font>
      <sz val="8.0"/>
      <color rgb="FF000000"/>
      <name val="Calibri"/>
    </font>
    <font>
      <b/>
      <sz val="9.0"/>
      <color theme="1"/>
      <name val="Calibri"/>
    </font>
    <font>
      <b/>
      <sz val="9.0"/>
      <color rgb="FF000000"/>
      <name val="Calibri"/>
    </font>
  </fonts>
  <fills count="12">
    <fill>
      <patternFill patternType="none"/>
    </fill>
    <fill>
      <patternFill patternType="lightGray"/>
    </fill>
    <fill>
      <patternFill patternType="solid">
        <fgColor rgb="FFED7D31"/>
        <bgColor rgb="FFED7D31"/>
      </patternFill>
    </fill>
    <fill>
      <patternFill patternType="solid">
        <fgColor theme="0"/>
        <bgColor theme="0"/>
      </patternFill>
    </fill>
    <fill>
      <patternFill patternType="solid">
        <fgColor rgb="FFCCFFCC"/>
        <bgColor rgb="FFCCFFCC"/>
      </patternFill>
    </fill>
    <fill>
      <patternFill patternType="solid">
        <fgColor rgb="FFFFFFFF"/>
        <bgColor rgb="FFFFFFFF"/>
      </patternFill>
    </fill>
    <fill>
      <patternFill patternType="solid">
        <fgColor rgb="FFDDEBF7"/>
        <bgColor rgb="FFDDEBF7"/>
      </patternFill>
    </fill>
    <fill>
      <patternFill patternType="solid">
        <fgColor rgb="FFFFF2CC"/>
        <bgColor rgb="FFFFF2CC"/>
      </patternFill>
    </fill>
    <fill>
      <patternFill patternType="solid">
        <fgColor theme="5"/>
        <bgColor theme="5"/>
      </patternFill>
    </fill>
    <fill>
      <patternFill patternType="solid">
        <fgColor rgb="FFFCE5CD"/>
        <bgColor rgb="FFFCE5CD"/>
      </patternFill>
    </fill>
    <fill>
      <patternFill patternType="solid">
        <fgColor rgb="FFB7E1CD"/>
        <bgColor rgb="FFB7E1CD"/>
      </patternFill>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FFFFFF"/>
      </right>
      <top style="thin">
        <color rgb="FF000000"/>
      </top>
      <bottom style="thin">
        <color rgb="FF000000"/>
      </bottom>
    </border>
    <border>
      <left style="thin">
        <color rgb="FF000000"/>
      </left>
      <right style="thin">
        <color rgb="FF000000"/>
      </right>
      <top style="thin">
        <color rgb="FF000000"/>
      </top>
      <bottom style="thin">
        <color rgb="FFFFFFFF"/>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1" numFmtId="0" xfId="0" applyAlignment="1" applyBorder="1" applyFont="1">
      <alignment horizontal="center" readingOrder="0" vertical="bottom"/>
    </xf>
    <xf borderId="1" fillId="2" fontId="1" numFmtId="0" xfId="0" applyAlignment="1" applyBorder="1" applyFont="1">
      <alignment horizontal="left" readingOrder="0" shrinkToFit="0" vertical="bottom" wrapText="0"/>
    </xf>
    <xf borderId="0" fillId="0" fontId="2" numFmtId="0" xfId="0" applyFont="1"/>
    <xf borderId="1" fillId="3" fontId="3" numFmtId="0" xfId="0" applyAlignment="1" applyBorder="1" applyFill="1" applyFont="1">
      <alignment horizontal="center" readingOrder="0" shrinkToFit="0" vertical="bottom" wrapText="0"/>
    </xf>
    <xf borderId="1" fillId="0" fontId="2" numFmtId="0" xfId="0" applyAlignment="1" applyBorder="1" applyFont="1">
      <alignment readingOrder="0"/>
    </xf>
    <xf borderId="1" fillId="0" fontId="2" numFmtId="0" xfId="0" applyBorder="1" applyFont="1"/>
    <xf borderId="0" fillId="3" fontId="2" numFmtId="0" xfId="0" applyFont="1"/>
    <xf borderId="1" fillId="3" fontId="3" numFmtId="0" xfId="0" applyAlignment="1" applyBorder="1" applyFont="1">
      <alignment horizontal="left" readingOrder="0" vertical="bottom"/>
    </xf>
    <xf borderId="1" fillId="3" fontId="2" numFmtId="0" xfId="0" applyAlignment="1" applyBorder="1" applyFont="1">
      <alignment readingOrder="0"/>
    </xf>
    <xf borderId="1" fillId="3" fontId="3" numFmtId="0" xfId="0" applyAlignment="1" applyBorder="1" applyFont="1">
      <alignment horizontal="left" readingOrder="0" shrinkToFit="0" vertical="bottom" wrapText="0"/>
    </xf>
    <xf borderId="1" fillId="3" fontId="3" numFmtId="0" xfId="0" applyAlignment="1" applyBorder="1" applyFont="1">
      <alignment readingOrder="0" shrinkToFit="0" wrapText="0"/>
    </xf>
    <xf borderId="1" fillId="3" fontId="3" numFmtId="0" xfId="0" applyAlignment="1" applyBorder="1" applyFont="1">
      <alignment horizontal="center" readingOrder="0" shrinkToFit="0" wrapText="0"/>
    </xf>
    <xf borderId="1" fillId="3" fontId="2" numFmtId="0" xfId="0" applyBorder="1" applyFont="1"/>
    <xf borderId="1" fillId="3" fontId="3" numFmtId="0" xfId="0" applyAlignment="1" applyBorder="1" applyFont="1">
      <alignment vertical="bottom"/>
    </xf>
    <xf borderId="1" fillId="3" fontId="3" numFmtId="0" xfId="0" applyAlignment="1" applyBorder="1" applyFont="1">
      <alignment shrinkToFit="0" wrapText="0"/>
    </xf>
    <xf borderId="1" fillId="3" fontId="3" numFmtId="0" xfId="0" applyAlignment="1" applyBorder="1" applyFont="1">
      <alignment horizontal="center" shrinkToFit="0" wrapText="0"/>
    </xf>
    <xf borderId="1" fillId="3" fontId="3" numFmtId="0" xfId="0" applyAlignment="1" applyBorder="1" applyFont="1">
      <alignment readingOrder="0" vertical="bottom"/>
    </xf>
    <xf borderId="1" fillId="3" fontId="3" numFmtId="0" xfId="0" applyAlignment="1" applyBorder="1" applyFont="1">
      <alignment horizontal="left" readingOrder="0" shrinkToFit="0" wrapText="0"/>
    </xf>
    <xf borderId="1" fillId="3" fontId="2" numFmtId="0" xfId="0" applyAlignment="1" applyBorder="1" applyFont="1">
      <alignment horizontal="left" readingOrder="0"/>
    </xf>
    <xf borderId="1" fillId="0" fontId="3" numFmtId="0" xfId="0" applyAlignment="1" applyBorder="1" applyFont="1">
      <alignment readingOrder="0"/>
    </xf>
    <xf borderId="1" fillId="3" fontId="2" numFmtId="0" xfId="0" applyAlignment="1" applyBorder="1" applyFont="1">
      <alignment horizontal="center" readingOrder="0"/>
    </xf>
    <xf borderId="1" fillId="4" fontId="3" numFmtId="0" xfId="0" applyAlignment="1" applyBorder="1" applyFill="1" applyFont="1">
      <alignment horizontal="left" readingOrder="0" shrinkToFit="0" vertical="bottom" wrapText="0"/>
    </xf>
    <xf borderId="1" fillId="3" fontId="4" numFmtId="0" xfId="0" applyAlignment="1" applyBorder="1" applyFont="1">
      <alignment readingOrder="0"/>
    </xf>
    <xf borderId="1" fillId="0" fontId="2" numFmtId="0" xfId="0" applyAlignment="1" applyBorder="1" applyFont="1">
      <alignment horizontal="center" readingOrder="0"/>
    </xf>
    <xf borderId="1" fillId="0" fontId="2" numFmtId="0" xfId="0" applyAlignment="1" applyBorder="1" applyFont="1">
      <alignment horizontal="left" readingOrder="0"/>
    </xf>
    <xf borderId="1" fillId="0" fontId="5"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horizontal="left"/>
    </xf>
    <xf borderId="1" fillId="5" fontId="3" numFmtId="0" xfId="0" applyAlignment="1" applyBorder="1" applyFill="1" applyFont="1">
      <alignment horizontal="left" readingOrder="0"/>
    </xf>
    <xf borderId="1" fillId="6" fontId="3" numFmtId="0" xfId="0" applyAlignment="1" applyBorder="1" applyFill="1" applyFont="1">
      <alignment horizontal="center" readingOrder="0" shrinkToFit="0" vertical="bottom" wrapText="0"/>
    </xf>
    <xf borderId="1" fillId="6" fontId="3" numFmtId="0" xfId="0" applyAlignment="1" applyBorder="1" applyFont="1">
      <alignment horizontal="left" shrinkToFit="0" vertical="bottom" wrapText="0"/>
    </xf>
    <xf borderId="1" fillId="6" fontId="3" numFmtId="0" xfId="0" applyAlignment="1" applyBorder="1" applyFont="1">
      <alignment horizontal="left" readingOrder="0" shrinkToFit="0" vertical="bottom" wrapText="0"/>
    </xf>
    <xf borderId="1" fillId="6" fontId="3" numFmtId="0" xfId="0" applyAlignment="1" applyBorder="1" applyFont="1">
      <alignment horizontal="left" readingOrder="0"/>
    </xf>
    <xf borderId="1" fillId="6" fontId="3" numFmtId="0" xfId="0" applyAlignment="1" applyBorder="1" applyFont="1">
      <alignment horizontal="center" readingOrder="0"/>
    </xf>
    <xf borderId="0" fillId="0" fontId="6" numFmtId="0" xfId="0" applyAlignment="1" applyFont="1">
      <alignment readingOrder="0"/>
    </xf>
    <xf borderId="1" fillId="6" fontId="2" numFmtId="0" xfId="0" applyAlignment="1" applyBorder="1" applyFont="1">
      <alignment horizontal="left" readingOrder="0" shrinkToFit="0" vertical="bottom" wrapText="0"/>
    </xf>
    <xf borderId="1" fillId="6" fontId="3" numFmtId="0" xfId="0" applyAlignment="1" applyBorder="1" applyFont="1">
      <alignment horizontal="center" shrinkToFit="0" vertical="bottom" wrapText="0"/>
    </xf>
    <xf borderId="0" fillId="0" fontId="7" numFmtId="0" xfId="0" applyAlignment="1" applyFont="1">
      <alignment readingOrder="0"/>
    </xf>
    <xf borderId="1" fillId="0" fontId="3" numFmtId="0" xfId="0" applyAlignment="1" applyBorder="1" applyFont="1">
      <alignment horizontal="left" readingOrder="0" shrinkToFit="0" vertical="bottom" wrapText="0"/>
    </xf>
    <xf borderId="1" fillId="5" fontId="3" numFmtId="0" xfId="0" applyAlignment="1" applyBorder="1" applyFont="1">
      <alignment horizontal="left" readingOrder="0" shrinkToFit="0" vertical="bottom" wrapText="0"/>
    </xf>
    <xf borderId="1" fillId="5" fontId="3" numFmtId="0" xfId="0" applyAlignment="1" applyBorder="1" applyFont="1">
      <alignment horizontal="center" readingOrder="0" shrinkToFit="0" vertical="bottom" wrapText="0"/>
    </xf>
    <xf borderId="1" fillId="5" fontId="8" numFmtId="0" xfId="0" applyAlignment="1" applyBorder="1" applyFont="1">
      <alignment horizontal="left" readingOrder="0"/>
    </xf>
    <xf borderId="1" fillId="5" fontId="3" numFmtId="0" xfId="0" applyAlignment="1" applyBorder="1" applyFont="1">
      <alignment readingOrder="0"/>
    </xf>
    <xf borderId="1" fillId="5" fontId="8" numFmtId="0" xfId="0" applyAlignment="1" applyBorder="1" applyFont="1">
      <alignment readingOrder="0"/>
    </xf>
    <xf borderId="0" fillId="0" fontId="2" numFmtId="0" xfId="0" applyAlignment="1" applyFont="1">
      <alignment readingOrder="0"/>
    </xf>
    <xf borderId="1" fillId="5" fontId="9" numFmtId="0" xfId="0" applyAlignment="1" applyBorder="1" applyFont="1">
      <alignment horizontal="left" readingOrder="0"/>
    </xf>
    <xf borderId="1" fillId="6" fontId="3" numFmtId="0" xfId="0" applyAlignment="1" applyBorder="1" applyFont="1">
      <alignment readingOrder="0" shrinkToFit="0" vertical="bottom" wrapText="0"/>
    </xf>
    <xf borderId="1" fillId="6" fontId="10" numFmtId="0" xfId="0" applyAlignment="1" applyBorder="1" applyFont="1">
      <alignment horizontal="right" readingOrder="0" shrinkToFit="0" vertical="bottom" wrapText="0"/>
    </xf>
    <xf borderId="0" fillId="5" fontId="8" numFmtId="0" xfId="0" applyAlignment="1" applyFont="1">
      <alignment readingOrder="0"/>
    </xf>
    <xf borderId="0" fillId="5" fontId="11" numFmtId="0" xfId="0" applyAlignment="1" applyFont="1">
      <alignment readingOrder="0"/>
    </xf>
    <xf borderId="0" fillId="5" fontId="12" numFmtId="0" xfId="0" applyAlignment="1" applyFont="1">
      <alignment horizontal="left" readingOrder="0"/>
    </xf>
    <xf borderId="0" fillId="5" fontId="13" numFmtId="0" xfId="0" applyAlignment="1" applyFont="1">
      <alignment horizontal="left" readingOrder="0"/>
    </xf>
    <xf borderId="0" fillId="0" fontId="14" numFmtId="0" xfId="0" applyAlignment="1" applyFont="1">
      <alignment readingOrder="0"/>
    </xf>
    <xf borderId="0" fillId="5" fontId="15" numFmtId="0" xfId="0" applyAlignment="1" applyFont="1">
      <alignment horizontal="center" readingOrder="0"/>
    </xf>
    <xf borderId="0" fillId="5" fontId="16" numFmtId="0" xfId="0" applyAlignment="1" applyFont="1">
      <alignment horizontal="left" readingOrder="0"/>
    </xf>
    <xf borderId="1" fillId="5" fontId="2" numFmtId="0" xfId="0" applyAlignment="1" applyBorder="1" applyFont="1">
      <alignment horizontal="center" vertical="bottom"/>
    </xf>
    <xf borderId="1" fillId="0" fontId="2" numFmtId="0" xfId="0" applyAlignment="1" applyBorder="1" applyFont="1">
      <alignment horizontal="center" vertical="bottom"/>
    </xf>
    <xf borderId="1" fillId="0" fontId="2" numFmtId="0" xfId="0" applyAlignment="1" applyBorder="1" applyFont="1">
      <alignment readingOrder="0" vertical="bottom"/>
    </xf>
    <xf borderId="1" fillId="0" fontId="2" numFmtId="0" xfId="0" applyAlignment="1" applyBorder="1" applyFont="1">
      <alignment vertical="bottom"/>
    </xf>
    <xf borderId="1" fillId="0" fontId="17" numFmtId="0" xfId="0" applyAlignment="1" applyBorder="1" applyFont="1">
      <alignment vertical="bottom"/>
    </xf>
    <xf borderId="1" fillId="5" fontId="2" numFmtId="0" xfId="0" applyAlignment="1" applyBorder="1" applyFont="1">
      <alignment readingOrder="0"/>
    </xf>
    <xf borderId="0" fillId="5" fontId="18" numFmtId="0" xfId="0" applyAlignment="1" applyFont="1">
      <alignment readingOrder="0"/>
    </xf>
    <xf borderId="1" fillId="4" fontId="2" numFmtId="0" xfId="0" applyAlignment="1" applyBorder="1" applyFont="1">
      <alignment readingOrder="0"/>
    </xf>
    <xf borderId="1" fillId="0" fontId="19" numFmtId="0" xfId="0" applyAlignment="1" applyBorder="1" applyFont="1">
      <alignment horizontal="left" readingOrder="0" shrinkToFit="0" vertical="bottom" wrapText="0"/>
    </xf>
    <xf borderId="1" fillId="0" fontId="19" numFmtId="0" xfId="0" applyAlignment="1" applyBorder="1" applyFont="1">
      <alignment horizontal="left" readingOrder="0" shrinkToFit="0" wrapText="0"/>
    </xf>
    <xf borderId="1" fillId="0" fontId="20" numFmtId="0" xfId="0" applyAlignment="1" applyBorder="1" applyFont="1">
      <alignment readingOrder="0" shrinkToFit="0" vertical="bottom" wrapText="0"/>
    </xf>
    <xf borderId="1" fillId="0" fontId="2" numFmtId="0" xfId="0" applyAlignment="1" applyBorder="1" applyFont="1">
      <alignment horizontal="center"/>
    </xf>
    <xf borderId="0" fillId="0" fontId="2" numFmtId="0" xfId="0" applyAlignment="1" applyFont="1">
      <alignment horizontal="center"/>
    </xf>
    <xf borderId="2" fillId="2" fontId="1" numFmtId="0" xfId="0" applyAlignment="1" applyBorder="1" applyFont="1">
      <alignment horizontal="left" readingOrder="0" shrinkToFit="0" vertical="bottom" wrapText="0"/>
    </xf>
    <xf borderId="1" fillId="4" fontId="3" numFmtId="0" xfId="0" applyAlignment="1" applyBorder="1" applyFont="1">
      <alignment horizontal="center" readingOrder="0" shrinkToFit="0" vertical="bottom" wrapText="0"/>
    </xf>
    <xf borderId="1" fillId="7" fontId="2" numFmtId="0" xfId="0" applyBorder="1" applyFill="1" applyFont="1"/>
    <xf borderId="1" fillId="4" fontId="2" numFmtId="0" xfId="0" applyBorder="1" applyFont="1"/>
    <xf borderId="0" fillId="7" fontId="2" numFmtId="0" xfId="0" applyFont="1"/>
    <xf borderId="1" fillId="7" fontId="2" numFmtId="0" xfId="0" applyAlignment="1" applyBorder="1" applyFont="1">
      <alignment readingOrder="0"/>
    </xf>
    <xf borderId="0" fillId="5" fontId="3" numFmtId="0" xfId="0" applyAlignment="1" applyFont="1">
      <alignment horizontal="center" readingOrder="0"/>
    </xf>
    <xf borderId="3" fillId="3" fontId="3" numFmtId="0" xfId="0" applyAlignment="1" applyBorder="1" applyFont="1">
      <alignment horizontal="center" readingOrder="0" shrinkToFit="0" vertical="bottom" wrapText="0"/>
    </xf>
    <xf borderId="1" fillId="8" fontId="2" numFmtId="0" xfId="0" applyAlignment="1" applyBorder="1" applyFill="1" applyFont="1">
      <alignment readingOrder="0"/>
    </xf>
    <xf borderId="0" fillId="8" fontId="8" numFmtId="0" xfId="0" applyAlignment="1" applyFont="1">
      <alignment horizontal="center" readingOrder="0"/>
    </xf>
    <xf borderId="1" fillId="8" fontId="2" numFmtId="0" xfId="0" applyBorder="1" applyFont="1"/>
    <xf borderId="0" fillId="8" fontId="2" numFmtId="0" xfId="0" applyFont="1"/>
    <xf borderId="0" fillId="8" fontId="2" numFmtId="0" xfId="0" applyAlignment="1" applyFont="1">
      <alignment readingOrder="0"/>
    </xf>
    <xf borderId="1" fillId="0" fontId="3" numFmtId="0" xfId="0" applyAlignment="1" applyBorder="1" applyFont="1">
      <alignment horizontal="right" readingOrder="0" shrinkToFit="0" vertical="bottom" wrapText="0"/>
    </xf>
    <xf borderId="0" fillId="5" fontId="9" numFmtId="0" xfId="0" applyAlignment="1" applyFont="1">
      <alignment horizontal="left" readingOrder="0"/>
    </xf>
    <xf borderId="0" fillId="5" fontId="8" numFmtId="0" xfId="0" applyAlignment="1" applyFont="1">
      <alignment horizontal="left" readingOrder="0"/>
    </xf>
    <xf borderId="1" fillId="3" fontId="3" numFmtId="0" xfId="0" applyAlignment="1" applyBorder="1" applyFont="1">
      <alignment horizontal="right" readingOrder="0" shrinkToFit="0" vertical="bottom" wrapText="0"/>
    </xf>
    <xf borderId="1" fillId="7" fontId="21" numFmtId="0" xfId="0" applyAlignment="1" applyBorder="1" applyFont="1">
      <alignment readingOrder="0"/>
    </xf>
    <xf borderId="1" fillId="7" fontId="3" numFmtId="0" xfId="0" applyAlignment="1" applyBorder="1" applyFont="1">
      <alignment horizontal="center" readingOrder="0" shrinkToFit="0" vertical="bottom" wrapText="0"/>
    </xf>
    <xf borderId="1" fillId="7" fontId="3" numFmtId="0" xfId="0" applyAlignment="1" applyBorder="1" applyFont="1">
      <alignment horizontal="left" readingOrder="0" vertical="bottom"/>
    </xf>
    <xf borderId="1" fillId="7" fontId="3" numFmtId="0" xfId="0" applyAlignment="1" applyBorder="1" applyFont="1">
      <alignment horizontal="left" readingOrder="0" shrinkToFit="0" vertical="bottom" wrapText="0"/>
    </xf>
    <xf borderId="1" fillId="4" fontId="3" numFmtId="0" xfId="0" applyAlignment="1" applyBorder="1" applyFont="1">
      <alignment readingOrder="0" shrinkToFit="0" vertical="bottom" wrapText="0"/>
    </xf>
    <xf borderId="1" fillId="4" fontId="3" numFmtId="0" xfId="0" applyAlignment="1" applyBorder="1" applyFont="1">
      <alignment shrinkToFit="0" vertical="bottom" wrapText="0"/>
    </xf>
    <xf borderId="1" fillId="7" fontId="2" numFmtId="0" xfId="0" applyAlignment="1" applyBorder="1" applyFont="1">
      <alignment horizontal="center"/>
    </xf>
    <xf borderId="0" fillId="5" fontId="3" numFmtId="0" xfId="0" applyAlignment="1" applyFont="1">
      <alignment horizontal="left" readingOrder="0"/>
    </xf>
    <xf borderId="1" fillId="4" fontId="22" numFmtId="0" xfId="0" applyBorder="1" applyFont="1"/>
    <xf borderId="1" fillId="7" fontId="2" numFmtId="0" xfId="0" applyAlignment="1" applyBorder="1" applyFont="1">
      <alignment horizontal="center" readingOrder="0"/>
    </xf>
    <xf borderId="1" fillId="4" fontId="22" numFmtId="0" xfId="0" applyAlignment="1" applyBorder="1" applyFont="1">
      <alignment readingOrder="0"/>
    </xf>
    <xf borderId="0" fillId="7" fontId="22" numFmtId="0" xfId="0" applyAlignment="1" applyFont="1">
      <alignment readingOrder="0"/>
    </xf>
    <xf borderId="0" fillId="4" fontId="22" numFmtId="0" xfId="0" applyAlignment="1" applyFont="1">
      <alignment readingOrder="0"/>
    </xf>
    <xf borderId="1" fillId="0" fontId="23" numFmtId="0" xfId="0" applyBorder="1" applyFont="1"/>
    <xf borderId="1" fillId="2" fontId="1" numFmtId="0" xfId="0" applyAlignment="1" applyBorder="1" applyFont="1">
      <alignment horizontal="center" readingOrder="0" shrinkToFit="0" wrapText="0"/>
    </xf>
    <xf borderId="1" fillId="5" fontId="1" numFmtId="0" xfId="0" applyAlignment="1" applyBorder="1" applyFont="1">
      <alignment horizontal="center" readingOrder="0" shrinkToFit="0" vertical="bottom" wrapText="0"/>
    </xf>
    <xf borderId="1" fillId="9" fontId="3" numFmtId="0" xfId="0" applyAlignment="1" applyBorder="1" applyFill="1" applyFont="1">
      <alignment horizontal="center" readingOrder="0"/>
    </xf>
    <xf borderId="1" fillId="4" fontId="3" numFmtId="0" xfId="0" applyAlignment="1" applyBorder="1" applyFont="1">
      <alignment horizontal="center" readingOrder="0"/>
    </xf>
    <xf borderId="1" fillId="7" fontId="3" numFmtId="0" xfId="0" applyAlignment="1" applyBorder="1" applyFont="1">
      <alignment horizontal="center" readingOrder="0"/>
    </xf>
    <xf borderId="1" fillId="4" fontId="3" numFmtId="0" xfId="0" applyAlignment="1" applyBorder="1" applyFont="1">
      <alignment horizontal="center" readingOrder="0" shrinkToFit="0" wrapText="0"/>
    </xf>
    <xf borderId="1" fillId="4" fontId="3" numFmtId="0" xfId="0" applyAlignment="1" applyBorder="1" applyFont="1">
      <alignment horizontal="left" readingOrder="0" shrinkToFit="0" wrapText="0"/>
    </xf>
    <xf borderId="1" fillId="4" fontId="3" numFmtId="0" xfId="0" applyAlignment="1" applyBorder="1" applyFont="1">
      <alignment horizontal="right" readingOrder="0" shrinkToFit="0" vertical="bottom" wrapText="0"/>
    </xf>
    <xf borderId="0" fillId="5" fontId="2" numFmtId="0" xfId="0" applyFont="1"/>
    <xf borderId="1" fillId="4" fontId="2" numFmtId="0" xfId="0" applyAlignment="1" applyBorder="1" applyFont="1">
      <alignment horizontal="center" readingOrder="0"/>
    </xf>
    <xf borderId="1" fillId="4" fontId="10" numFmtId="0" xfId="0" applyAlignment="1" applyBorder="1" applyFont="1">
      <alignment horizontal="left" readingOrder="0" shrinkToFit="0" vertical="bottom" wrapText="0"/>
    </xf>
    <xf borderId="1" fillId="4" fontId="10" numFmtId="0" xfId="0" applyBorder="1" applyFont="1"/>
    <xf borderId="1" fillId="4" fontId="3" numFmtId="164" xfId="0" applyAlignment="1" applyBorder="1" applyFont="1" applyNumberFormat="1">
      <alignment horizontal="center" readingOrder="0"/>
    </xf>
    <xf borderId="1" fillId="4" fontId="2" numFmtId="0" xfId="0" applyAlignment="1" applyBorder="1" applyFont="1">
      <alignment horizontal="left" readingOrder="0" shrinkToFit="0" vertical="bottom" wrapText="0"/>
    </xf>
    <xf borderId="1" fillId="4" fontId="3" numFmtId="0" xfId="0" applyAlignment="1" applyBorder="1" applyFont="1">
      <alignment horizontal="right" readingOrder="0" shrinkToFit="0" vertical="bottom" wrapText="0"/>
    </xf>
    <xf borderId="1" fillId="4" fontId="10" numFmtId="0" xfId="0" applyAlignment="1" applyBorder="1" applyFont="1">
      <alignment readingOrder="0"/>
    </xf>
    <xf borderId="1" fillId="4" fontId="2" numFmtId="164" xfId="0" applyAlignment="1" applyBorder="1" applyFont="1" applyNumberFormat="1">
      <alignment readingOrder="0"/>
    </xf>
    <xf borderId="1" fillId="6" fontId="2" numFmtId="0" xfId="0" applyAlignment="1" applyBorder="1" applyFont="1">
      <alignment horizontal="center" readingOrder="0" shrinkToFit="0" vertical="bottom" wrapText="0"/>
    </xf>
    <xf borderId="1" fillId="10" fontId="3" numFmtId="164" xfId="0" applyAlignment="1" applyBorder="1" applyFill="1" applyFont="1" applyNumberFormat="1">
      <alignment horizontal="center" readingOrder="0"/>
    </xf>
    <xf borderId="1" fillId="4" fontId="24" numFmtId="0" xfId="0" applyBorder="1" applyFont="1"/>
    <xf borderId="1" fillId="4" fontId="2" numFmtId="0" xfId="0" applyAlignment="1" applyBorder="1" applyFont="1">
      <alignment horizontal="left" shrinkToFit="0" vertical="bottom" wrapText="0"/>
    </xf>
    <xf borderId="1" fillId="4" fontId="3" numFmtId="0" xfId="0" applyAlignment="1" applyBorder="1" applyFont="1">
      <alignment shrinkToFit="0" vertical="bottom" wrapText="0"/>
    </xf>
    <xf borderId="1" fillId="4" fontId="24" numFmtId="0" xfId="0" applyAlignment="1" applyBorder="1" applyFont="1">
      <alignment readingOrder="0"/>
    </xf>
    <xf borderId="1" fillId="4" fontId="3" numFmtId="0" xfId="0" applyAlignment="1" applyBorder="1" applyFont="1">
      <alignment readingOrder="0"/>
    </xf>
    <xf borderId="1" fillId="4" fontId="2" numFmtId="0" xfId="0" applyAlignment="1" applyBorder="1" applyFont="1">
      <alignment readingOrder="0" shrinkToFit="0" wrapText="1"/>
    </xf>
    <xf borderId="1" fillId="4" fontId="2" numFmtId="0" xfId="0" applyAlignment="1" applyBorder="1" applyFont="1">
      <alignment shrinkToFit="0" wrapText="1"/>
    </xf>
    <xf borderId="0" fillId="5" fontId="2" numFmtId="0" xfId="0" applyAlignment="1" applyFont="1">
      <alignment shrinkToFit="0" wrapText="1"/>
    </xf>
    <xf borderId="0" fillId="0" fontId="2" numFmtId="0" xfId="0" applyAlignment="1" applyFont="1">
      <alignment shrinkToFit="0" wrapText="1"/>
    </xf>
    <xf borderId="1" fillId="0" fontId="3" numFmtId="0" xfId="0" applyAlignment="1" applyBorder="1" applyFont="1">
      <alignment horizontal="center" readingOrder="0" shrinkToFit="0" vertical="bottom" wrapText="0"/>
    </xf>
    <xf borderId="1" fillId="4" fontId="3" numFmtId="0" xfId="0" applyAlignment="1" applyBorder="1" applyFont="1">
      <alignment horizontal="left" shrinkToFit="0" vertical="bottom" wrapText="0"/>
    </xf>
    <xf borderId="1" fillId="4" fontId="3" numFmtId="0" xfId="0" applyAlignment="1" applyBorder="1" applyFont="1">
      <alignment horizontal="left"/>
    </xf>
    <xf borderId="1" fillId="6" fontId="10" numFmtId="0" xfId="0" applyAlignment="1" applyBorder="1" applyFont="1">
      <alignment horizontal="center" readingOrder="0" shrinkToFit="0" vertical="bottom" wrapText="0"/>
    </xf>
    <xf borderId="1" fillId="4" fontId="3" numFmtId="0" xfId="0" applyAlignment="1" applyBorder="1" applyFont="1">
      <alignment horizontal="left" readingOrder="0" shrinkToFit="0" vertical="bottom" wrapText="0"/>
    </xf>
    <xf borderId="0" fillId="0" fontId="25" numFmtId="0" xfId="0" applyAlignment="1" applyFont="1">
      <alignment readingOrder="0"/>
    </xf>
    <xf borderId="1" fillId="4" fontId="3" numFmtId="0" xfId="0" applyAlignment="1" applyBorder="1" applyFont="1">
      <alignment horizontal="center" readingOrder="0" shrinkToFit="0" wrapText="0"/>
    </xf>
    <xf borderId="1" fillId="4" fontId="26" numFmtId="0" xfId="0" applyAlignment="1" applyBorder="1" applyFont="1">
      <alignment readingOrder="0"/>
    </xf>
    <xf borderId="1" fillId="4" fontId="26" numFmtId="0" xfId="0" applyAlignment="1" applyBorder="1" applyFont="1">
      <alignment horizontal="left" readingOrder="0" shrinkToFit="0" vertical="bottom" wrapText="0"/>
    </xf>
    <xf borderId="0" fillId="4" fontId="26" numFmtId="0" xfId="0" applyAlignment="1" applyFont="1">
      <alignment readingOrder="0"/>
    </xf>
    <xf borderId="0" fillId="4" fontId="27" numFmtId="0" xfId="0" applyAlignment="1" applyFont="1">
      <alignment readingOrder="0"/>
    </xf>
    <xf borderId="1" fillId="6" fontId="19" numFmtId="0" xfId="0" applyAlignment="1" applyBorder="1" applyFont="1">
      <alignment horizontal="right" readingOrder="0" shrinkToFit="0" vertical="bottom" wrapText="0"/>
    </xf>
    <xf borderId="1" fillId="4" fontId="2" numFmtId="0" xfId="0" applyAlignment="1" applyBorder="1" applyFont="1">
      <alignment vertical="bottom"/>
    </xf>
    <xf borderId="1" fillId="4" fontId="2" numFmtId="0" xfId="0" applyAlignment="1" applyBorder="1" applyFont="1">
      <alignment horizontal="right" vertical="bottom"/>
    </xf>
    <xf borderId="0" fillId="0" fontId="26" numFmtId="0" xfId="0" applyAlignment="1" applyFont="1">
      <alignment readingOrder="0"/>
    </xf>
    <xf borderId="0" fillId="11" fontId="23" numFmtId="0" xfId="0" applyFill="1" applyFont="1"/>
    <xf borderId="0" fillId="0" fontId="28" numFmtId="0" xfId="0" applyAlignment="1" applyFont="1">
      <alignment readingOrder="0"/>
    </xf>
    <xf borderId="1" fillId="4" fontId="3" numFmtId="0" xfId="0" applyAlignment="1" applyBorder="1" applyFont="1">
      <alignment horizontal="left" readingOrder="0"/>
    </xf>
    <xf borderId="1" fillId="4" fontId="2" numFmtId="0" xfId="0" applyAlignment="1" applyBorder="1" applyFont="1">
      <alignment horizontal="center"/>
    </xf>
    <xf borderId="1" fillId="4" fontId="29" numFmtId="0" xfId="0" applyAlignment="1" applyBorder="1" applyFont="1">
      <alignment horizontal="left"/>
    </xf>
    <xf borderId="1" fillId="4" fontId="2" numFmtId="0" xfId="0" applyAlignment="1" applyBorder="1" applyFont="1">
      <alignment horizontal="left"/>
    </xf>
    <xf borderId="1" fillId="4" fontId="2" numFmtId="0" xfId="0" applyAlignment="1" applyBorder="1" applyFont="1">
      <alignment horizontal="left" readingOrder="0"/>
    </xf>
    <xf borderId="0" fillId="5" fontId="2" numFmtId="0" xfId="0" applyAlignment="1" applyFont="1">
      <alignment readingOrder="0"/>
    </xf>
    <xf borderId="0" fillId="5" fontId="2" numFmtId="0" xfId="0" applyAlignment="1" applyFont="1">
      <alignment horizontal="center"/>
    </xf>
    <xf borderId="0" fillId="4" fontId="2" numFmtId="0" xfId="0" applyAlignment="1" applyFont="1">
      <alignment horizontal="center"/>
    </xf>
    <xf borderId="0" fillId="5" fontId="2" numFmtId="0" xfId="0" applyAlignment="1" applyFont="1">
      <alignment horizontal="left"/>
    </xf>
    <xf borderId="0" fillId="0" fontId="2" numFmtId="0" xfId="0" applyAlignment="1" applyFont="1">
      <alignment horizontal="left"/>
    </xf>
    <xf borderId="0" fillId="2" fontId="2" numFmtId="0" xfId="0" applyAlignment="1" applyFont="1">
      <alignment horizontal="center" readingOrder="0"/>
    </xf>
    <xf borderId="1" fillId="3" fontId="30" numFmtId="0" xfId="0" applyAlignment="1" applyBorder="1" applyFont="1">
      <alignment horizontal="center" readingOrder="0"/>
    </xf>
    <xf borderId="1" fillId="3" fontId="30" numFmtId="0" xfId="0" applyAlignment="1" applyBorder="1" applyFont="1">
      <alignment readingOrder="0"/>
    </xf>
    <xf borderId="1" fillId="3" fontId="31" numFmtId="0" xfId="0" applyAlignment="1" applyBorder="1" applyFont="1">
      <alignment horizontal="left" readingOrder="0" shrinkToFit="0" vertical="bottom" wrapText="0"/>
    </xf>
    <xf borderId="1" fillId="3" fontId="31" numFmtId="0" xfId="0" applyAlignment="1" applyBorder="1" applyFont="1">
      <alignment horizontal="right" readingOrder="0" shrinkToFit="0" vertical="bottom" wrapText="0"/>
    </xf>
  </cellXfs>
  <cellStyles count="1">
    <cellStyle xfId="0" name="Normal" builtinId="0"/>
  </cellStyles>
  <dxfs count="3">
    <dxf>
      <font/>
      <fill>
        <patternFill patternType="solid">
          <fgColor rgb="FFED7D31"/>
          <bgColor rgb="FFED7D31"/>
        </patternFill>
      </fill>
      <border/>
    </dxf>
    <dxf>
      <font/>
      <fill>
        <patternFill patternType="solid">
          <fgColor rgb="FFB7E1CD"/>
          <bgColor rgb="FFB7E1CD"/>
        </patternFill>
      </fill>
      <border/>
    </dxf>
    <dxf>
      <font>
        <color rgb="FF000000"/>
      </font>
      <fill>
        <patternFill patternType="solid">
          <fgColor rgb="FFED7D31"/>
          <bgColor rgb="FFED7D3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no/" TargetMode="External"/><Relationship Id="rId22" Type="http://schemas.openxmlformats.org/officeDocument/2006/relationships/hyperlink" Target="http://s.no/" TargetMode="External"/><Relationship Id="rId21" Type="http://schemas.openxmlformats.org/officeDocument/2006/relationships/hyperlink" Target="http://s.no/" TargetMode="External"/><Relationship Id="rId24" Type="http://schemas.openxmlformats.org/officeDocument/2006/relationships/hyperlink" Target="http://s.no/" TargetMode="External"/><Relationship Id="rId23" Type="http://schemas.openxmlformats.org/officeDocument/2006/relationships/hyperlink" Target="http://s.no/" TargetMode="External"/><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hyperlink" Target="http://s.no/" TargetMode="External"/><Relationship Id="rId9" Type="http://schemas.openxmlformats.org/officeDocument/2006/relationships/hyperlink" Target="http://s.no/" TargetMode="External"/><Relationship Id="rId25" Type="http://schemas.openxmlformats.org/officeDocument/2006/relationships/drawing" Target="../drawings/drawing1.xml"/><Relationship Id="rId5" Type="http://schemas.openxmlformats.org/officeDocument/2006/relationships/hyperlink" Target="http://s.no/" TargetMode="External"/><Relationship Id="rId6" Type="http://schemas.openxmlformats.org/officeDocument/2006/relationships/hyperlink" Target="http://s.no/" TargetMode="External"/><Relationship Id="rId7" Type="http://schemas.openxmlformats.org/officeDocument/2006/relationships/hyperlink" Target="http://s.no/" TargetMode="External"/><Relationship Id="rId8" Type="http://schemas.openxmlformats.org/officeDocument/2006/relationships/hyperlink" Target="http://s.no/" TargetMode="External"/><Relationship Id="rId11" Type="http://schemas.openxmlformats.org/officeDocument/2006/relationships/hyperlink" Target="http://s.no/" TargetMode="External"/><Relationship Id="rId10" Type="http://schemas.openxmlformats.org/officeDocument/2006/relationships/hyperlink" Target="http://s.no/" TargetMode="External"/><Relationship Id="rId13" Type="http://schemas.openxmlformats.org/officeDocument/2006/relationships/hyperlink" Target="http://s.no/" TargetMode="External"/><Relationship Id="rId12" Type="http://schemas.openxmlformats.org/officeDocument/2006/relationships/hyperlink" Target="http://s.no/" TargetMode="External"/><Relationship Id="rId15" Type="http://schemas.openxmlformats.org/officeDocument/2006/relationships/hyperlink" Target="http://s.no/" TargetMode="External"/><Relationship Id="rId14" Type="http://schemas.openxmlformats.org/officeDocument/2006/relationships/hyperlink" Target="http://s.no/" TargetMode="External"/><Relationship Id="rId17" Type="http://schemas.openxmlformats.org/officeDocument/2006/relationships/hyperlink" Target="http://s.no/" TargetMode="External"/><Relationship Id="rId16" Type="http://schemas.openxmlformats.org/officeDocument/2006/relationships/hyperlink" Target="http://s.no/" TargetMode="External"/><Relationship Id="rId19" Type="http://schemas.openxmlformats.org/officeDocument/2006/relationships/hyperlink" Target="http://s.no/" TargetMode="External"/><Relationship Id="rId18" Type="http://schemas.openxmlformats.org/officeDocument/2006/relationships/hyperlink" Target="http://s.n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8.5"/>
    <col customWidth="1" min="3" max="3" width="11.88"/>
    <col customWidth="1" min="4" max="4" width="9.88"/>
    <col customWidth="1" min="5" max="5" width="20.63"/>
    <col customWidth="1" min="6" max="6" width="17.75"/>
    <col customWidth="1" min="7" max="7" width="10.88"/>
    <col customWidth="1" min="8" max="8" width="17.38"/>
    <col customWidth="1" min="9" max="9" width="10.88"/>
    <col customWidth="1" min="10" max="11" width="9.25"/>
  </cols>
  <sheetData>
    <row r="1">
      <c r="A1" s="1" t="s">
        <v>0</v>
      </c>
      <c r="B1" s="1" t="s">
        <v>1</v>
      </c>
      <c r="C1" s="2" t="s">
        <v>2</v>
      </c>
      <c r="D1" s="2" t="s">
        <v>3</v>
      </c>
      <c r="E1" s="2" t="s">
        <v>4</v>
      </c>
      <c r="F1" s="2" t="s">
        <v>5</v>
      </c>
      <c r="G1" s="1" t="s">
        <v>6</v>
      </c>
      <c r="H1" s="1" t="s">
        <v>7</v>
      </c>
      <c r="I1" s="3" t="s">
        <v>8</v>
      </c>
      <c r="J1" s="1" t="s">
        <v>9</v>
      </c>
      <c r="K1" s="1" t="s">
        <v>10</v>
      </c>
      <c r="L1" s="4"/>
      <c r="M1" s="4"/>
      <c r="N1" s="4"/>
      <c r="O1" s="4"/>
      <c r="P1" s="4"/>
      <c r="Q1" s="4"/>
      <c r="R1" s="4"/>
      <c r="S1" s="4"/>
      <c r="T1" s="4"/>
      <c r="U1" s="4"/>
      <c r="V1" s="4"/>
      <c r="W1" s="4"/>
    </row>
    <row r="2">
      <c r="A2" s="5">
        <v>1.0</v>
      </c>
      <c r="B2" s="5" t="s">
        <v>11</v>
      </c>
      <c r="C2" s="6" t="s">
        <v>12</v>
      </c>
      <c r="D2" s="7"/>
      <c r="E2" s="7"/>
      <c r="F2" s="7"/>
      <c r="G2" s="7"/>
      <c r="H2" s="7"/>
      <c r="I2" s="7"/>
      <c r="J2" s="7"/>
      <c r="K2" s="7"/>
      <c r="L2" s="8"/>
      <c r="M2" s="8"/>
      <c r="N2" s="8"/>
      <c r="O2" s="8"/>
      <c r="P2" s="8"/>
      <c r="Q2" s="8"/>
      <c r="R2" s="8"/>
      <c r="S2" s="8"/>
      <c r="T2" s="8"/>
      <c r="U2" s="8"/>
      <c r="V2" s="8"/>
      <c r="W2" s="8"/>
    </row>
    <row r="3">
      <c r="A3" s="5">
        <f t="shared" ref="A3:A35" si="1">A2+1</f>
        <v>2</v>
      </c>
      <c r="B3" s="5" t="s">
        <v>11</v>
      </c>
      <c r="C3" s="5">
        <v>7.7000234182E10</v>
      </c>
      <c r="D3" s="5" t="s">
        <v>13</v>
      </c>
      <c r="E3" s="9" t="s">
        <v>14</v>
      </c>
      <c r="F3" s="10" t="s">
        <v>15</v>
      </c>
      <c r="G3" s="9" t="s">
        <v>16</v>
      </c>
      <c r="H3" s="11" t="s">
        <v>17</v>
      </c>
      <c r="I3" s="12">
        <v>99.0</v>
      </c>
      <c r="J3" s="13"/>
      <c r="K3" s="13"/>
      <c r="L3" s="8"/>
      <c r="M3" s="8"/>
      <c r="N3" s="8"/>
      <c r="O3" s="8"/>
      <c r="P3" s="8"/>
      <c r="Q3" s="8"/>
      <c r="R3" s="8"/>
      <c r="S3" s="8"/>
      <c r="T3" s="8"/>
      <c r="U3" s="8"/>
      <c r="V3" s="8"/>
      <c r="W3" s="8"/>
    </row>
    <row r="4">
      <c r="A4" s="5">
        <f t="shared" si="1"/>
        <v>3</v>
      </c>
      <c r="B4" s="5" t="s">
        <v>11</v>
      </c>
      <c r="C4" s="5">
        <v>7.792016425E9</v>
      </c>
      <c r="D4" s="5" t="s">
        <v>13</v>
      </c>
      <c r="E4" s="9" t="s">
        <v>18</v>
      </c>
      <c r="F4" s="14"/>
      <c r="G4" s="15"/>
      <c r="H4" s="16"/>
      <c r="I4" s="12">
        <v>99.0</v>
      </c>
      <c r="J4" s="17"/>
      <c r="K4" s="17"/>
      <c r="L4" s="8"/>
      <c r="M4" s="8"/>
      <c r="N4" s="8"/>
      <c r="O4" s="8"/>
      <c r="P4" s="8"/>
      <c r="Q4" s="8"/>
      <c r="R4" s="8"/>
      <c r="S4" s="8"/>
      <c r="T4" s="8"/>
      <c r="U4" s="8"/>
      <c r="V4" s="8"/>
      <c r="W4" s="8"/>
    </row>
    <row r="5">
      <c r="A5" s="5">
        <f t="shared" si="1"/>
        <v>4</v>
      </c>
      <c r="B5" s="5" t="s">
        <v>11</v>
      </c>
      <c r="C5" s="5">
        <v>7.7000250964E10</v>
      </c>
      <c r="D5" s="5" t="s">
        <v>19</v>
      </c>
      <c r="E5" s="9" t="s">
        <v>20</v>
      </c>
      <c r="F5" s="14"/>
      <c r="G5" s="15"/>
      <c r="H5" s="16"/>
      <c r="I5" s="12">
        <v>99.0</v>
      </c>
      <c r="J5" s="17"/>
      <c r="K5" s="17"/>
      <c r="L5" s="8"/>
      <c r="M5" s="8"/>
      <c r="N5" s="8"/>
      <c r="O5" s="8"/>
      <c r="P5" s="8"/>
      <c r="Q5" s="8"/>
      <c r="R5" s="8"/>
      <c r="S5" s="8"/>
      <c r="T5" s="8"/>
      <c r="U5" s="8"/>
      <c r="V5" s="8"/>
      <c r="W5" s="8"/>
    </row>
    <row r="6">
      <c r="A6" s="5">
        <f t="shared" si="1"/>
        <v>5</v>
      </c>
      <c r="B6" s="5" t="s">
        <v>11</v>
      </c>
      <c r="C6" s="5">
        <v>7.792144896E9</v>
      </c>
      <c r="D6" s="5" t="s">
        <v>21</v>
      </c>
      <c r="E6" s="9" t="s">
        <v>22</v>
      </c>
      <c r="F6" s="9" t="s">
        <v>23</v>
      </c>
      <c r="G6" s="18" t="s">
        <v>24</v>
      </c>
      <c r="H6" s="18" t="s">
        <v>25</v>
      </c>
      <c r="I6" s="12">
        <v>99.0</v>
      </c>
      <c r="J6" s="14"/>
      <c r="K6" s="14"/>
      <c r="L6" s="8"/>
      <c r="M6" s="8"/>
      <c r="N6" s="8"/>
      <c r="O6" s="8"/>
      <c r="P6" s="8"/>
      <c r="Q6" s="8"/>
      <c r="R6" s="8"/>
      <c r="S6" s="8"/>
      <c r="T6" s="8"/>
      <c r="U6" s="8"/>
      <c r="V6" s="8"/>
      <c r="W6" s="8"/>
    </row>
    <row r="7">
      <c r="A7" s="5">
        <f t="shared" si="1"/>
        <v>6</v>
      </c>
      <c r="B7" s="5" t="s">
        <v>11</v>
      </c>
      <c r="C7" s="5" t="s">
        <v>26</v>
      </c>
      <c r="D7" s="5" t="s">
        <v>13</v>
      </c>
      <c r="E7" s="9" t="s">
        <v>27</v>
      </c>
      <c r="F7" s="14"/>
      <c r="G7" s="9"/>
      <c r="H7" s="16"/>
      <c r="I7" s="12">
        <v>99.0</v>
      </c>
      <c r="J7" s="14"/>
      <c r="K7" s="14"/>
      <c r="L7" s="8"/>
      <c r="M7" s="8"/>
      <c r="N7" s="8"/>
      <c r="O7" s="8"/>
      <c r="P7" s="8"/>
      <c r="Q7" s="8"/>
      <c r="R7" s="8"/>
      <c r="S7" s="8"/>
      <c r="T7" s="8"/>
      <c r="U7" s="8"/>
      <c r="V7" s="8"/>
      <c r="W7" s="8"/>
    </row>
    <row r="8">
      <c r="A8" s="5">
        <f t="shared" si="1"/>
        <v>7</v>
      </c>
      <c r="B8" s="5" t="s">
        <v>11</v>
      </c>
      <c r="C8" s="5">
        <v>7.7000238463E10</v>
      </c>
      <c r="D8" s="5" t="s">
        <v>13</v>
      </c>
      <c r="E8" s="9" t="s">
        <v>28</v>
      </c>
      <c r="F8" s="14"/>
      <c r="G8" s="9" t="s">
        <v>16</v>
      </c>
      <c r="H8" s="19" t="s">
        <v>29</v>
      </c>
      <c r="I8" s="12">
        <v>99.0</v>
      </c>
      <c r="J8" s="14"/>
      <c r="K8" s="14"/>
      <c r="L8" s="8"/>
      <c r="M8" s="8"/>
      <c r="N8" s="8"/>
      <c r="O8" s="8"/>
      <c r="P8" s="8"/>
      <c r="Q8" s="8"/>
      <c r="R8" s="8"/>
      <c r="S8" s="8"/>
      <c r="T8" s="8"/>
      <c r="U8" s="8"/>
      <c r="V8" s="8"/>
      <c r="W8" s="8"/>
    </row>
    <row r="9">
      <c r="A9" s="5">
        <f t="shared" si="1"/>
        <v>8</v>
      </c>
      <c r="B9" s="5" t="s">
        <v>11</v>
      </c>
      <c r="C9" s="5">
        <v>7.7000249933E10</v>
      </c>
      <c r="D9" s="5" t="s">
        <v>13</v>
      </c>
      <c r="E9" s="9" t="s">
        <v>30</v>
      </c>
      <c r="F9" s="14"/>
      <c r="G9" s="9" t="s">
        <v>31</v>
      </c>
      <c r="H9" s="19" t="s">
        <v>32</v>
      </c>
      <c r="I9" s="12">
        <v>99.0</v>
      </c>
      <c r="J9" s="14"/>
      <c r="K9" s="14"/>
      <c r="L9" s="8"/>
      <c r="M9" s="8"/>
      <c r="N9" s="8"/>
      <c r="O9" s="8"/>
      <c r="P9" s="8"/>
      <c r="Q9" s="8"/>
      <c r="R9" s="8"/>
      <c r="S9" s="8"/>
      <c r="T9" s="8"/>
      <c r="U9" s="8"/>
      <c r="V9" s="8"/>
      <c r="W9" s="8"/>
    </row>
    <row r="10">
      <c r="A10" s="5">
        <f t="shared" si="1"/>
        <v>9</v>
      </c>
      <c r="B10" s="5" t="s">
        <v>11</v>
      </c>
      <c r="C10" s="5" t="s">
        <v>33</v>
      </c>
      <c r="D10" s="5" t="s">
        <v>19</v>
      </c>
      <c r="E10" s="9" t="s">
        <v>34</v>
      </c>
      <c r="F10" s="14"/>
      <c r="G10" s="9" t="s">
        <v>31</v>
      </c>
      <c r="H10" s="19" t="s">
        <v>35</v>
      </c>
      <c r="I10" s="12">
        <v>99.0</v>
      </c>
      <c r="J10" s="14"/>
      <c r="K10" s="14"/>
      <c r="L10" s="8"/>
      <c r="M10" s="8"/>
      <c r="N10" s="8"/>
      <c r="O10" s="8"/>
      <c r="P10" s="8"/>
      <c r="Q10" s="8"/>
      <c r="R10" s="8"/>
      <c r="S10" s="8"/>
      <c r="T10" s="8"/>
      <c r="U10" s="8"/>
      <c r="V10" s="8"/>
      <c r="W10" s="8"/>
    </row>
    <row r="11">
      <c r="A11" s="5">
        <f t="shared" si="1"/>
        <v>10</v>
      </c>
      <c r="B11" s="5" t="s">
        <v>11</v>
      </c>
      <c r="C11" s="5" t="s">
        <v>36</v>
      </c>
      <c r="D11" s="5" t="s">
        <v>19</v>
      </c>
      <c r="E11" s="9" t="s">
        <v>34</v>
      </c>
      <c r="F11" s="14"/>
      <c r="G11" s="9" t="s">
        <v>31</v>
      </c>
      <c r="H11" s="19" t="s">
        <v>37</v>
      </c>
      <c r="I11" s="12">
        <v>99.0</v>
      </c>
      <c r="J11" s="14"/>
      <c r="K11" s="14"/>
      <c r="L11" s="8"/>
      <c r="M11" s="8"/>
      <c r="N11" s="8"/>
      <c r="O11" s="8"/>
      <c r="P11" s="8"/>
      <c r="Q11" s="8"/>
      <c r="R11" s="8"/>
      <c r="S11" s="8"/>
      <c r="T11" s="8"/>
      <c r="U11" s="8"/>
      <c r="V11" s="8"/>
      <c r="W11" s="8"/>
    </row>
    <row r="12">
      <c r="A12" s="5">
        <f t="shared" si="1"/>
        <v>11</v>
      </c>
      <c r="B12" s="5" t="s">
        <v>11</v>
      </c>
      <c r="C12" s="5" t="s">
        <v>38</v>
      </c>
      <c r="D12" s="5" t="s">
        <v>19</v>
      </c>
      <c r="E12" s="9" t="s">
        <v>34</v>
      </c>
      <c r="F12" s="14"/>
      <c r="G12" s="9" t="s">
        <v>31</v>
      </c>
      <c r="H12" s="19" t="s">
        <v>39</v>
      </c>
      <c r="I12" s="12">
        <v>99.0</v>
      </c>
      <c r="J12" s="14"/>
      <c r="K12" s="14"/>
      <c r="L12" s="8"/>
      <c r="M12" s="8"/>
      <c r="N12" s="8"/>
      <c r="O12" s="8"/>
      <c r="P12" s="8"/>
      <c r="Q12" s="8"/>
      <c r="R12" s="8"/>
      <c r="S12" s="8"/>
      <c r="T12" s="8"/>
      <c r="U12" s="8"/>
      <c r="V12" s="8"/>
      <c r="W12" s="8"/>
    </row>
    <row r="13">
      <c r="A13" s="5">
        <f t="shared" si="1"/>
        <v>12</v>
      </c>
      <c r="B13" s="5" t="s">
        <v>11</v>
      </c>
      <c r="C13" s="5">
        <v>7.792150927E9</v>
      </c>
      <c r="D13" s="5" t="s">
        <v>40</v>
      </c>
      <c r="E13" s="9" t="s">
        <v>41</v>
      </c>
      <c r="F13" s="14"/>
      <c r="G13" s="9" t="s">
        <v>16</v>
      </c>
      <c r="H13" s="19" t="s">
        <v>42</v>
      </c>
      <c r="I13" s="12">
        <v>99.0</v>
      </c>
      <c r="J13" s="14"/>
      <c r="K13" s="14"/>
      <c r="L13" s="8"/>
      <c r="M13" s="8"/>
      <c r="N13" s="8"/>
      <c r="O13" s="8"/>
      <c r="P13" s="8"/>
      <c r="Q13" s="8"/>
      <c r="R13" s="8"/>
      <c r="S13" s="8"/>
      <c r="T13" s="8"/>
      <c r="U13" s="8"/>
      <c r="V13" s="8"/>
      <c r="W13" s="8"/>
    </row>
    <row r="14">
      <c r="A14" s="5">
        <f t="shared" si="1"/>
        <v>13</v>
      </c>
      <c r="B14" s="5" t="s">
        <v>11</v>
      </c>
      <c r="C14" s="5">
        <v>7.7000228844E10</v>
      </c>
      <c r="D14" s="5" t="s">
        <v>43</v>
      </c>
      <c r="E14" s="9" t="s">
        <v>44</v>
      </c>
      <c r="F14" s="14"/>
      <c r="G14" s="9" t="s">
        <v>45</v>
      </c>
      <c r="H14" s="19" t="s">
        <v>46</v>
      </c>
      <c r="I14" s="12">
        <v>99.0</v>
      </c>
      <c r="J14" s="14"/>
      <c r="K14" s="14"/>
      <c r="L14" s="8"/>
      <c r="M14" s="8"/>
      <c r="N14" s="8"/>
      <c r="O14" s="8"/>
      <c r="P14" s="8"/>
      <c r="Q14" s="8"/>
      <c r="R14" s="8"/>
      <c r="S14" s="8"/>
      <c r="T14" s="8"/>
      <c r="U14" s="8"/>
      <c r="V14" s="8"/>
      <c r="W14" s="8"/>
    </row>
    <row r="15">
      <c r="A15" s="5">
        <f t="shared" si="1"/>
        <v>14</v>
      </c>
      <c r="B15" s="5" t="s">
        <v>11</v>
      </c>
      <c r="C15" s="5">
        <v>7.792138312E9</v>
      </c>
      <c r="D15" s="5" t="s">
        <v>21</v>
      </c>
      <c r="E15" s="9" t="s">
        <v>47</v>
      </c>
      <c r="F15" s="14"/>
      <c r="G15" s="9" t="s">
        <v>16</v>
      </c>
      <c r="H15" s="19" t="s">
        <v>48</v>
      </c>
      <c r="I15" s="12">
        <v>99.0</v>
      </c>
      <c r="J15" s="14"/>
      <c r="K15" s="14"/>
      <c r="L15" s="8"/>
      <c r="M15" s="8"/>
      <c r="N15" s="8"/>
      <c r="O15" s="8"/>
      <c r="P15" s="8"/>
      <c r="Q15" s="8"/>
      <c r="R15" s="8"/>
      <c r="S15" s="8"/>
      <c r="T15" s="8"/>
      <c r="U15" s="8"/>
      <c r="V15" s="8"/>
      <c r="W15" s="8"/>
    </row>
    <row r="16">
      <c r="A16" s="5">
        <f t="shared" si="1"/>
        <v>15</v>
      </c>
      <c r="B16" s="5" t="s">
        <v>11</v>
      </c>
      <c r="C16" s="5">
        <v>7.7000249866E10</v>
      </c>
      <c r="D16" s="5" t="s">
        <v>49</v>
      </c>
      <c r="E16" s="9" t="s">
        <v>50</v>
      </c>
      <c r="F16" s="14"/>
      <c r="G16" s="9" t="s">
        <v>51</v>
      </c>
      <c r="H16" s="19" t="s">
        <v>52</v>
      </c>
      <c r="I16" s="12">
        <v>99.0</v>
      </c>
      <c r="J16" s="14"/>
      <c r="K16" s="14"/>
      <c r="L16" s="8"/>
      <c r="M16" s="8"/>
      <c r="N16" s="8"/>
      <c r="O16" s="8"/>
      <c r="P16" s="8"/>
      <c r="Q16" s="8"/>
      <c r="R16" s="8"/>
      <c r="S16" s="8"/>
      <c r="T16" s="8"/>
      <c r="U16" s="8"/>
      <c r="V16" s="8"/>
      <c r="W16" s="8"/>
    </row>
    <row r="17">
      <c r="A17" s="5">
        <f t="shared" si="1"/>
        <v>16</v>
      </c>
      <c r="B17" s="5" t="s">
        <v>11</v>
      </c>
      <c r="C17" s="5">
        <v>7.700024041E10</v>
      </c>
      <c r="D17" s="5" t="s">
        <v>40</v>
      </c>
      <c r="E17" s="9" t="s">
        <v>53</v>
      </c>
      <c r="F17" s="10" t="s">
        <v>54</v>
      </c>
      <c r="G17" s="9" t="s">
        <v>55</v>
      </c>
      <c r="H17" s="19" t="s">
        <v>56</v>
      </c>
      <c r="I17" s="12">
        <v>99.0</v>
      </c>
      <c r="J17" s="14"/>
      <c r="K17" s="14"/>
      <c r="L17" s="8"/>
      <c r="M17" s="8"/>
      <c r="N17" s="8"/>
      <c r="O17" s="8"/>
      <c r="P17" s="8"/>
      <c r="Q17" s="8"/>
      <c r="R17" s="8"/>
      <c r="S17" s="8"/>
      <c r="T17" s="8"/>
      <c r="U17" s="8"/>
      <c r="V17" s="8"/>
      <c r="W17" s="8"/>
    </row>
    <row r="18">
      <c r="A18" s="5">
        <f t="shared" si="1"/>
        <v>17</v>
      </c>
      <c r="B18" s="5" t="s">
        <v>11</v>
      </c>
      <c r="C18" s="5">
        <v>7.7000247265E10</v>
      </c>
      <c r="D18" s="5" t="s">
        <v>49</v>
      </c>
      <c r="E18" s="9" t="s">
        <v>57</v>
      </c>
      <c r="F18" s="10" t="s">
        <v>58</v>
      </c>
      <c r="G18" s="9" t="s">
        <v>59</v>
      </c>
      <c r="H18" s="12" t="s">
        <v>60</v>
      </c>
      <c r="I18" s="12">
        <v>99.0</v>
      </c>
      <c r="J18" s="14"/>
      <c r="K18" s="14"/>
      <c r="L18" s="8"/>
      <c r="M18" s="8"/>
      <c r="N18" s="8"/>
      <c r="O18" s="8"/>
      <c r="P18" s="8"/>
      <c r="Q18" s="8"/>
      <c r="R18" s="8"/>
      <c r="S18" s="8"/>
      <c r="T18" s="8"/>
      <c r="U18" s="8"/>
      <c r="V18" s="8"/>
      <c r="W18" s="8"/>
    </row>
    <row r="19">
      <c r="A19" s="5">
        <f t="shared" si="1"/>
        <v>18</v>
      </c>
      <c r="B19" s="5" t="s">
        <v>11</v>
      </c>
      <c r="C19" s="20">
        <v>7.700024022E10</v>
      </c>
      <c r="D19" s="10" t="s">
        <v>49</v>
      </c>
      <c r="E19" s="10" t="s">
        <v>61</v>
      </c>
      <c r="F19" s="10" t="s">
        <v>62</v>
      </c>
      <c r="G19" s="10" t="s">
        <v>63</v>
      </c>
      <c r="H19" s="12" t="s">
        <v>64</v>
      </c>
      <c r="I19" s="12">
        <v>99.0</v>
      </c>
      <c r="J19" s="14"/>
      <c r="K19" s="14"/>
      <c r="L19" s="8"/>
      <c r="M19" s="8"/>
      <c r="N19" s="8"/>
      <c r="O19" s="8"/>
      <c r="P19" s="8"/>
      <c r="Q19" s="8"/>
      <c r="R19" s="8"/>
      <c r="S19" s="8"/>
      <c r="T19" s="8"/>
      <c r="U19" s="8"/>
      <c r="V19" s="8"/>
      <c r="W19" s="8"/>
    </row>
    <row r="20">
      <c r="A20" s="5">
        <f t="shared" si="1"/>
        <v>19</v>
      </c>
      <c r="B20" s="5" t="s">
        <v>11</v>
      </c>
      <c r="C20" s="20">
        <v>7.7000254383E10</v>
      </c>
      <c r="D20" s="10" t="s">
        <v>49</v>
      </c>
      <c r="E20" s="10" t="s">
        <v>65</v>
      </c>
      <c r="F20" s="10" t="s">
        <v>66</v>
      </c>
      <c r="G20" s="10" t="s">
        <v>63</v>
      </c>
      <c r="H20" s="12" t="s">
        <v>67</v>
      </c>
      <c r="I20" s="10" t="s">
        <v>12</v>
      </c>
      <c r="J20" s="14"/>
      <c r="K20" s="14"/>
      <c r="L20" s="8"/>
      <c r="M20" s="8"/>
      <c r="N20" s="8"/>
      <c r="O20" s="8"/>
      <c r="P20" s="8"/>
      <c r="Q20" s="8"/>
      <c r="R20" s="8"/>
      <c r="S20" s="8"/>
      <c r="T20" s="8"/>
      <c r="U20" s="8"/>
      <c r="V20" s="8"/>
      <c r="W20" s="8"/>
    </row>
    <row r="21">
      <c r="A21" s="5">
        <f t="shared" si="1"/>
        <v>20</v>
      </c>
      <c r="B21" s="5" t="s">
        <v>11</v>
      </c>
      <c r="C21" s="20">
        <v>7.7000225313E10</v>
      </c>
      <c r="D21" s="10" t="s">
        <v>49</v>
      </c>
      <c r="E21" s="10" t="s">
        <v>68</v>
      </c>
      <c r="F21" s="10"/>
      <c r="G21" s="10" t="s">
        <v>69</v>
      </c>
      <c r="H21" s="12" t="s">
        <v>70</v>
      </c>
      <c r="I21" s="14"/>
      <c r="J21" s="14"/>
      <c r="K21" s="14"/>
      <c r="L21" s="8"/>
      <c r="M21" s="8"/>
      <c r="N21" s="8"/>
      <c r="O21" s="8"/>
      <c r="P21" s="8"/>
      <c r="Q21" s="8"/>
      <c r="R21" s="8"/>
      <c r="S21" s="8"/>
      <c r="T21" s="8"/>
      <c r="U21" s="8"/>
      <c r="V21" s="8"/>
      <c r="W21" s="8"/>
    </row>
    <row r="22">
      <c r="A22" s="5">
        <f t="shared" si="1"/>
        <v>21</v>
      </c>
      <c r="B22" s="5" t="s">
        <v>11</v>
      </c>
      <c r="C22" s="20">
        <v>7.7000251375E10</v>
      </c>
      <c r="D22" s="10" t="s">
        <v>49</v>
      </c>
      <c r="E22" s="10" t="s">
        <v>71</v>
      </c>
      <c r="F22" s="10" t="s">
        <v>72</v>
      </c>
      <c r="G22" s="10" t="s">
        <v>73</v>
      </c>
      <c r="H22" s="12" t="s">
        <v>74</v>
      </c>
      <c r="I22" s="14"/>
      <c r="J22" s="14"/>
      <c r="K22" s="14"/>
      <c r="L22" s="8"/>
      <c r="M22" s="8"/>
      <c r="N22" s="8"/>
      <c r="O22" s="8"/>
      <c r="P22" s="8"/>
      <c r="Q22" s="8"/>
      <c r="R22" s="8"/>
      <c r="S22" s="8"/>
      <c r="T22" s="8"/>
      <c r="U22" s="8"/>
      <c r="V22" s="8"/>
      <c r="W22" s="8"/>
    </row>
    <row r="23">
      <c r="A23" s="5">
        <f t="shared" si="1"/>
        <v>22</v>
      </c>
      <c r="B23" s="5" t="s">
        <v>11</v>
      </c>
      <c r="C23" s="20">
        <v>7.800236434E9</v>
      </c>
      <c r="D23" s="10" t="s">
        <v>21</v>
      </c>
      <c r="E23" s="10" t="s">
        <v>75</v>
      </c>
      <c r="F23" s="10" t="s">
        <v>76</v>
      </c>
      <c r="G23" s="10" t="s">
        <v>16</v>
      </c>
      <c r="H23" s="12" t="s">
        <v>77</v>
      </c>
      <c r="I23" s="10">
        <v>8.888725508E9</v>
      </c>
      <c r="J23" s="14"/>
      <c r="K23" s="14"/>
      <c r="L23" s="8"/>
      <c r="M23" s="8"/>
      <c r="N23" s="8"/>
      <c r="O23" s="8"/>
      <c r="P23" s="8"/>
      <c r="Q23" s="8"/>
      <c r="R23" s="8"/>
      <c r="S23" s="8"/>
      <c r="T23" s="8"/>
      <c r="U23" s="8"/>
      <c r="V23" s="8"/>
      <c r="W23" s="8"/>
    </row>
    <row r="24">
      <c r="A24" s="5">
        <f t="shared" si="1"/>
        <v>23</v>
      </c>
      <c r="B24" s="5" t="s">
        <v>11</v>
      </c>
      <c r="C24" s="20">
        <v>7.7000251172E10</v>
      </c>
      <c r="D24" s="10" t="s">
        <v>78</v>
      </c>
      <c r="E24" s="10" t="s">
        <v>79</v>
      </c>
      <c r="F24" s="10" t="s">
        <v>80</v>
      </c>
      <c r="G24" s="10" t="s">
        <v>16</v>
      </c>
      <c r="H24" s="12" t="s">
        <v>81</v>
      </c>
      <c r="I24" s="14"/>
      <c r="J24" s="14"/>
      <c r="K24" s="14"/>
      <c r="L24" s="8"/>
      <c r="M24" s="8"/>
      <c r="N24" s="8"/>
      <c r="O24" s="8"/>
      <c r="P24" s="8"/>
      <c r="Q24" s="8"/>
      <c r="R24" s="8"/>
      <c r="S24" s="8"/>
      <c r="T24" s="8"/>
      <c r="U24" s="8"/>
      <c r="V24" s="8"/>
      <c r="W24" s="8"/>
    </row>
    <row r="25">
      <c r="A25" s="5">
        <f t="shared" si="1"/>
        <v>24</v>
      </c>
      <c r="B25" s="5" t="s">
        <v>11</v>
      </c>
      <c r="C25" s="20">
        <v>7.700025488E10</v>
      </c>
      <c r="D25" s="14"/>
      <c r="E25" s="10" t="s">
        <v>82</v>
      </c>
      <c r="F25" s="10"/>
      <c r="G25" s="10" t="s">
        <v>24</v>
      </c>
      <c r="H25" s="14"/>
      <c r="I25" s="14"/>
      <c r="J25" s="14"/>
      <c r="K25" s="14"/>
      <c r="L25" s="8"/>
      <c r="M25" s="8"/>
      <c r="N25" s="8"/>
      <c r="O25" s="8"/>
      <c r="P25" s="8"/>
      <c r="Q25" s="8"/>
      <c r="R25" s="8"/>
      <c r="S25" s="8"/>
      <c r="T25" s="8"/>
      <c r="U25" s="8"/>
      <c r="V25" s="8"/>
      <c r="W25" s="8"/>
    </row>
    <row r="26">
      <c r="A26" s="5">
        <f t="shared" si="1"/>
        <v>25</v>
      </c>
      <c r="B26" s="5" t="s">
        <v>11</v>
      </c>
      <c r="C26" s="20">
        <v>7.7000249626E10</v>
      </c>
      <c r="D26" s="10" t="s">
        <v>83</v>
      </c>
      <c r="E26" s="10" t="s">
        <v>84</v>
      </c>
      <c r="F26" s="10" t="s">
        <v>85</v>
      </c>
      <c r="G26" s="10" t="s">
        <v>86</v>
      </c>
      <c r="H26" s="21" t="s">
        <v>87</v>
      </c>
      <c r="I26" s="14"/>
      <c r="J26" s="14"/>
      <c r="K26" s="14"/>
      <c r="L26" s="8"/>
      <c r="M26" s="8"/>
      <c r="N26" s="8"/>
      <c r="O26" s="8"/>
      <c r="P26" s="8"/>
      <c r="Q26" s="8"/>
      <c r="R26" s="8"/>
      <c r="S26" s="8"/>
      <c r="T26" s="8"/>
      <c r="U26" s="8"/>
      <c r="V26" s="8"/>
      <c r="W26" s="8"/>
    </row>
    <row r="27">
      <c r="A27" s="5">
        <f t="shared" si="1"/>
        <v>26</v>
      </c>
      <c r="B27" s="5" t="s">
        <v>11</v>
      </c>
      <c r="C27" s="20">
        <v>7.7000255326E10</v>
      </c>
      <c r="D27" s="10" t="s">
        <v>49</v>
      </c>
      <c r="E27" s="10" t="s">
        <v>88</v>
      </c>
      <c r="F27" s="10" t="s">
        <v>89</v>
      </c>
      <c r="G27" s="10" t="s">
        <v>90</v>
      </c>
      <c r="H27" s="10" t="s">
        <v>91</v>
      </c>
      <c r="I27" s="14"/>
      <c r="J27" s="14"/>
      <c r="K27" s="14"/>
      <c r="L27" s="8"/>
      <c r="M27" s="8"/>
      <c r="N27" s="8"/>
      <c r="O27" s="8"/>
      <c r="P27" s="8"/>
      <c r="Q27" s="8"/>
      <c r="R27" s="8"/>
      <c r="S27" s="8"/>
      <c r="T27" s="8"/>
      <c r="U27" s="8"/>
      <c r="V27" s="8"/>
      <c r="W27" s="8"/>
    </row>
    <row r="28">
      <c r="A28" s="5">
        <f t="shared" si="1"/>
        <v>27</v>
      </c>
      <c r="B28" s="5" t="s">
        <v>11</v>
      </c>
      <c r="C28" s="20">
        <v>7.792147873E9</v>
      </c>
      <c r="D28" s="10" t="s">
        <v>19</v>
      </c>
      <c r="E28" s="10" t="s">
        <v>92</v>
      </c>
      <c r="F28" s="10" t="s">
        <v>93</v>
      </c>
      <c r="G28" s="10" t="s">
        <v>94</v>
      </c>
      <c r="H28" s="21" t="s">
        <v>95</v>
      </c>
      <c r="I28" s="10" t="s">
        <v>12</v>
      </c>
      <c r="J28" s="14"/>
      <c r="K28" s="14"/>
      <c r="L28" s="8"/>
      <c r="M28" s="8"/>
      <c r="N28" s="8"/>
      <c r="O28" s="8"/>
      <c r="P28" s="8"/>
      <c r="Q28" s="8"/>
      <c r="R28" s="8"/>
      <c r="S28" s="8"/>
      <c r="T28" s="8"/>
      <c r="U28" s="8"/>
      <c r="V28" s="8"/>
      <c r="W28" s="8"/>
    </row>
    <row r="29">
      <c r="A29" s="5">
        <f t="shared" si="1"/>
        <v>28</v>
      </c>
      <c r="B29" s="5" t="s">
        <v>11</v>
      </c>
      <c r="C29" s="20">
        <v>7.792145952E9</v>
      </c>
      <c r="D29" s="10" t="s">
        <v>21</v>
      </c>
      <c r="E29" s="10" t="s">
        <v>96</v>
      </c>
      <c r="F29" s="10" t="s">
        <v>97</v>
      </c>
      <c r="G29" s="10" t="s">
        <v>16</v>
      </c>
      <c r="H29" s="21" t="s">
        <v>98</v>
      </c>
      <c r="I29" s="10" t="s">
        <v>12</v>
      </c>
      <c r="J29" s="14"/>
      <c r="K29" s="14"/>
      <c r="L29" s="8"/>
      <c r="M29" s="8"/>
      <c r="N29" s="8"/>
      <c r="O29" s="8"/>
      <c r="P29" s="8"/>
      <c r="Q29" s="8"/>
      <c r="R29" s="8"/>
      <c r="S29" s="8"/>
      <c r="T29" s="8"/>
      <c r="U29" s="8"/>
      <c r="V29" s="8"/>
      <c r="W29" s="8"/>
    </row>
    <row r="30">
      <c r="A30" s="5">
        <f t="shared" si="1"/>
        <v>29</v>
      </c>
      <c r="B30" s="22" t="s">
        <v>11</v>
      </c>
      <c r="C30" s="20">
        <v>7.7000240495E10</v>
      </c>
      <c r="D30" s="10" t="s">
        <v>40</v>
      </c>
      <c r="E30" s="10" t="s">
        <v>99</v>
      </c>
      <c r="F30" s="10" t="s">
        <v>100</v>
      </c>
      <c r="G30" s="10" t="s">
        <v>101</v>
      </c>
      <c r="H30" s="21" t="s">
        <v>102</v>
      </c>
      <c r="I30" s="10" t="s">
        <v>12</v>
      </c>
      <c r="J30" s="14"/>
      <c r="K30" s="14"/>
      <c r="L30" s="8"/>
      <c r="M30" s="8"/>
      <c r="N30" s="8"/>
      <c r="O30" s="8"/>
      <c r="P30" s="8"/>
      <c r="Q30" s="8"/>
      <c r="R30" s="8"/>
      <c r="S30" s="8"/>
      <c r="T30" s="8"/>
      <c r="U30" s="8"/>
      <c r="V30" s="8"/>
      <c r="W30" s="8"/>
    </row>
    <row r="31">
      <c r="A31" s="5">
        <f t="shared" si="1"/>
        <v>30</v>
      </c>
      <c r="B31" s="22" t="s">
        <v>11</v>
      </c>
      <c r="C31" s="20">
        <v>7.700025607E10</v>
      </c>
      <c r="D31" s="10" t="s">
        <v>19</v>
      </c>
      <c r="E31" s="10" t="s">
        <v>103</v>
      </c>
      <c r="F31" s="10" t="s">
        <v>104</v>
      </c>
      <c r="G31" s="10" t="s">
        <v>105</v>
      </c>
      <c r="H31" s="10" t="s">
        <v>106</v>
      </c>
      <c r="I31" s="10" t="s">
        <v>12</v>
      </c>
      <c r="J31" s="14"/>
      <c r="K31" s="14"/>
      <c r="L31" s="8"/>
      <c r="M31" s="8"/>
      <c r="N31" s="8"/>
      <c r="O31" s="8"/>
      <c r="P31" s="8"/>
      <c r="Q31" s="8"/>
      <c r="R31" s="8"/>
      <c r="S31" s="8"/>
      <c r="T31" s="8"/>
      <c r="U31" s="8"/>
      <c r="V31" s="8"/>
      <c r="W31" s="8"/>
    </row>
    <row r="32">
      <c r="A32" s="5">
        <f t="shared" si="1"/>
        <v>31</v>
      </c>
      <c r="B32" s="6" t="s">
        <v>11</v>
      </c>
      <c r="C32" s="23">
        <v>7.7000216379E10</v>
      </c>
      <c r="D32" s="6" t="s">
        <v>19</v>
      </c>
      <c r="E32" s="6" t="s">
        <v>107</v>
      </c>
      <c r="F32" s="6" t="s">
        <v>108</v>
      </c>
      <c r="G32" s="6" t="s">
        <v>16</v>
      </c>
      <c r="H32" s="6" t="s">
        <v>109</v>
      </c>
      <c r="I32" s="6" t="s">
        <v>12</v>
      </c>
      <c r="J32" s="14"/>
      <c r="K32" s="14"/>
      <c r="L32" s="8"/>
      <c r="M32" s="8"/>
      <c r="N32" s="8"/>
      <c r="O32" s="8"/>
      <c r="P32" s="8"/>
      <c r="Q32" s="8"/>
      <c r="R32" s="8"/>
      <c r="S32" s="8"/>
      <c r="T32" s="8"/>
      <c r="U32" s="8"/>
      <c r="V32" s="8"/>
      <c r="W32" s="8"/>
    </row>
    <row r="33">
      <c r="A33" s="5">
        <f t="shared" si="1"/>
        <v>32</v>
      </c>
      <c r="B33" s="22" t="s">
        <v>11</v>
      </c>
      <c r="C33" s="20">
        <v>7.7000252808E10</v>
      </c>
      <c r="D33" s="10" t="s">
        <v>19</v>
      </c>
      <c r="E33" s="10" t="s">
        <v>110</v>
      </c>
      <c r="F33" s="10" t="s">
        <v>111</v>
      </c>
      <c r="G33" s="10" t="s">
        <v>112</v>
      </c>
      <c r="H33" s="6" t="s">
        <v>113</v>
      </c>
      <c r="I33" s="10" t="s">
        <v>12</v>
      </c>
      <c r="J33" s="14"/>
      <c r="K33" s="14"/>
      <c r="L33" s="8"/>
      <c r="M33" s="8"/>
      <c r="N33" s="8"/>
      <c r="O33" s="8"/>
      <c r="P33" s="8"/>
      <c r="Q33" s="8"/>
      <c r="R33" s="8"/>
      <c r="S33" s="8"/>
      <c r="T33" s="8"/>
      <c r="U33" s="8"/>
      <c r="V33" s="8"/>
      <c r="W33" s="8"/>
    </row>
    <row r="34">
      <c r="A34" s="5">
        <f t="shared" si="1"/>
        <v>33</v>
      </c>
      <c r="B34" s="22" t="s">
        <v>114</v>
      </c>
      <c r="C34" s="20">
        <v>7.7000251513E10</v>
      </c>
      <c r="D34" s="10" t="s">
        <v>43</v>
      </c>
      <c r="E34" s="10" t="s">
        <v>115</v>
      </c>
      <c r="F34" s="10" t="s">
        <v>116</v>
      </c>
      <c r="G34" s="10" t="s">
        <v>24</v>
      </c>
      <c r="H34" s="6" t="s">
        <v>117</v>
      </c>
      <c r="I34" s="10" t="s">
        <v>12</v>
      </c>
      <c r="J34" s="14"/>
      <c r="K34" s="14"/>
      <c r="L34" s="8"/>
      <c r="M34" s="8"/>
      <c r="N34" s="8"/>
      <c r="O34" s="8"/>
      <c r="P34" s="8"/>
      <c r="Q34" s="8"/>
      <c r="R34" s="8"/>
      <c r="S34" s="8"/>
      <c r="T34" s="8"/>
      <c r="U34" s="8"/>
      <c r="V34" s="8"/>
      <c r="W34" s="8"/>
    </row>
    <row r="35">
      <c r="A35" s="5">
        <f t="shared" si="1"/>
        <v>34</v>
      </c>
      <c r="B35" s="22" t="s">
        <v>114</v>
      </c>
      <c r="C35" s="20" t="s">
        <v>118</v>
      </c>
      <c r="D35" s="10" t="s">
        <v>13</v>
      </c>
      <c r="E35" s="10" t="s">
        <v>119</v>
      </c>
      <c r="F35" s="10" t="s">
        <v>120</v>
      </c>
      <c r="G35" s="10" t="s">
        <v>121</v>
      </c>
      <c r="H35" s="6" t="s">
        <v>122</v>
      </c>
      <c r="I35" s="14"/>
      <c r="J35" s="14"/>
      <c r="K35" s="14"/>
      <c r="L35" s="8"/>
      <c r="M35" s="8"/>
      <c r="N35" s="8"/>
      <c r="O35" s="8"/>
      <c r="P35" s="8"/>
      <c r="Q35" s="8"/>
      <c r="R35" s="8"/>
      <c r="S35" s="8"/>
      <c r="T35" s="8"/>
      <c r="U35" s="8"/>
      <c r="V35" s="8"/>
      <c r="W35" s="8"/>
    </row>
    <row r="36">
      <c r="A36" s="5" t="s">
        <v>123</v>
      </c>
      <c r="B36" s="22" t="s">
        <v>114</v>
      </c>
      <c r="C36" s="20" t="s">
        <v>124</v>
      </c>
      <c r="D36" s="10" t="s">
        <v>13</v>
      </c>
      <c r="E36" s="10" t="s">
        <v>119</v>
      </c>
      <c r="F36" s="10" t="s">
        <v>120</v>
      </c>
      <c r="G36" s="10" t="s">
        <v>121</v>
      </c>
      <c r="H36" s="6" t="s">
        <v>125</v>
      </c>
      <c r="I36" s="14"/>
      <c r="J36" s="14"/>
      <c r="K36" s="14"/>
      <c r="L36" s="8"/>
      <c r="M36" s="8"/>
      <c r="N36" s="8"/>
      <c r="O36" s="8"/>
      <c r="P36" s="8"/>
      <c r="Q36" s="8"/>
      <c r="R36" s="8"/>
      <c r="S36" s="8"/>
      <c r="T36" s="8"/>
      <c r="U36" s="8"/>
      <c r="V36" s="8"/>
      <c r="W36" s="8"/>
    </row>
    <row r="37">
      <c r="A37" s="5">
        <f>A35+1</f>
        <v>35</v>
      </c>
      <c r="B37" s="22" t="s">
        <v>114</v>
      </c>
      <c r="C37" s="20">
        <v>7.7000258297E10</v>
      </c>
      <c r="D37" s="10" t="s">
        <v>49</v>
      </c>
      <c r="E37" s="10" t="s">
        <v>126</v>
      </c>
      <c r="F37" s="10" t="s">
        <v>127</v>
      </c>
      <c r="G37" s="10" t="s">
        <v>128</v>
      </c>
      <c r="H37" s="10" t="s">
        <v>129</v>
      </c>
      <c r="I37" s="14"/>
      <c r="J37" s="14"/>
      <c r="K37" s="14"/>
      <c r="L37" s="8"/>
      <c r="M37" s="8"/>
      <c r="N37" s="8"/>
      <c r="O37" s="8"/>
      <c r="P37" s="8"/>
      <c r="Q37" s="8"/>
      <c r="R37" s="8"/>
      <c r="S37" s="8"/>
      <c r="T37" s="8"/>
      <c r="U37" s="8"/>
      <c r="V37" s="8"/>
      <c r="W37" s="8"/>
    </row>
    <row r="38">
      <c r="A38" s="5">
        <f t="shared" ref="A38:A65" si="2">A37+1</f>
        <v>36</v>
      </c>
      <c r="B38" s="22" t="s">
        <v>114</v>
      </c>
      <c r="C38" s="20">
        <v>7.7000256309E10</v>
      </c>
      <c r="D38" s="10" t="s">
        <v>49</v>
      </c>
      <c r="E38" s="10" t="s">
        <v>130</v>
      </c>
      <c r="F38" s="10" t="s">
        <v>131</v>
      </c>
      <c r="G38" s="10" t="s">
        <v>132</v>
      </c>
      <c r="H38" s="24" t="s">
        <v>133</v>
      </c>
      <c r="I38" s="14"/>
      <c r="J38" s="14"/>
      <c r="K38" s="14"/>
      <c r="L38" s="8"/>
      <c r="M38" s="8"/>
      <c r="N38" s="8"/>
      <c r="O38" s="8"/>
      <c r="P38" s="8"/>
      <c r="Q38" s="8"/>
      <c r="R38" s="8"/>
      <c r="S38" s="8"/>
      <c r="T38" s="8"/>
      <c r="U38" s="8"/>
      <c r="V38" s="8"/>
      <c r="W38" s="8"/>
    </row>
    <row r="39">
      <c r="A39" s="5">
        <f t="shared" si="2"/>
        <v>37</v>
      </c>
      <c r="B39" s="25" t="s">
        <v>114</v>
      </c>
      <c r="C39" s="26">
        <v>7.7000255771E10</v>
      </c>
      <c r="D39" s="6" t="s">
        <v>49</v>
      </c>
      <c r="E39" s="6" t="s">
        <v>134</v>
      </c>
      <c r="F39" s="6" t="s">
        <v>135</v>
      </c>
      <c r="G39" s="6" t="s">
        <v>55</v>
      </c>
      <c r="H39" s="6" t="s">
        <v>136</v>
      </c>
      <c r="I39" s="7"/>
      <c r="J39" s="7"/>
      <c r="K39" s="7"/>
      <c r="L39" s="4"/>
      <c r="M39" s="4"/>
      <c r="N39" s="4"/>
      <c r="O39" s="4"/>
      <c r="P39" s="4"/>
      <c r="Q39" s="4"/>
      <c r="R39" s="4"/>
      <c r="S39" s="4"/>
      <c r="T39" s="4"/>
      <c r="U39" s="4"/>
      <c r="V39" s="4"/>
      <c r="W39" s="4"/>
    </row>
    <row r="40">
      <c r="A40" s="5">
        <f t="shared" si="2"/>
        <v>38</v>
      </c>
      <c r="B40" s="25" t="s">
        <v>114</v>
      </c>
      <c r="C40" s="26">
        <v>7.7000251849E10</v>
      </c>
      <c r="D40" s="6" t="s">
        <v>49</v>
      </c>
      <c r="E40" s="6" t="s">
        <v>137</v>
      </c>
      <c r="F40" s="6" t="s">
        <v>138</v>
      </c>
      <c r="G40" s="6" t="s">
        <v>139</v>
      </c>
      <c r="H40" s="27" t="s">
        <v>140</v>
      </c>
      <c r="I40" s="7"/>
      <c r="J40" s="7"/>
      <c r="K40" s="7"/>
      <c r="L40" s="4"/>
      <c r="M40" s="4"/>
      <c r="N40" s="4"/>
      <c r="O40" s="4"/>
      <c r="P40" s="4"/>
      <c r="Q40" s="4"/>
      <c r="R40" s="4"/>
      <c r="S40" s="4"/>
      <c r="T40" s="4"/>
      <c r="U40" s="4"/>
      <c r="V40" s="4"/>
      <c r="W40" s="4"/>
    </row>
    <row r="41">
      <c r="A41" s="5">
        <f t="shared" si="2"/>
        <v>39</v>
      </c>
      <c r="B41" s="25" t="s">
        <v>114</v>
      </c>
      <c r="C41" s="26">
        <v>7.792148754E9</v>
      </c>
      <c r="D41" s="6" t="s">
        <v>43</v>
      </c>
      <c r="E41" s="6" t="s">
        <v>141</v>
      </c>
      <c r="F41" s="7"/>
      <c r="G41" s="6" t="s">
        <v>142</v>
      </c>
      <c r="H41" s="27" t="s">
        <v>143</v>
      </c>
      <c r="I41" s="7"/>
      <c r="J41" s="7"/>
      <c r="K41" s="7"/>
      <c r="L41" s="4"/>
      <c r="M41" s="4"/>
      <c r="N41" s="4"/>
      <c r="O41" s="4"/>
      <c r="P41" s="4"/>
      <c r="Q41" s="4"/>
      <c r="R41" s="4"/>
      <c r="S41" s="4"/>
      <c r="T41" s="4"/>
      <c r="U41" s="4"/>
      <c r="V41" s="4"/>
      <c r="W41" s="4"/>
    </row>
    <row r="42">
      <c r="A42" s="5">
        <f t="shared" si="2"/>
        <v>40</v>
      </c>
      <c r="B42" s="25" t="s">
        <v>114</v>
      </c>
      <c r="C42" s="26">
        <v>7.792151842E9</v>
      </c>
      <c r="D42" s="6" t="s">
        <v>21</v>
      </c>
      <c r="E42" s="6" t="s">
        <v>144</v>
      </c>
      <c r="F42" s="6" t="s">
        <v>145</v>
      </c>
      <c r="G42" s="6" t="s">
        <v>146</v>
      </c>
      <c r="H42" s="6" t="s">
        <v>147</v>
      </c>
      <c r="I42" s="7"/>
      <c r="J42" s="7"/>
      <c r="K42" s="7"/>
      <c r="L42" s="4"/>
      <c r="M42" s="4"/>
      <c r="N42" s="4"/>
      <c r="O42" s="4"/>
      <c r="P42" s="4"/>
      <c r="Q42" s="4"/>
      <c r="R42" s="4"/>
      <c r="S42" s="4"/>
      <c r="T42" s="4"/>
      <c r="U42" s="4"/>
      <c r="V42" s="4"/>
      <c r="W42" s="4"/>
    </row>
    <row r="43">
      <c r="A43" s="5">
        <f t="shared" si="2"/>
        <v>41</v>
      </c>
      <c r="B43" s="25" t="s">
        <v>114</v>
      </c>
      <c r="C43" s="26">
        <v>7.7000250398E10</v>
      </c>
      <c r="D43" s="6" t="s">
        <v>21</v>
      </c>
      <c r="E43" s="6" t="s">
        <v>148</v>
      </c>
      <c r="F43" s="28"/>
      <c r="G43" s="6" t="s">
        <v>73</v>
      </c>
      <c r="H43" s="6" t="s">
        <v>149</v>
      </c>
      <c r="I43" s="7"/>
      <c r="J43" s="7"/>
      <c r="K43" s="7"/>
      <c r="L43" s="4"/>
      <c r="M43" s="4"/>
      <c r="N43" s="4"/>
      <c r="O43" s="4"/>
      <c r="P43" s="4"/>
      <c r="Q43" s="4"/>
      <c r="R43" s="4"/>
      <c r="S43" s="4"/>
      <c r="T43" s="4"/>
      <c r="U43" s="4"/>
      <c r="V43" s="4"/>
      <c r="W43" s="4"/>
    </row>
    <row r="44">
      <c r="A44" s="5">
        <f t="shared" si="2"/>
        <v>42</v>
      </c>
      <c r="B44" s="25" t="s">
        <v>114</v>
      </c>
      <c r="C44" s="26">
        <v>7.700025465E10</v>
      </c>
      <c r="D44" s="6" t="s">
        <v>21</v>
      </c>
      <c r="E44" s="6" t="s">
        <v>150</v>
      </c>
      <c r="F44" s="6" t="s">
        <v>151</v>
      </c>
      <c r="G44" s="6" t="s">
        <v>152</v>
      </c>
      <c r="H44" s="6" t="s">
        <v>153</v>
      </c>
      <c r="I44" s="7"/>
      <c r="J44" s="7"/>
      <c r="K44" s="7"/>
      <c r="L44" s="4"/>
      <c r="M44" s="4"/>
      <c r="N44" s="4"/>
      <c r="O44" s="4"/>
      <c r="P44" s="4"/>
      <c r="Q44" s="4"/>
      <c r="R44" s="4"/>
      <c r="S44" s="4"/>
      <c r="T44" s="4"/>
      <c r="U44" s="4"/>
      <c r="V44" s="4"/>
      <c r="W44" s="4"/>
    </row>
    <row r="45">
      <c r="A45" s="5">
        <f t="shared" si="2"/>
        <v>43</v>
      </c>
      <c r="B45" s="25" t="s">
        <v>114</v>
      </c>
      <c r="C45" s="26">
        <v>7.70002537E10</v>
      </c>
      <c r="D45" s="6" t="s">
        <v>49</v>
      </c>
      <c r="E45" s="6" t="s">
        <v>154</v>
      </c>
      <c r="F45" s="6" t="s">
        <v>155</v>
      </c>
      <c r="G45" s="6" t="s">
        <v>156</v>
      </c>
      <c r="H45" s="6" t="s">
        <v>157</v>
      </c>
      <c r="I45" s="7"/>
      <c r="J45" s="7"/>
      <c r="K45" s="7"/>
      <c r="L45" s="4"/>
      <c r="M45" s="4"/>
      <c r="N45" s="4"/>
      <c r="O45" s="4"/>
      <c r="P45" s="4"/>
      <c r="Q45" s="4"/>
      <c r="R45" s="4"/>
      <c r="S45" s="4"/>
      <c r="T45" s="4"/>
      <c r="U45" s="4"/>
      <c r="V45" s="4"/>
      <c r="W45" s="4"/>
    </row>
    <row r="46">
      <c r="A46" s="5">
        <f t="shared" si="2"/>
        <v>44</v>
      </c>
      <c r="B46" s="25" t="s">
        <v>158</v>
      </c>
      <c r="C46" s="26" t="s">
        <v>159</v>
      </c>
      <c r="D46" s="6" t="s">
        <v>19</v>
      </c>
      <c r="E46" s="6" t="s">
        <v>160</v>
      </c>
      <c r="F46" s="6" t="s">
        <v>161</v>
      </c>
      <c r="G46" s="6" t="s">
        <v>162</v>
      </c>
      <c r="H46" s="6" t="s">
        <v>163</v>
      </c>
      <c r="I46" s="6" t="s">
        <v>12</v>
      </c>
      <c r="J46" s="7"/>
      <c r="K46" s="7"/>
      <c r="L46" s="4"/>
      <c r="M46" s="4"/>
      <c r="N46" s="4"/>
      <c r="O46" s="4"/>
      <c r="P46" s="4"/>
      <c r="Q46" s="4"/>
      <c r="R46" s="4"/>
      <c r="S46" s="4"/>
      <c r="T46" s="4"/>
      <c r="U46" s="4"/>
      <c r="V46" s="4"/>
      <c r="W46" s="4"/>
    </row>
    <row r="47">
      <c r="A47" s="5">
        <f t="shared" si="2"/>
        <v>45</v>
      </c>
      <c r="B47" s="25" t="s">
        <v>114</v>
      </c>
      <c r="C47" s="26">
        <v>7.7000256348E10</v>
      </c>
      <c r="D47" s="6" t="s">
        <v>13</v>
      </c>
      <c r="E47" s="6" t="s">
        <v>164</v>
      </c>
      <c r="F47" s="6" t="s">
        <v>165</v>
      </c>
      <c r="G47" s="6" t="s">
        <v>166</v>
      </c>
      <c r="H47" s="6" t="s">
        <v>167</v>
      </c>
      <c r="I47" s="6" t="s">
        <v>12</v>
      </c>
      <c r="J47" s="7"/>
      <c r="K47" s="7"/>
      <c r="L47" s="4"/>
      <c r="M47" s="4"/>
      <c r="N47" s="4"/>
      <c r="O47" s="4"/>
      <c r="P47" s="4"/>
      <c r="Q47" s="4"/>
      <c r="R47" s="4"/>
      <c r="S47" s="4"/>
      <c r="T47" s="4"/>
      <c r="U47" s="4"/>
      <c r="V47" s="4"/>
      <c r="W47" s="4"/>
    </row>
    <row r="48">
      <c r="A48" s="5">
        <f t="shared" si="2"/>
        <v>46</v>
      </c>
      <c r="B48" s="25" t="s">
        <v>114</v>
      </c>
      <c r="C48" s="26">
        <v>7.7000232406E10</v>
      </c>
      <c r="D48" s="6" t="s">
        <v>19</v>
      </c>
      <c r="E48" s="6" t="s">
        <v>168</v>
      </c>
      <c r="F48" s="7"/>
      <c r="G48" s="6" t="s">
        <v>169</v>
      </c>
      <c r="H48" s="6" t="s">
        <v>170</v>
      </c>
      <c r="I48" s="7"/>
      <c r="J48" s="7"/>
      <c r="K48" s="7"/>
      <c r="L48" s="4"/>
      <c r="M48" s="4"/>
      <c r="N48" s="4"/>
      <c r="O48" s="4"/>
      <c r="P48" s="4"/>
      <c r="Q48" s="4"/>
      <c r="R48" s="4"/>
      <c r="S48" s="4"/>
      <c r="T48" s="4"/>
      <c r="U48" s="4"/>
      <c r="V48" s="4"/>
      <c r="W48" s="4"/>
    </row>
    <row r="49">
      <c r="A49" s="5">
        <f t="shared" si="2"/>
        <v>47</v>
      </c>
      <c r="B49" s="25" t="s">
        <v>158</v>
      </c>
      <c r="C49" s="26">
        <v>7.700024484E10</v>
      </c>
      <c r="D49" s="6" t="s">
        <v>40</v>
      </c>
      <c r="E49" s="6" t="s">
        <v>171</v>
      </c>
      <c r="F49" s="6"/>
      <c r="G49" s="6" t="s">
        <v>16</v>
      </c>
      <c r="H49" s="6" t="s">
        <v>172</v>
      </c>
      <c r="I49" s="6" t="s">
        <v>12</v>
      </c>
      <c r="J49" s="7"/>
      <c r="K49" s="7"/>
      <c r="L49" s="4"/>
      <c r="M49" s="4"/>
      <c r="N49" s="4"/>
      <c r="O49" s="4"/>
      <c r="P49" s="4"/>
      <c r="Q49" s="4"/>
      <c r="R49" s="4"/>
      <c r="S49" s="4"/>
      <c r="T49" s="4"/>
      <c r="U49" s="4"/>
      <c r="V49" s="4"/>
      <c r="W49" s="4"/>
    </row>
    <row r="50">
      <c r="A50" s="5">
        <f t="shared" si="2"/>
        <v>48</v>
      </c>
      <c r="B50" s="25" t="s">
        <v>114</v>
      </c>
      <c r="C50" s="26">
        <v>7.7000236583E10</v>
      </c>
      <c r="D50" s="6" t="s">
        <v>13</v>
      </c>
      <c r="E50" s="6" t="s">
        <v>173</v>
      </c>
      <c r="F50" s="6" t="s">
        <v>174</v>
      </c>
      <c r="G50" s="6" t="s">
        <v>175</v>
      </c>
      <c r="H50" s="6" t="s">
        <v>176</v>
      </c>
      <c r="I50" s="7"/>
      <c r="J50" s="7"/>
      <c r="K50" s="7"/>
      <c r="L50" s="4"/>
      <c r="M50" s="4"/>
      <c r="N50" s="4"/>
      <c r="O50" s="4"/>
      <c r="P50" s="4"/>
      <c r="Q50" s="4"/>
      <c r="R50" s="4"/>
      <c r="S50" s="4"/>
      <c r="T50" s="4"/>
      <c r="U50" s="4"/>
      <c r="V50" s="4"/>
      <c r="W50" s="4"/>
    </row>
    <row r="51">
      <c r="A51" s="5">
        <f t="shared" si="2"/>
        <v>49</v>
      </c>
      <c r="B51" s="25" t="s">
        <v>114</v>
      </c>
      <c r="C51" s="26">
        <v>7.7000255667E10</v>
      </c>
      <c r="D51" s="6" t="s">
        <v>78</v>
      </c>
      <c r="E51" s="6" t="s">
        <v>177</v>
      </c>
      <c r="F51" s="6" t="s">
        <v>178</v>
      </c>
      <c r="G51" s="6" t="s">
        <v>152</v>
      </c>
      <c r="H51" s="27" t="s">
        <v>179</v>
      </c>
      <c r="I51" s="6" t="s">
        <v>180</v>
      </c>
      <c r="J51" s="7"/>
      <c r="K51" s="7"/>
      <c r="L51" s="4"/>
      <c r="M51" s="4"/>
      <c r="N51" s="4"/>
      <c r="O51" s="4"/>
      <c r="P51" s="4"/>
      <c r="Q51" s="4"/>
      <c r="R51" s="4"/>
      <c r="S51" s="4"/>
      <c r="T51" s="4"/>
      <c r="U51" s="4"/>
      <c r="V51" s="4"/>
      <c r="W51" s="4"/>
    </row>
    <row r="52">
      <c r="A52" s="5">
        <f t="shared" si="2"/>
        <v>50</v>
      </c>
      <c r="B52" s="25" t="s">
        <v>114</v>
      </c>
      <c r="C52" s="29"/>
      <c r="D52" s="7"/>
      <c r="E52" s="6" t="s">
        <v>181</v>
      </c>
      <c r="F52" s="7"/>
      <c r="G52" s="6" t="s">
        <v>26</v>
      </c>
      <c r="H52" s="7"/>
      <c r="I52" s="6" t="s">
        <v>182</v>
      </c>
      <c r="J52" s="7"/>
      <c r="K52" s="7"/>
      <c r="L52" s="4"/>
      <c r="M52" s="4"/>
      <c r="N52" s="4"/>
      <c r="O52" s="4"/>
      <c r="P52" s="4"/>
      <c r="Q52" s="4"/>
      <c r="R52" s="4"/>
      <c r="S52" s="4"/>
      <c r="T52" s="4"/>
      <c r="U52" s="4"/>
      <c r="V52" s="4"/>
      <c r="W52" s="4"/>
    </row>
    <row r="53">
      <c r="A53" s="5">
        <f t="shared" si="2"/>
        <v>51</v>
      </c>
      <c r="B53" s="25" t="s">
        <v>114</v>
      </c>
      <c r="C53" s="30">
        <v>7.7000244624E10</v>
      </c>
      <c r="D53" s="30" t="s">
        <v>19</v>
      </c>
      <c r="E53" s="30" t="s">
        <v>183</v>
      </c>
      <c r="F53" s="6" t="s">
        <v>184</v>
      </c>
      <c r="G53" s="30" t="s">
        <v>185</v>
      </c>
      <c r="H53" s="30" t="s">
        <v>186</v>
      </c>
      <c r="I53" s="6" t="s">
        <v>12</v>
      </c>
      <c r="J53" s="7"/>
      <c r="K53" s="7"/>
      <c r="L53" s="4"/>
      <c r="M53" s="4"/>
      <c r="N53" s="4"/>
      <c r="O53" s="4"/>
      <c r="P53" s="4"/>
      <c r="Q53" s="4"/>
      <c r="R53" s="4"/>
      <c r="S53" s="4"/>
      <c r="T53" s="4"/>
      <c r="U53" s="4"/>
      <c r="V53" s="4"/>
      <c r="W53" s="4"/>
    </row>
    <row r="54">
      <c r="A54" s="5">
        <f t="shared" si="2"/>
        <v>52</v>
      </c>
      <c r="B54" s="25" t="s">
        <v>114</v>
      </c>
      <c r="C54" s="26">
        <v>7.7000242496E10</v>
      </c>
      <c r="D54" s="6" t="s">
        <v>187</v>
      </c>
      <c r="E54" s="6" t="s">
        <v>188</v>
      </c>
      <c r="F54" s="7"/>
      <c r="G54" s="6" t="s">
        <v>189</v>
      </c>
      <c r="H54" s="30" t="s">
        <v>190</v>
      </c>
      <c r="I54" s="7"/>
      <c r="J54" s="7"/>
      <c r="K54" s="7"/>
      <c r="L54" s="4"/>
      <c r="M54" s="4"/>
      <c r="N54" s="4"/>
      <c r="O54" s="4"/>
      <c r="P54" s="4"/>
      <c r="Q54" s="4"/>
      <c r="R54" s="4"/>
      <c r="S54" s="4"/>
      <c r="T54" s="4"/>
      <c r="U54" s="4"/>
      <c r="V54" s="4"/>
      <c r="W54" s="4"/>
    </row>
    <row r="55">
      <c r="A55" s="5">
        <f t="shared" si="2"/>
        <v>53</v>
      </c>
      <c r="B55" s="25" t="s">
        <v>114</v>
      </c>
      <c r="C55" s="26">
        <v>3.64010445963E11</v>
      </c>
      <c r="D55" s="6" t="s">
        <v>49</v>
      </c>
      <c r="E55" s="6" t="s">
        <v>191</v>
      </c>
      <c r="F55" s="6" t="s">
        <v>104</v>
      </c>
      <c r="G55" s="6" t="s">
        <v>192</v>
      </c>
      <c r="H55" s="6" t="s">
        <v>193</v>
      </c>
      <c r="I55" s="6" t="s">
        <v>12</v>
      </c>
      <c r="J55" s="7"/>
      <c r="K55" s="7"/>
      <c r="L55" s="4"/>
      <c r="M55" s="4"/>
      <c r="N55" s="4"/>
      <c r="O55" s="4"/>
      <c r="P55" s="4"/>
      <c r="Q55" s="4"/>
      <c r="R55" s="4"/>
      <c r="S55" s="4"/>
      <c r="T55" s="4"/>
      <c r="U55" s="4"/>
      <c r="V55" s="4"/>
      <c r="W55" s="4"/>
    </row>
    <row r="56">
      <c r="A56" s="5">
        <f t="shared" si="2"/>
        <v>54</v>
      </c>
      <c r="B56" s="25" t="s">
        <v>114</v>
      </c>
      <c r="C56" s="26">
        <v>7.700024434E10</v>
      </c>
      <c r="D56" s="6" t="s">
        <v>49</v>
      </c>
      <c r="E56" s="6" t="s">
        <v>194</v>
      </c>
      <c r="F56" s="6" t="s">
        <v>195</v>
      </c>
      <c r="G56" s="6" t="s">
        <v>196</v>
      </c>
      <c r="H56" s="27" t="s">
        <v>197</v>
      </c>
      <c r="I56" s="7"/>
      <c r="J56" s="7"/>
      <c r="K56" s="7"/>
      <c r="L56" s="4"/>
      <c r="M56" s="4"/>
      <c r="N56" s="4"/>
      <c r="O56" s="4"/>
      <c r="P56" s="4"/>
      <c r="Q56" s="4"/>
      <c r="R56" s="4"/>
      <c r="S56" s="4"/>
      <c r="T56" s="4"/>
      <c r="U56" s="4"/>
      <c r="V56" s="4"/>
      <c r="W56" s="4"/>
    </row>
    <row r="57">
      <c r="A57" s="5">
        <f t="shared" si="2"/>
        <v>55</v>
      </c>
      <c r="B57" s="25" t="s">
        <v>114</v>
      </c>
      <c r="C57" s="26">
        <v>7.792132614E9</v>
      </c>
      <c r="D57" s="6" t="s">
        <v>187</v>
      </c>
      <c r="E57" s="6" t="s">
        <v>198</v>
      </c>
      <c r="F57" s="6" t="s">
        <v>199</v>
      </c>
      <c r="G57" s="6" t="s">
        <v>200</v>
      </c>
      <c r="H57" s="7"/>
      <c r="I57" s="6" t="s">
        <v>201</v>
      </c>
      <c r="J57" s="7"/>
      <c r="K57" s="7"/>
      <c r="L57" s="4"/>
      <c r="M57" s="4"/>
      <c r="N57" s="4"/>
      <c r="O57" s="4"/>
      <c r="P57" s="4"/>
      <c r="Q57" s="4"/>
      <c r="R57" s="4"/>
      <c r="S57" s="4"/>
      <c r="T57" s="4"/>
      <c r="U57" s="4"/>
      <c r="V57" s="4"/>
      <c r="W57" s="4"/>
    </row>
    <row r="58">
      <c r="A58" s="5">
        <f t="shared" si="2"/>
        <v>56</v>
      </c>
      <c r="B58" s="25" t="s">
        <v>11</v>
      </c>
      <c r="C58" s="6"/>
      <c r="D58" s="7"/>
      <c r="E58" s="7"/>
      <c r="F58" s="7"/>
      <c r="G58" s="7"/>
      <c r="H58" s="7"/>
      <c r="I58" s="7"/>
      <c r="J58" s="7"/>
      <c r="K58" s="7"/>
      <c r="L58" s="4"/>
      <c r="M58" s="4"/>
      <c r="N58" s="4"/>
      <c r="O58" s="4"/>
      <c r="P58" s="4"/>
      <c r="Q58" s="4"/>
      <c r="R58" s="4"/>
      <c r="S58" s="4"/>
      <c r="T58" s="4"/>
      <c r="U58" s="4"/>
      <c r="V58" s="4"/>
      <c r="W58" s="4"/>
    </row>
    <row r="59">
      <c r="A59" s="5">
        <f t="shared" si="2"/>
        <v>57</v>
      </c>
      <c r="B59" s="25" t="s">
        <v>202</v>
      </c>
      <c r="C59" s="6">
        <v>7.7333239804E10</v>
      </c>
      <c r="D59" s="6" t="s">
        <v>13</v>
      </c>
      <c r="E59" s="6" t="s">
        <v>203</v>
      </c>
      <c r="F59" s="7"/>
      <c r="G59" s="6" t="s">
        <v>86</v>
      </c>
      <c r="H59" s="6" t="s">
        <v>204</v>
      </c>
      <c r="I59" s="6" t="s">
        <v>205</v>
      </c>
      <c r="J59" s="7"/>
      <c r="K59" s="7"/>
      <c r="L59" s="4"/>
      <c r="M59" s="4"/>
      <c r="N59" s="4"/>
      <c r="O59" s="4"/>
      <c r="P59" s="4"/>
      <c r="Q59" s="4"/>
      <c r="R59" s="4"/>
      <c r="S59" s="4"/>
      <c r="T59" s="4"/>
      <c r="U59" s="4"/>
      <c r="V59" s="4"/>
      <c r="W59" s="4"/>
    </row>
    <row r="60">
      <c r="A60" s="5">
        <f t="shared" si="2"/>
        <v>58</v>
      </c>
      <c r="B60" s="25" t="s">
        <v>114</v>
      </c>
      <c r="C60" s="6">
        <v>7.7000244887E10</v>
      </c>
      <c r="D60" s="6" t="s">
        <v>43</v>
      </c>
      <c r="E60" s="6" t="s">
        <v>206</v>
      </c>
      <c r="F60" s="6" t="s">
        <v>207</v>
      </c>
      <c r="G60" s="6" t="s">
        <v>208</v>
      </c>
      <c r="H60" s="6" t="s">
        <v>209</v>
      </c>
      <c r="I60" s="7"/>
      <c r="J60" s="7"/>
      <c r="K60" s="7"/>
      <c r="L60" s="4"/>
      <c r="M60" s="4"/>
      <c r="N60" s="4"/>
      <c r="O60" s="4"/>
      <c r="P60" s="4"/>
      <c r="Q60" s="4"/>
      <c r="R60" s="4"/>
      <c r="S60" s="4"/>
      <c r="T60" s="4"/>
      <c r="U60" s="4"/>
      <c r="V60" s="4"/>
      <c r="W60" s="4"/>
    </row>
    <row r="61">
      <c r="A61" s="5">
        <f t="shared" si="2"/>
        <v>59</v>
      </c>
      <c r="B61" s="25" t="s">
        <v>11</v>
      </c>
      <c r="C61" s="6" t="s">
        <v>26</v>
      </c>
      <c r="D61" s="6" t="s">
        <v>19</v>
      </c>
      <c r="E61" s="6" t="s">
        <v>210</v>
      </c>
      <c r="F61" s="7"/>
      <c r="G61" s="7"/>
      <c r="H61" s="7"/>
      <c r="I61" s="7"/>
      <c r="J61" s="7"/>
      <c r="K61" s="7"/>
      <c r="L61" s="4"/>
      <c r="M61" s="4"/>
      <c r="N61" s="4"/>
      <c r="O61" s="4"/>
      <c r="P61" s="4"/>
      <c r="Q61" s="4"/>
      <c r="R61" s="4"/>
      <c r="S61" s="4"/>
      <c r="T61" s="4"/>
      <c r="U61" s="4"/>
      <c r="V61" s="4"/>
      <c r="W61" s="4"/>
    </row>
    <row r="62">
      <c r="A62" s="5">
        <f t="shared" si="2"/>
        <v>60</v>
      </c>
      <c r="B62" s="25" t="s">
        <v>114</v>
      </c>
      <c r="C62" s="26">
        <v>7.7000250434E10</v>
      </c>
      <c r="D62" s="6" t="s">
        <v>13</v>
      </c>
      <c r="E62" s="6" t="s">
        <v>211</v>
      </c>
      <c r="F62" s="6" t="s">
        <v>212</v>
      </c>
      <c r="G62" s="6" t="s">
        <v>213</v>
      </c>
      <c r="H62" s="27" t="s">
        <v>214</v>
      </c>
      <c r="I62" s="6" t="s">
        <v>215</v>
      </c>
      <c r="J62" s="7"/>
      <c r="K62" s="7"/>
      <c r="L62" s="4"/>
      <c r="M62" s="4"/>
      <c r="N62" s="4"/>
      <c r="O62" s="4"/>
      <c r="P62" s="4"/>
      <c r="Q62" s="4"/>
      <c r="R62" s="4"/>
      <c r="S62" s="4"/>
      <c r="T62" s="4"/>
      <c r="U62" s="4"/>
      <c r="V62" s="4"/>
      <c r="W62" s="4"/>
    </row>
    <row r="63">
      <c r="A63" s="5">
        <f t="shared" si="2"/>
        <v>61</v>
      </c>
      <c r="B63" s="25" t="s">
        <v>114</v>
      </c>
      <c r="C63" s="26">
        <v>7.7000222267E10</v>
      </c>
      <c r="D63" s="6" t="s">
        <v>78</v>
      </c>
      <c r="E63" s="6" t="s">
        <v>216</v>
      </c>
      <c r="F63" s="6" t="s">
        <v>217</v>
      </c>
      <c r="G63" s="6" t="s">
        <v>16</v>
      </c>
      <c r="H63" s="6" t="s">
        <v>218</v>
      </c>
      <c r="I63" s="6" t="s">
        <v>219</v>
      </c>
      <c r="J63" s="7"/>
      <c r="K63" s="7"/>
      <c r="L63" s="4"/>
      <c r="M63" s="4"/>
      <c r="N63" s="4"/>
      <c r="O63" s="4"/>
      <c r="P63" s="4"/>
      <c r="Q63" s="4"/>
      <c r="R63" s="4"/>
      <c r="S63" s="4"/>
      <c r="T63" s="4"/>
      <c r="U63" s="4"/>
      <c r="V63" s="4"/>
      <c r="W63" s="4"/>
    </row>
    <row r="64">
      <c r="A64" s="5">
        <f t="shared" si="2"/>
        <v>62</v>
      </c>
      <c r="B64" s="25" t="s">
        <v>114</v>
      </c>
      <c r="C64" s="26">
        <v>7.7000261957E10</v>
      </c>
      <c r="D64" s="6" t="s">
        <v>43</v>
      </c>
      <c r="E64" s="6" t="s">
        <v>220</v>
      </c>
      <c r="F64" s="6" t="s">
        <v>221</v>
      </c>
      <c r="G64" s="6" t="s">
        <v>73</v>
      </c>
      <c r="H64" s="6" t="s">
        <v>222</v>
      </c>
      <c r="I64" s="6" t="s">
        <v>223</v>
      </c>
      <c r="J64" s="7"/>
      <c r="K64" s="7"/>
      <c r="L64" s="4"/>
      <c r="M64" s="4"/>
      <c r="N64" s="4"/>
      <c r="O64" s="4"/>
      <c r="P64" s="4"/>
      <c r="Q64" s="4"/>
      <c r="R64" s="4"/>
      <c r="S64" s="4"/>
      <c r="T64" s="4"/>
      <c r="U64" s="4"/>
      <c r="V64" s="4"/>
      <c r="W64" s="4"/>
    </row>
    <row r="65">
      <c r="A65" s="5">
        <f t="shared" si="2"/>
        <v>63</v>
      </c>
      <c r="B65" s="25" t="s">
        <v>114</v>
      </c>
      <c r="C65" s="30" t="s">
        <v>224</v>
      </c>
      <c r="D65" s="6" t="s">
        <v>13</v>
      </c>
      <c r="E65" s="30" t="s">
        <v>225</v>
      </c>
      <c r="F65" s="6" t="s">
        <v>226</v>
      </c>
      <c r="G65" s="30" t="s">
        <v>227</v>
      </c>
      <c r="H65" s="30" t="s">
        <v>228</v>
      </c>
      <c r="I65" s="6" t="s">
        <v>229</v>
      </c>
      <c r="J65" s="7"/>
      <c r="K65" s="7"/>
      <c r="L65" s="4"/>
      <c r="M65" s="4"/>
      <c r="N65" s="4"/>
      <c r="O65" s="4"/>
      <c r="P65" s="4"/>
      <c r="Q65" s="4"/>
      <c r="R65" s="4"/>
      <c r="S65" s="4"/>
      <c r="T65" s="4"/>
      <c r="U65" s="4"/>
      <c r="V65" s="4"/>
      <c r="W65" s="4"/>
    </row>
    <row r="66">
      <c r="A66" s="5" t="s">
        <v>230</v>
      </c>
      <c r="B66" s="25" t="s">
        <v>11</v>
      </c>
      <c r="C66" s="30" t="s">
        <v>231</v>
      </c>
      <c r="D66" s="6" t="s">
        <v>13</v>
      </c>
      <c r="E66" s="30" t="s">
        <v>225</v>
      </c>
      <c r="F66" s="6" t="s">
        <v>226</v>
      </c>
      <c r="G66" s="30" t="s">
        <v>227</v>
      </c>
      <c r="H66" s="6" t="s">
        <v>232</v>
      </c>
      <c r="I66" s="6" t="s">
        <v>12</v>
      </c>
      <c r="J66" s="7"/>
      <c r="K66" s="7"/>
      <c r="L66" s="4"/>
      <c r="M66" s="4"/>
      <c r="N66" s="4"/>
      <c r="O66" s="4"/>
      <c r="P66" s="4"/>
      <c r="Q66" s="4"/>
      <c r="R66" s="4"/>
      <c r="S66" s="4"/>
      <c r="T66" s="4"/>
      <c r="U66" s="4"/>
      <c r="V66" s="4"/>
      <c r="W66" s="4"/>
    </row>
    <row r="67">
      <c r="A67" s="5" t="s">
        <v>233</v>
      </c>
      <c r="B67" s="25" t="s">
        <v>11</v>
      </c>
      <c r="C67" s="30" t="s">
        <v>234</v>
      </c>
      <c r="D67" s="6" t="s">
        <v>13</v>
      </c>
      <c r="E67" s="30" t="s">
        <v>225</v>
      </c>
      <c r="F67" s="6" t="s">
        <v>226</v>
      </c>
      <c r="G67" s="30" t="s">
        <v>227</v>
      </c>
      <c r="H67" s="30" t="s">
        <v>235</v>
      </c>
      <c r="I67" s="6" t="s">
        <v>12</v>
      </c>
      <c r="J67" s="7"/>
      <c r="K67" s="7"/>
      <c r="L67" s="4"/>
      <c r="M67" s="4"/>
      <c r="N67" s="4"/>
      <c r="O67" s="4"/>
      <c r="P67" s="4"/>
      <c r="Q67" s="4"/>
      <c r="R67" s="4"/>
      <c r="S67" s="4"/>
      <c r="T67" s="4"/>
      <c r="U67" s="4"/>
      <c r="V67" s="4"/>
      <c r="W67" s="4"/>
    </row>
    <row r="68">
      <c r="A68" s="5">
        <f>A65+1</f>
        <v>64</v>
      </c>
      <c r="B68" s="31" t="s">
        <v>202</v>
      </c>
      <c r="C68" s="32"/>
      <c r="D68" s="31" t="s">
        <v>13</v>
      </c>
      <c r="E68" s="33" t="s">
        <v>236</v>
      </c>
      <c r="F68" s="6">
        <v>1.0</v>
      </c>
      <c r="G68" s="7"/>
      <c r="H68" s="7"/>
      <c r="I68" s="7"/>
      <c r="J68" s="33"/>
      <c r="K68" s="7"/>
      <c r="L68" s="4"/>
      <c r="M68" s="4"/>
      <c r="N68" s="4"/>
      <c r="O68" s="4"/>
      <c r="P68" s="4"/>
      <c r="Q68" s="4"/>
      <c r="R68" s="4"/>
      <c r="S68" s="4"/>
      <c r="T68" s="4"/>
      <c r="U68" s="4"/>
      <c r="V68" s="4"/>
      <c r="W68" s="4"/>
    </row>
    <row r="69">
      <c r="A69" s="5">
        <f t="shared" ref="A69:A176" si="3">A68+1</f>
        <v>65</v>
      </c>
      <c r="B69" s="31" t="s">
        <v>202</v>
      </c>
      <c r="C69" s="34">
        <v>7.7000193051E10</v>
      </c>
      <c r="D69" s="35" t="s">
        <v>19</v>
      </c>
      <c r="E69" s="33" t="s">
        <v>237</v>
      </c>
      <c r="F69" s="6">
        <v>2.0</v>
      </c>
      <c r="G69" s="7"/>
      <c r="H69" s="6" t="s">
        <v>238</v>
      </c>
      <c r="I69" s="6" t="s">
        <v>12</v>
      </c>
      <c r="J69" s="33"/>
      <c r="K69" s="7"/>
      <c r="L69" s="4"/>
      <c r="M69" s="4"/>
      <c r="N69" s="4"/>
      <c r="O69" s="4"/>
      <c r="P69" s="4"/>
      <c r="Q69" s="4"/>
      <c r="R69" s="4"/>
      <c r="S69" s="4"/>
      <c r="T69" s="4"/>
      <c r="U69" s="4"/>
      <c r="V69" s="4"/>
      <c r="W69" s="4"/>
    </row>
    <row r="70">
      <c r="A70" s="5">
        <f t="shared" si="3"/>
        <v>66</v>
      </c>
      <c r="B70" s="31" t="s">
        <v>202</v>
      </c>
      <c r="C70" s="33">
        <v>7.7000198835E10</v>
      </c>
      <c r="D70" s="31" t="s">
        <v>19</v>
      </c>
      <c r="E70" s="33" t="s">
        <v>239</v>
      </c>
      <c r="F70" s="6">
        <v>3.0</v>
      </c>
      <c r="G70" s="7"/>
      <c r="H70" s="6" t="s">
        <v>240</v>
      </c>
      <c r="I70" s="6" t="s">
        <v>12</v>
      </c>
      <c r="J70" s="33"/>
      <c r="K70" s="7"/>
      <c r="L70" s="4"/>
      <c r="M70" s="4"/>
      <c r="N70" s="4"/>
      <c r="O70" s="4"/>
      <c r="P70" s="4"/>
      <c r="Q70" s="4"/>
      <c r="R70" s="4"/>
      <c r="S70" s="4"/>
      <c r="T70" s="4"/>
      <c r="U70" s="4"/>
      <c r="V70" s="4"/>
      <c r="W70" s="4"/>
    </row>
    <row r="71">
      <c r="A71" s="5">
        <f t="shared" si="3"/>
        <v>67</v>
      </c>
      <c r="B71" s="31" t="s">
        <v>202</v>
      </c>
      <c r="C71" s="33">
        <v>7.7000205782E10</v>
      </c>
      <c r="D71" s="31" t="s">
        <v>83</v>
      </c>
      <c r="E71" s="33" t="s">
        <v>241</v>
      </c>
      <c r="F71" s="6">
        <v>4.0</v>
      </c>
      <c r="G71" s="7"/>
      <c r="H71" s="6" t="s">
        <v>242</v>
      </c>
      <c r="I71" s="6" t="s">
        <v>12</v>
      </c>
      <c r="J71" s="33"/>
      <c r="K71" s="7"/>
      <c r="L71" s="4"/>
      <c r="M71" s="4"/>
      <c r="N71" s="4"/>
      <c r="O71" s="4"/>
      <c r="P71" s="4"/>
      <c r="Q71" s="4"/>
      <c r="R71" s="4"/>
      <c r="S71" s="4"/>
      <c r="T71" s="4"/>
      <c r="U71" s="4"/>
      <c r="V71" s="4"/>
      <c r="W71" s="4"/>
    </row>
    <row r="72">
      <c r="A72" s="5">
        <f t="shared" si="3"/>
        <v>68</v>
      </c>
      <c r="B72" s="31" t="s">
        <v>202</v>
      </c>
      <c r="C72" s="33">
        <v>7.7000217761E10</v>
      </c>
      <c r="D72" s="31" t="s">
        <v>40</v>
      </c>
      <c r="E72" s="33" t="s">
        <v>243</v>
      </c>
      <c r="F72" s="6">
        <v>5.0</v>
      </c>
      <c r="G72" s="7"/>
      <c r="H72" s="6" t="s">
        <v>244</v>
      </c>
      <c r="I72" s="6" t="s">
        <v>12</v>
      </c>
      <c r="J72" s="33"/>
      <c r="K72" s="7"/>
      <c r="L72" s="4"/>
      <c r="M72" s="4"/>
      <c r="N72" s="4"/>
      <c r="O72" s="4"/>
      <c r="P72" s="4"/>
      <c r="Q72" s="4"/>
      <c r="R72" s="4"/>
      <c r="S72" s="4"/>
      <c r="T72" s="4"/>
      <c r="U72" s="4"/>
      <c r="V72" s="4"/>
      <c r="W72" s="4"/>
    </row>
    <row r="73">
      <c r="A73" s="5">
        <f t="shared" si="3"/>
        <v>69</v>
      </c>
      <c r="B73" s="31" t="s">
        <v>202</v>
      </c>
      <c r="C73" s="33">
        <v>7.7000231453E10</v>
      </c>
      <c r="D73" s="31" t="s">
        <v>245</v>
      </c>
      <c r="E73" s="33" t="s">
        <v>246</v>
      </c>
      <c r="F73" s="6">
        <v>6.0</v>
      </c>
      <c r="G73" s="7"/>
      <c r="H73" s="6" t="s">
        <v>247</v>
      </c>
      <c r="I73" s="6" t="s">
        <v>12</v>
      </c>
      <c r="J73" s="33"/>
      <c r="K73" s="7"/>
      <c r="L73" s="4"/>
      <c r="M73" s="4"/>
      <c r="N73" s="4"/>
      <c r="O73" s="4"/>
      <c r="P73" s="4"/>
      <c r="Q73" s="4"/>
      <c r="R73" s="4"/>
      <c r="S73" s="4"/>
      <c r="T73" s="4"/>
      <c r="U73" s="4"/>
      <c r="V73" s="4"/>
      <c r="W73" s="4"/>
    </row>
    <row r="74">
      <c r="A74" s="5">
        <f t="shared" si="3"/>
        <v>70</v>
      </c>
      <c r="B74" s="31" t="s">
        <v>202</v>
      </c>
      <c r="C74" s="33">
        <v>7.700022783E10</v>
      </c>
      <c r="D74" s="31" t="s">
        <v>19</v>
      </c>
      <c r="E74" s="33" t="s">
        <v>248</v>
      </c>
      <c r="F74" s="6">
        <v>7.0</v>
      </c>
      <c r="G74" s="7"/>
      <c r="H74" s="6" t="s">
        <v>249</v>
      </c>
      <c r="I74" s="6" t="s">
        <v>12</v>
      </c>
      <c r="J74" s="33"/>
      <c r="K74" s="7"/>
      <c r="L74" s="4"/>
      <c r="M74" s="4"/>
      <c r="N74" s="4"/>
      <c r="O74" s="4"/>
      <c r="P74" s="4"/>
      <c r="Q74" s="4"/>
      <c r="R74" s="4"/>
      <c r="S74" s="4"/>
      <c r="T74" s="4"/>
      <c r="U74" s="4"/>
      <c r="V74" s="4"/>
      <c r="W74" s="4"/>
    </row>
    <row r="75">
      <c r="A75" s="5">
        <f t="shared" si="3"/>
        <v>71</v>
      </c>
      <c r="B75" s="31" t="s">
        <v>202</v>
      </c>
      <c r="C75" s="33">
        <v>7.7000229645E10</v>
      </c>
      <c r="D75" s="31" t="s">
        <v>21</v>
      </c>
      <c r="E75" s="33" t="s">
        <v>250</v>
      </c>
      <c r="F75" s="6">
        <v>8.0</v>
      </c>
      <c r="G75" s="7"/>
      <c r="H75" s="6" t="s">
        <v>251</v>
      </c>
      <c r="I75" s="7"/>
      <c r="J75" s="33"/>
      <c r="K75" s="7"/>
      <c r="L75" s="4"/>
      <c r="M75" s="4"/>
      <c r="N75" s="4"/>
      <c r="O75" s="4"/>
      <c r="P75" s="4"/>
      <c r="Q75" s="4"/>
      <c r="R75" s="4"/>
      <c r="S75" s="4"/>
      <c r="T75" s="4"/>
      <c r="U75" s="4"/>
      <c r="V75" s="4"/>
      <c r="W75" s="4"/>
    </row>
    <row r="76">
      <c r="A76" s="5">
        <f t="shared" si="3"/>
        <v>72</v>
      </c>
      <c r="B76" s="31" t="s">
        <v>202</v>
      </c>
      <c r="C76" s="33">
        <v>7.7000238977E10</v>
      </c>
      <c r="D76" s="31" t="s">
        <v>21</v>
      </c>
      <c r="E76" s="33" t="s">
        <v>252</v>
      </c>
      <c r="F76" s="6">
        <v>9.0</v>
      </c>
      <c r="G76" s="7"/>
      <c r="H76" s="36" t="s">
        <v>253</v>
      </c>
      <c r="I76" s="6" t="s">
        <v>12</v>
      </c>
      <c r="J76" s="33"/>
      <c r="K76" s="7"/>
      <c r="L76" s="4"/>
      <c r="M76" s="4"/>
      <c r="N76" s="4"/>
      <c r="O76" s="4"/>
      <c r="P76" s="4"/>
      <c r="Q76" s="4"/>
      <c r="R76" s="4"/>
      <c r="S76" s="4"/>
      <c r="T76" s="4"/>
      <c r="U76" s="4"/>
      <c r="V76" s="4"/>
      <c r="W76" s="4"/>
    </row>
    <row r="77">
      <c r="A77" s="5">
        <f t="shared" si="3"/>
        <v>73</v>
      </c>
      <c r="B77" s="31" t="s">
        <v>202</v>
      </c>
      <c r="C77" s="33">
        <v>7.7000228807E10</v>
      </c>
      <c r="D77" s="31" t="s">
        <v>21</v>
      </c>
      <c r="E77" s="33" t="s">
        <v>254</v>
      </c>
      <c r="F77" s="6">
        <v>10.0</v>
      </c>
      <c r="G77" s="7"/>
      <c r="H77" s="6" t="s">
        <v>255</v>
      </c>
      <c r="I77" s="6" t="s">
        <v>12</v>
      </c>
      <c r="J77" s="33"/>
      <c r="K77" s="7"/>
      <c r="L77" s="4"/>
      <c r="M77" s="4"/>
      <c r="N77" s="4"/>
      <c r="O77" s="4"/>
      <c r="P77" s="4"/>
      <c r="Q77" s="4"/>
      <c r="R77" s="4"/>
      <c r="S77" s="4"/>
      <c r="T77" s="4"/>
      <c r="U77" s="4"/>
      <c r="V77" s="4"/>
      <c r="W77" s="4"/>
    </row>
    <row r="78">
      <c r="A78" s="5">
        <f t="shared" si="3"/>
        <v>74</v>
      </c>
      <c r="B78" s="31" t="s">
        <v>202</v>
      </c>
      <c r="C78" s="33" t="s">
        <v>256</v>
      </c>
      <c r="D78" s="31" t="s">
        <v>43</v>
      </c>
      <c r="E78" s="33" t="s">
        <v>257</v>
      </c>
      <c r="F78" s="6">
        <v>11.0</v>
      </c>
      <c r="G78" s="7"/>
      <c r="H78" s="6" t="s">
        <v>258</v>
      </c>
      <c r="I78" s="6" t="s">
        <v>12</v>
      </c>
      <c r="J78" s="33"/>
      <c r="K78" s="7"/>
      <c r="L78" s="4"/>
      <c r="M78" s="4"/>
      <c r="N78" s="4"/>
      <c r="O78" s="4"/>
      <c r="P78" s="4"/>
      <c r="Q78" s="4"/>
      <c r="R78" s="4"/>
      <c r="S78" s="4"/>
      <c r="T78" s="4"/>
      <c r="U78" s="4"/>
      <c r="V78" s="4"/>
      <c r="W78" s="4"/>
    </row>
    <row r="79">
      <c r="A79" s="5">
        <f t="shared" si="3"/>
        <v>75</v>
      </c>
      <c r="B79" s="31" t="s">
        <v>202</v>
      </c>
      <c r="C79" s="33">
        <v>7.7000233154E10</v>
      </c>
      <c r="D79" s="31" t="s">
        <v>13</v>
      </c>
      <c r="E79" s="33" t="s">
        <v>259</v>
      </c>
      <c r="F79" s="6">
        <v>12.0</v>
      </c>
      <c r="G79" s="7"/>
      <c r="H79" s="6" t="s">
        <v>260</v>
      </c>
      <c r="I79" s="6" t="s">
        <v>12</v>
      </c>
      <c r="J79" s="33"/>
      <c r="K79" s="7"/>
      <c r="L79" s="4"/>
      <c r="M79" s="4"/>
      <c r="N79" s="4"/>
      <c r="O79" s="4"/>
      <c r="P79" s="4"/>
      <c r="Q79" s="4"/>
      <c r="R79" s="4"/>
      <c r="S79" s="4"/>
      <c r="T79" s="4"/>
      <c r="U79" s="4"/>
      <c r="V79" s="4"/>
      <c r="W79" s="4"/>
    </row>
    <row r="80">
      <c r="A80" s="5">
        <f t="shared" si="3"/>
        <v>76</v>
      </c>
      <c r="B80" s="31" t="s">
        <v>202</v>
      </c>
      <c r="C80" s="37">
        <v>7.7000224568E10</v>
      </c>
      <c r="D80" s="31" t="s">
        <v>83</v>
      </c>
      <c r="E80" s="33" t="s">
        <v>261</v>
      </c>
      <c r="F80" s="6">
        <v>13.0</v>
      </c>
      <c r="G80" s="7"/>
      <c r="H80" s="6" t="s">
        <v>262</v>
      </c>
      <c r="I80" s="6" t="s">
        <v>12</v>
      </c>
      <c r="J80" s="33"/>
      <c r="K80" s="7"/>
      <c r="L80" s="4"/>
      <c r="M80" s="4"/>
      <c r="N80" s="4"/>
      <c r="O80" s="4"/>
      <c r="P80" s="4"/>
      <c r="Q80" s="4"/>
      <c r="R80" s="4"/>
      <c r="S80" s="4"/>
      <c r="T80" s="4"/>
      <c r="U80" s="4"/>
      <c r="V80" s="4"/>
      <c r="W80" s="4"/>
    </row>
    <row r="81">
      <c r="A81" s="5">
        <f t="shared" si="3"/>
        <v>77</v>
      </c>
      <c r="B81" s="31" t="s">
        <v>202</v>
      </c>
      <c r="C81" s="33">
        <v>7.7000220475E10</v>
      </c>
      <c r="D81" s="31" t="s">
        <v>19</v>
      </c>
      <c r="E81" s="33" t="s">
        <v>263</v>
      </c>
      <c r="F81" s="6">
        <v>14.0</v>
      </c>
      <c r="G81" s="7"/>
      <c r="H81" s="6" t="s">
        <v>264</v>
      </c>
      <c r="I81" s="6" t="s">
        <v>12</v>
      </c>
      <c r="J81" s="33"/>
      <c r="K81" s="7"/>
      <c r="L81" s="4"/>
      <c r="M81" s="4"/>
      <c r="N81" s="4"/>
      <c r="O81" s="4"/>
      <c r="P81" s="4"/>
      <c r="Q81" s="4"/>
      <c r="R81" s="4"/>
      <c r="S81" s="4"/>
      <c r="T81" s="4"/>
      <c r="U81" s="4"/>
      <c r="V81" s="4"/>
      <c r="W81" s="4"/>
    </row>
    <row r="82">
      <c r="A82" s="5">
        <f t="shared" si="3"/>
        <v>78</v>
      </c>
      <c r="B82" s="31" t="s">
        <v>202</v>
      </c>
      <c r="C82" s="33">
        <v>7.7000204915E10</v>
      </c>
      <c r="D82" s="31" t="s">
        <v>40</v>
      </c>
      <c r="E82" s="33" t="s">
        <v>265</v>
      </c>
      <c r="F82" s="6">
        <v>15.0</v>
      </c>
      <c r="G82" s="7"/>
      <c r="H82" s="6" t="s">
        <v>264</v>
      </c>
      <c r="I82" s="6" t="s">
        <v>12</v>
      </c>
      <c r="J82" s="33"/>
      <c r="K82" s="7"/>
      <c r="L82" s="4"/>
      <c r="M82" s="4"/>
      <c r="N82" s="4"/>
      <c r="O82" s="4"/>
      <c r="P82" s="4"/>
      <c r="Q82" s="4"/>
      <c r="R82" s="4"/>
      <c r="S82" s="4"/>
      <c r="T82" s="4"/>
      <c r="U82" s="4"/>
      <c r="V82" s="4"/>
      <c r="W82" s="4"/>
    </row>
    <row r="83">
      <c r="A83" s="5">
        <f t="shared" si="3"/>
        <v>79</v>
      </c>
      <c r="B83" s="31" t="s">
        <v>202</v>
      </c>
      <c r="C83" s="33">
        <v>7.792147843E9</v>
      </c>
      <c r="D83" s="31" t="s">
        <v>21</v>
      </c>
      <c r="E83" s="33" t="s">
        <v>266</v>
      </c>
      <c r="F83" s="6">
        <v>16.0</v>
      </c>
      <c r="G83" s="7"/>
      <c r="H83" s="6" t="s">
        <v>267</v>
      </c>
      <c r="I83" s="6" t="s">
        <v>12</v>
      </c>
      <c r="J83" s="33"/>
      <c r="K83" s="7"/>
      <c r="L83" s="4"/>
      <c r="M83" s="4"/>
      <c r="N83" s="4"/>
      <c r="O83" s="4"/>
      <c r="P83" s="4"/>
      <c r="Q83" s="4"/>
      <c r="R83" s="4"/>
      <c r="S83" s="4"/>
      <c r="T83" s="4"/>
      <c r="U83" s="4"/>
      <c r="V83" s="4"/>
      <c r="W83" s="4"/>
    </row>
    <row r="84">
      <c r="A84" s="5">
        <f t="shared" si="3"/>
        <v>80</v>
      </c>
      <c r="B84" s="31" t="s">
        <v>202</v>
      </c>
      <c r="C84" s="33">
        <v>7.792138311E9</v>
      </c>
      <c r="D84" s="31" t="s">
        <v>21</v>
      </c>
      <c r="E84" s="33" t="s">
        <v>268</v>
      </c>
      <c r="F84" s="6">
        <v>17.0</v>
      </c>
      <c r="G84" s="7"/>
      <c r="H84" s="6" t="s">
        <v>269</v>
      </c>
      <c r="I84" s="6" t="s">
        <v>12</v>
      </c>
      <c r="J84" s="33"/>
      <c r="K84" s="7"/>
      <c r="L84" s="4"/>
      <c r="M84" s="4"/>
      <c r="N84" s="4"/>
      <c r="O84" s="4"/>
      <c r="P84" s="4"/>
      <c r="Q84" s="4"/>
      <c r="R84" s="4"/>
      <c r="S84" s="4"/>
      <c r="T84" s="4"/>
      <c r="U84" s="4"/>
      <c r="V84" s="4"/>
      <c r="W84" s="4"/>
    </row>
    <row r="85">
      <c r="A85" s="5">
        <f t="shared" si="3"/>
        <v>81</v>
      </c>
      <c r="B85" s="31" t="s">
        <v>202</v>
      </c>
      <c r="C85" s="33">
        <v>7.7000237697E10</v>
      </c>
      <c r="D85" s="31" t="s">
        <v>21</v>
      </c>
      <c r="E85" s="33" t="s">
        <v>270</v>
      </c>
      <c r="F85" s="6">
        <v>18.0</v>
      </c>
      <c r="G85" s="7"/>
      <c r="H85" s="6" t="s">
        <v>271</v>
      </c>
      <c r="I85" s="6" t="s">
        <v>12</v>
      </c>
      <c r="J85" s="33"/>
      <c r="K85" s="7"/>
      <c r="L85" s="4"/>
      <c r="M85" s="4"/>
      <c r="N85" s="4"/>
      <c r="O85" s="4"/>
      <c r="P85" s="4"/>
      <c r="Q85" s="4"/>
      <c r="R85" s="4"/>
      <c r="S85" s="4"/>
      <c r="T85" s="4"/>
      <c r="U85" s="4"/>
      <c r="V85" s="4"/>
      <c r="W85" s="4"/>
    </row>
    <row r="86">
      <c r="A86" s="5">
        <f t="shared" si="3"/>
        <v>82</v>
      </c>
      <c r="B86" s="31" t="s">
        <v>202</v>
      </c>
      <c r="C86" s="33">
        <v>7.700023934E10</v>
      </c>
      <c r="D86" s="31" t="s">
        <v>43</v>
      </c>
      <c r="E86" s="33" t="s">
        <v>272</v>
      </c>
      <c r="F86" s="6">
        <v>19.0</v>
      </c>
      <c r="G86" s="7"/>
      <c r="H86" s="6" t="s">
        <v>273</v>
      </c>
      <c r="I86" s="6" t="s">
        <v>12</v>
      </c>
      <c r="J86" s="33"/>
      <c r="K86" s="7"/>
      <c r="L86" s="4"/>
      <c r="M86" s="4"/>
      <c r="N86" s="4"/>
      <c r="O86" s="4"/>
      <c r="P86" s="4"/>
      <c r="Q86" s="4"/>
      <c r="R86" s="4"/>
      <c r="S86" s="4"/>
      <c r="T86" s="4"/>
      <c r="U86" s="4"/>
      <c r="V86" s="4"/>
      <c r="W86" s="4"/>
    </row>
    <row r="87">
      <c r="A87" s="5">
        <f t="shared" si="3"/>
        <v>83</v>
      </c>
      <c r="B87" s="31" t="s">
        <v>202</v>
      </c>
      <c r="C87" s="37">
        <v>7.7000193216E10</v>
      </c>
      <c r="D87" s="31" t="s">
        <v>43</v>
      </c>
      <c r="E87" s="33" t="s">
        <v>274</v>
      </c>
      <c r="F87" s="6">
        <v>20.0</v>
      </c>
      <c r="G87" s="7"/>
      <c r="H87" s="6" t="s">
        <v>275</v>
      </c>
      <c r="I87" s="6" t="s">
        <v>12</v>
      </c>
      <c r="J87" s="33"/>
      <c r="K87" s="7"/>
      <c r="L87" s="4"/>
      <c r="M87" s="4"/>
      <c r="N87" s="4"/>
      <c r="O87" s="4"/>
      <c r="P87" s="4"/>
      <c r="Q87" s="4"/>
      <c r="R87" s="4"/>
      <c r="S87" s="4"/>
      <c r="T87" s="4"/>
      <c r="U87" s="4"/>
      <c r="V87" s="4"/>
      <c r="W87" s="4"/>
    </row>
    <row r="88">
      <c r="A88" s="5">
        <f t="shared" si="3"/>
        <v>84</v>
      </c>
      <c r="B88" s="31" t="s">
        <v>202</v>
      </c>
      <c r="C88" s="37">
        <v>7.7000232708E10</v>
      </c>
      <c r="D88" s="31" t="s">
        <v>13</v>
      </c>
      <c r="E88" s="33" t="s">
        <v>276</v>
      </c>
      <c r="F88" s="6">
        <v>21.0</v>
      </c>
      <c r="G88" s="7"/>
      <c r="H88" s="6" t="s">
        <v>277</v>
      </c>
      <c r="I88" s="6" t="s">
        <v>12</v>
      </c>
      <c r="J88" s="33"/>
      <c r="K88" s="7"/>
      <c r="L88" s="4"/>
      <c r="M88" s="4"/>
      <c r="N88" s="4"/>
      <c r="O88" s="4"/>
      <c r="P88" s="4"/>
      <c r="Q88" s="4"/>
      <c r="R88" s="4"/>
      <c r="S88" s="4"/>
      <c r="T88" s="4"/>
      <c r="U88" s="4"/>
      <c r="V88" s="4"/>
      <c r="W88" s="4"/>
    </row>
    <row r="89">
      <c r="A89" s="5">
        <f t="shared" si="3"/>
        <v>85</v>
      </c>
      <c r="B89" s="31" t="s">
        <v>202</v>
      </c>
      <c r="C89" s="33">
        <v>7.7000209073E10</v>
      </c>
      <c r="D89" s="31" t="s">
        <v>13</v>
      </c>
      <c r="E89" s="33" t="s">
        <v>278</v>
      </c>
      <c r="F89" s="6">
        <v>22.0</v>
      </c>
      <c r="G89" s="7"/>
      <c r="H89" s="6" t="s">
        <v>279</v>
      </c>
      <c r="I89" s="6" t="s">
        <v>12</v>
      </c>
      <c r="J89" s="33"/>
      <c r="K89" s="7"/>
      <c r="L89" s="4"/>
      <c r="M89" s="4"/>
      <c r="N89" s="4"/>
      <c r="O89" s="4"/>
      <c r="P89" s="4"/>
      <c r="Q89" s="4"/>
      <c r="R89" s="4"/>
      <c r="S89" s="4"/>
      <c r="T89" s="4"/>
      <c r="U89" s="4"/>
      <c r="V89" s="4"/>
      <c r="W89" s="4"/>
    </row>
    <row r="90">
      <c r="A90" s="5">
        <f t="shared" si="3"/>
        <v>86</v>
      </c>
      <c r="B90" s="31" t="s">
        <v>202</v>
      </c>
      <c r="C90" s="37">
        <v>7.7000225368E10</v>
      </c>
      <c r="D90" s="31" t="s">
        <v>280</v>
      </c>
      <c r="E90" s="33" t="s">
        <v>281</v>
      </c>
      <c r="F90" s="6">
        <v>23.0</v>
      </c>
      <c r="G90" s="7"/>
      <c r="H90" s="6" t="s">
        <v>282</v>
      </c>
      <c r="I90" s="6" t="s">
        <v>12</v>
      </c>
      <c r="J90" s="33"/>
      <c r="K90" s="7"/>
      <c r="L90" s="4"/>
      <c r="M90" s="4"/>
      <c r="N90" s="4"/>
      <c r="O90" s="4"/>
      <c r="P90" s="4"/>
      <c r="Q90" s="4"/>
      <c r="R90" s="4"/>
      <c r="S90" s="4"/>
      <c r="T90" s="4"/>
      <c r="U90" s="4"/>
      <c r="V90" s="4"/>
      <c r="W90" s="4"/>
    </row>
    <row r="91">
      <c r="A91" s="5">
        <f t="shared" si="3"/>
        <v>87</v>
      </c>
      <c r="B91" s="31" t="s">
        <v>202</v>
      </c>
      <c r="C91" s="37">
        <v>7.7000216706E10</v>
      </c>
      <c r="D91" s="31" t="s">
        <v>283</v>
      </c>
      <c r="E91" s="33" t="s">
        <v>284</v>
      </c>
      <c r="F91" s="6">
        <v>24.0</v>
      </c>
      <c r="G91" s="7"/>
      <c r="H91" s="6" t="s">
        <v>285</v>
      </c>
      <c r="I91" s="6" t="s">
        <v>12</v>
      </c>
      <c r="J91" s="33"/>
      <c r="K91" s="7"/>
      <c r="L91" s="4"/>
      <c r="M91" s="4"/>
      <c r="N91" s="4"/>
      <c r="O91" s="4"/>
      <c r="P91" s="4"/>
      <c r="Q91" s="4"/>
      <c r="R91" s="4"/>
      <c r="S91" s="4"/>
      <c r="T91" s="4"/>
      <c r="U91" s="4"/>
      <c r="V91" s="4"/>
      <c r="W91" s="4"/>
    </row>
    <row r="92">
      <c r="A92" s="5">
        <f t="shared" si="3"/>
        <v>88</v>
      </c>
      <c r="B92" s="31" t="s">
        <v>202</v>
      </c>
      <c r="C92" s="37">
        <v>7.700023527E10</v>
      </c>
      <c r="D92" s="31" t="s">
        <v>283</v>
      </c>
      <c r="E92" s="33" t="s">
        <v>286</v>
      </c>
      <c r="F92" s="6">
        <v>25.0</v>
      </c>
      <c r="G92" s="7"/>
      <c r="H92" s="6" t="s">
        <v>287</v>
      </c>
      <c r="I92" s="6" t="s">
        <v>12</v>
      </c>
      <c r="J92" s="33"/>
      <c r="K92" s="7"/>
      <c r="L92" s="4"/>
      <c r="M92" s="4"/>
      <c r="N92" s="4"/>
      <c r="O92" s="4"/>
      <c r="P92" s="4"/>
      <c r="Q92" s="4"/>
      <c r="R92" s="4"/>
      <c r="S92" s="4"/>
      <c r="T92" s="4"/>
      <c r="U92" s="4"/>
      <c r="V92" s="4"/>
      <c r="W92" s="4"/>
    </row>
    <row r="93">
      <c r="A93" s="5">
        <f t="shared" si="3"/>
        <v>89</v>
      </c>
      <c r="B93" s="31" t="s">
        <v>202</v>
      </c>
      <c r="C93" s="33">
        <v>7.7000218336E10</v>
      </c>
      <c r="D93" s="31" t="s">
        <v>78</v>
      </c>
      <c r="E93" s="33" t="s">
        <v>288</v>
      </c>
      <c r="F93" s="6">
        <v>26.0</v>
      </c>
      <c r="G93" s="7"/>
      <c r="H93" s="6" t="s">
        <v>289</v>
      </c>
      <c r="I93" s="6" t="s">
        <v>12</v>
      </c>
      <c r="J93" s="33"/>
      <c r="K93" s="7"/>
      <c r="L93" s="4"/>
      <c r="M93" s="4"/>
      <c r="N93" s="4"/>
      <c r="O93" s="4"/>
      <c r="P93" s="4"/>
      <c r="Q93" s="4"/>
      <c r="R93" s="4"/>
      <c r="S93" s="4"/>
      <c r="T93" s="4"/>
      <c r="U93" s="4"/>
      <c r="V93" s="4"/>
      <c r="W93" s="4"/>
    </row>
    <row r="94">
      <c r="A94" s="5">
        <f t="shared" si="3"/>
        <v>90</v>
      </c>
      <c r="B94" s="31" t="s">
        <v>202</v>
      </c>
      <c r="C94" s="33">
        <v>7.792144895E9</v>
      </c>
      <c r="D94" s="31" t="s">
        <v>21</v>
      </c>
      <c r="E94" s="33" t="s">
        <v>290</v>
      </c>
      <c r="F94" s="6">
        <v>27.0</v>
      </c>
      <c r="G94" s="7"/>
      <c r="H94" s="6" t="s">
        <v>291</v>
      </c>
      <c r="I94" s="6" t="s">
        <v>12</v>
      </c>
      <c r="J94" s="33"/>
      <c r="K94" s="7"/>
      <c r="L94" s="4"/>
      <c r="M94" s="4"/>
      <c r="N94" s="4"/>
      <c r="O94" s="4"/>
      <c r="P94" s="4"/>
      <c r="Q94" s="4"/>
      <c r="R94" s="4"/>
      <c r="S94" s="4"/>
      <c r="T94" s="4"/>
      <c r="U94" s="4"/>
      <c r="V94" s="4"/>
      <c r="W94" s="4"/>
    </row>
    <row r="95">
      <c r="A95" s="5">
        <f t="shared" si="3"/>
        <v>91</v>
      </c>
      <c r="B95" s="31" t="s">
        <v>202</v>
      </c>
      <c r="C95" s="37">
        <v>7.7000238792E10</v>
      </c>
      <c r="D95" s="31" t="s">
        <v>280</v>
      </c>
      <c r="E95" s="33" t="s">
        <v>292</v>
      </c>
      <c r="F95" s="6">
        <v>28.0</v>
      </c>
      <c r="G95" s="7"/>
      <c r="H95" s="6" t="s">
        <v>293</v>
      </c>
      <c r="I95" s="6" t="s">
        <v>12</v>
      </c>
      <c r="J95" s="33"/>
      <c r="K95" s="7"/>
      <c r="L95" s="4"/>
      <c r="M95" s="4"/>
      <c r="N95" s="4"/>
      <c r="O95" s="4"/>
      <c r="P95" s="4"/>
      <c r="Q95" s="4"/>
      <c r="R95" s="4"/>
      <c r="S95" s="4"/>
      <c r="T95" s="4"/>
      <c r="U95" s="4"/>
      <c r="V95" s="4"/>
      <c r="W95" s="4"/>
    </row>
    <row r="96">
      <c r="A96" s="5">
        <f t="shared" si="3"/>
        <v>92</v>
      </c>
      <c r="B96" s="31" t="s">
        <v>202</v>
      </c>
      <c r="C96" s="33">
        <v>7.7000235288E10</v>
      </c>
      <c r="D96" s="31" t="s">
        <v>294</v>
      </c>
      <c r="E96" s="33" t="s">
        <v>295</v>
      </c>
      <c r="F96" s="6">
        <v>29.0</v>
      </c>
      <c r="G96" s="7"/>
      <c r="H96" s="6" t="s">
        <v>296</v>
      </c>
      <c r="I96" s="6" t="s">
        <v>12</v>
      </c>
      <c r="J96" s="33"/>
      <c r="K96" s="7"/>
      <c r="L96" s="4"/>
      <c r="M96" s="4"/>
      <c r="N96" s="4"/>
      <c r="O96" s="4"/>
      <c r="P96" s="4"/>
      <c r="Q96" s="4"/>
      <c r="R96" s="4"/>
      <c r="S96" s="4"/>
      <c r="T96" s="4"/>
      <c r="U96" s="4"/>
      <c r="V96" s="4"/>
      <c r="W96" s="4"/>
    </row>
    <row r="97">
      <c r="A97" s="5">
        <f t="shared" si="3"/>
        <v>93</v>
      </c>
      <c r="B97" s="31" t="s">
        <v>202</v>
      </c>
      <c r="C97" s="33" t="s">
        <v>297</v>
      </c>
      <c r="D97" s="31" t="s">
        <v>294</v>
      </c>
      <c r="E97" s="33" t="s">
        <v>298</v>
      </c>
      <c r="F97" s="6">
        <v>30.0</v>
      </c>
      <c r="G97" s="7"/>
      <c r="H97" s="6" t="s">
        <v>299</v>
      </c>
      <c r="I97" s="6" t="s">
        <v>12</v>
      </c>
      <c r="J97" s="33"/>
      <c r="K97" s="7"/>
      <c r="L97" s="4"/>
      <c r="M97" s="4"/>
      <c r="N97" s="4"/>
      <c r="O97" s="4"/>
      <c r="P97" s="4"/>
      <c r="Q97" s="4"/>
      <c r="R97" s="4"/>
      <c r="S97" s="4"/>
      <c r="T97" s="4"/>
      <c r="U97" s="4"/>
      <c r="V97" s="4"/>
      <c r="W97" s="4"/>
    </row>
    <row r="98">
      <c r="A98" s="5">
        <f t="shared" si="3"/>
        <v>94</v>
      </c>
      <c r="B98" s="31" t="s">
        <v>202</v>
      </c>
      <c r="C98" s="37">
        <v>7.7000232703E10</v>
      </c>
      <c r="D98" s="37" t="s">
        <v>43</v>
      </c>
      <c r="E98" s="37" t="s">
        <v>300</v>
      </c>
      <c r="F98" s="6">
        <v>31.0</v>
      </c>
      <c r="G98" s="7"/>
      <c r="H98" s="6" t="s">
        <v>301</v>
      </c>
      <c r="I98" s="6" t="s">
        <v>12</v>
      </c>
      <c r="J98" s="33"/>
      <c r="K98" s="7"/>
      <c r="L98" s="4"/>
      <c r="M98" s="4"/>
      <c r="N98" s="4"/>
      <c r="O98" s="4"/>
      <c r="P98" s="4"/>
      <c r="Q98" s="4"/>
      <c r="R98" s="4"/>
      <c r="S98" s="4"/>
      <c r="T98" s="4"/>
      <c r="U98" s="4"/>
      <c r="V98" s="4"/>
      <c r="W98" s="4"/>
    </row>
    <row r="99">
      <c r="A99" s="5">
        <f t="shared" si="3"/>
        <v>95</v>
      </c>
      <c r="B99" s="31" t="s">
        <v>202</v>
      </c>
      <c r="C99" s="33">
        <v>7.7000222013E10</v>
      </c>
      <c r="D99" s="31" t="s">
        <v>83</v>
      </c>
      <c r="E99" s="33" t="s">
        <v>302</v>
      </c>
      <c r="F99" s="6">
        <v>32.0</v>
      </c>
      <c r="G99" s="7"/>
      <c r="H99" s="6" t="s">
        <v>301</v>
      </c>
      <c r="I99" s="6" t="s">
        <v>12</v>
      </c>
      <c r="J99" s="33"/>
      <c r="K99" s="7"/>
      <c r="L99" s="4"/>
      <c r="M99" s="4"/>
      <c r="N99" s="4"/>
      <c r="O99" s="4"/>
      <c r="P99" s="4"/>
      <c r="Q99" s="4"/>
      <c r="R99" s="4"/>
      <c r="S99" s="4"/>
      <c r="T99" s="4"/>
      <c r="U99" s="4"/>
      <c r="V99" s="4"/>
      <c r="W99" s="4"/>
    </row>
    <row r="100">
      <c r="A100" s="5">
        <f t="shared" si="3"/>
        <v>96</v>
      </c>
      <c r="B100" s="31" t="s">
        <v>202</v>
      </c>
      <c r="C100" s="33">
        <v>7.7000225251E10</v>
      </c>
      <c r="D100" s="31" t="s">
        <v>40</v>
      </c>
      <c r="E100" s="33" t="s">
        <v>303</v>
      </c>
      <c r="F100" s="6">
        <v>33.0</v>
      </c>
      <c r="G100" s="7"/>
      <c r="H100" s="6" t="s">
        <v>304</v>
      </c>
      <c r="I100" s="6" t="s">
        <v>12</v>
      </c>
      <c r="J100" s="33"/>
      <c r="K100" s="7"/>
      <c r="L100" s="4"/>
      <c r="M100" s="4"/>
      <c r="N100" s="4"/>
      <c r="O100" s="4"/>
      <c r="P100" s="4"/>
      <c r="Q100" s="4"/>
      <c r="R100" s="4"/>
      <c r="S100" s="4"/>
      <c r="T100" s="4"/>
      <c r="U100" s="4"/>
      <c r="V100" s="4"/>
      <c r="W100" s="4"/>
    </row>
    <row r="101">
      <c r="A101" s="5">
        <f t="shared" si="3"/>
        <v>97</v>
      </c>
      <c r="B101" s="31" t="s">
        <v>202</v>
      </c>
      <c r="C101" s="33">
        <v>7.7000186882E10</v>
      </c>
      <c r="D101" s="31" t="s">
        <v>40</v>
      </c>
      <c r="E101" s="33" t="s">
        <v>305</v>
      </c>
      <c r="F101" s="6">
        <v>34.0</v>
      </c>
      <c r="G101" s="7"/>
      <c r="H101" s="6" t="s">
        <v>306</v>
      </c>
      <c r="I101" s="6" t="s">
        <v>12</v>
      </c>
      <c r="J101" s="33"/>
      <c r="K101" s="7"/>
      <c r="L101" s="4"/>
      <c r="M101" s="4"/>
      <c r="N101" s="4"/>
      <c r="O101" s="4"/>
      <c r="P101" s="4"/>
      <c r="Q101" s="4"/>
      <c r="R101" s="4"/>
      <c r="S101" s="4"/>
      <c r="T101" s="4"/>
      <c r="U101" s="4"/>
      <c r="V101" s="4"/>
      <c r="W101" s="4"/>
    </row>
    <row r="102">
      <c r="A102" s="5">
        <f t="shared" si="3"/>
        <v>98</v>
      </c>
      <c r="B102" s="31" t="s">
        <v>202</v>
      </c>
      <c r="C102" s="33">
        <v>7.7000241623E10</v>
      </c>
      <c r="D102" s="31" t="s">
        <v>40</v>
      </c>
      <c r="E102" s="33" t="s">
        <v>307</v>
      </c>
      <c r="F102" s="6">
        <v>35.0</v>
      </c>
      <c r="G102" s="7"/>
      <c r="H102" s="6" t="s">
        <v>308</v>
      </c>
      <c r="I102" s="6" t="s">
        <v>12</v>
      </c>
      <c r="J102" s="33"/>
      <c r="K102" s="7"/>
      <c r="L102" s="4"/>
      <c r="M102" s="4"/>
      <c r="N102" s="4"/>
      <c r="O102" s="4"/>
      <c r="P102" s="4"/>
      <c r="Q102" s="4"/>
      <c r="R102" s="4"/>
      <c r="S102" s="4"/>
      <c r="T102" s="4"/>
      <c r="U102" s="4"/>
      <c r="V102" s="4"/>
      <c r="W102" s="4"/>
    </row>
    <row r="103">
      <c r="A103" s="5">
        <f t="shared" si="3"/>
        <v>99</v>
      </c>
      <c r="B103" s="31" t="s">
        <v>202</v>
      </c>
      <c r="C103" s="37">
        <v>7.7000181692E10</v>
      </c>
      <c r="D103" s="31" t="s">
        <v>78</v>
      </c>
      <c r="E103" s="33" t="s">
        <v>309</v>
      </c>
      <c r="F103" s="6">
        <v>36.0</v>
      </c>
      <c r="G103" s="7"/>
      <c r="H103" s="36" t="s">
        <v>310</v>
      </c>
      <c r="I103" s="6" t="s">
        <v>12</v>
      </c>
      <c r="J103" s="33"/>
      <c r="K103" s="7"/>
      <c r="L103" s="4"/>
      <c r="M103" s="4"/>
      <c r="N103" s="4"/>
      <c r="O103" s="4"/>
      <c r="P103" s="4"/>
      <c r="Q103" s="4"/>
      <c r="R103" s="4"/>
      <c r="S103" s="4"/>
      <c r="T103" s="4"/>
      <c r="U103" s="4"/>
      <c r="V103" s="4"/>
      <c r="W103" s="4"/>
    </row>
    <row r="104">
      <c r="A104" s="5">
        <f t="shared" si="3"/>
        <v>100</v>
      </c>
      <c r="B104" s="31" t="s">
        <v>202</v>
      </c>
      <c r="C104" s="33">
        <v>7.7000249105E10</v>
      </c>
      <c r="D104" s="31" t="s">
        <v>13</v>
      </c>
      <c r="E104" s="33" t="s">
        <v>311</v>
      </c>
      <c r="F104" s="6">
        <v>37.0</v>
      </c>
      <c r="G104" s="7"/>
      <c r="H104" s="6" t="s">
        <v>312</v>
      </c>
      <c r="I104" s="6" t="s">
        <v>12</v>
      </c>
      <c r="J104" s="33"/>
      <c r="K104" s="7"/>
      <c r="L104" s="4"/>
      <c r="M104" s="4"/>
      <c r="N104" s="4"/>
      <c r="O104" s="4"/>
      <c r="P104" s="4"/>
      <c r="Q104" s="4"/>
      <c r="R104" s="4"/>
      <c r="S104" s="4"/>
      <c r="T104" s="4"/>
      <c r="U104" s="4"/>
      <c r="V104" s="4"/>
      <c r="W104" s="4"/>
    </row>
    <row r="105">
      <c r="A105" s="5">
        <f t="shared" si="3"/>
        <v>101</v>
      </c>
      <c r="B105" s="31" t="s">
        <v>202</v>
      </c>
      <c r="C105" s="33">
        <v>7.7000237872E10</v>
      </c>
      <c r="D105" s="38"/>
      <c r="E105" s="33" t="s">
        <v>313</v>
      </c>
      <c r="F105" s="6">
        <v>38.0</v>
      </c>
      <c r="G105" s="7"/>
      <c r="H105" s="39" t="s">
        <v>314</v>
      </c>
      <c r="I105" s="6" t="s">
        <v>12</v>
      </c>
      <c r="J105" s="33"/>
      <c r="K105" s="7"/>
      <c r="L105" s="4"/>
      <c r="M105" s="4"/>
      <c r="N105" s="4"/>
      <c r="O105" s="4"/>
      <c r="P105" s="4"/>
      <c r="Q105" s="4"/>
      <c r="R105" s="4"/>
      <c r="S105" s="4"/>
      <c r="T105" s="4"/>
      <c r="U105" s="4"/>
      <c r="V105" s="4"/>
      <c r="W105" s="4"/>
    </row>
    <row r="106">
      <c r="A106" s="5">
        <f t="shared" si="3"/>
        <v>102</v>
      </c>
      <c r="B106" s="31" t="s">
        <v>202</v>
      </c>
      <c r="C106" s="33">
        <v>7.7000215721E10</v>
      </c>
      <c r="D106" s="31" t="s">
        <v>19</v>
      </c>
      <c r="E106" s="33" t="s">
        <v>315</v>
      </c>
      <c r="F106" s="6">
        <v>39.0</v>
      </c>
      <c r="G106" s="7"/>
      <c r="H106" s="36" t="s">
        <v>316</v>
      </c>
      <c r="I106" s="6" t="s">
        <v>12</v>
      </c>
      <c r="J106" s="33"/>
      <c r="K106" s="7"/>
      <c r="L106" s="4"/>
      <c r="M106" s="4"/>
      <c r="N106" s="4"/>
      <c r="O106" s="4"/>
      <c r="P106" s="4"/>
      <c r="Q106" s="4"/>
      <c r="R106" s="4"/>
      <c r="S106" s="4"/>
      <c r="T106" s="4"/>
      <c r="U106" s="4"/>
      <c r="V106" s="4"/>
      <c r="W106" s="4"/>
    </row>
    <row r="107">
      <c r="A107" s="5">
        <f t="shared" si="3"/>
        <v>103</v>
      </c>
      <c r="B107" s="31" t="s">
        <v>202</v>
      </c>
      <c r="C107" s="37">
        <v>7.7000237982E10</v>
      </c>
      <c r="D107" s="31" t="s">
        <v>13</v>
      </c>
      <c r="E107" s="33" t="s">
        <v>317</v>
      </c>
      <c r="F107" s="6">
        <v>40.0</v>
      </c>
      <c r="G107" s="7"/>
      <c r="H107" s="6" t="s">
        <v>318</v>
      </c>
      <c r="I107" s="6" t="s">
        <v>12</v>
      </c>
      <c r="J107" s="33"/>
      <c r="K107" s="7"/>
      <c r="L107" s="4"/>
      <c r="M107" s="4"/>
      <c r="N107" s="4"/>
      <c r="O107" s="4"/>
      <c r="P107" s="4"/>
      <c r="Q107" s="4"/>
      <c r="R107" s="4"/>
      <c r="S107" s="4"/>
      <c r="T107" s="4"/>
      <c r="U107" s="4"/>
      <c r="V107" s="4"/>
      <c r="W107" s="4"/>
    </row>
    <row r="108">
      <c r="A108" s="5">
        <f t="shared" si="3"/>
        <v>104</v>
      </c>
      <c r="B108" s="31" t="s">
        <v>202</v>
      </c>
      <c r="C108" s="33">
        <v>7.7000232368E10</v>
      </c>
      <c r="D108" s="37" t="s">
        <v>13</v>
      </c>
      <c r="E108" s="33" t="s">
        <v>319</v>
      </c>
      <c r="F108" s="6">
        <v>41.0</v>
      </c>
      <c r="G108" s="7"/>
      <c r="H108" s="27" t="s">
        <v>320</v>
      </c>
      <c r="I108" s="7"/>
      <c r="J108" s="33" t="s">
        <v>321</v>
      </c>
      <c r="K108" s="7"/>
      <c r="L108" s="4"/>
      <c r="M108" s="4"/>
      <c r="N108" s="4"/>
      <c r="O108" s="4"/>
      <c r="P108" s="4"/>
      <c r="Q108" s="4"/>
      <c r="R108" s="4"/>
      <c r="S108" s="4"/>
      <c r="T108" s="4"/>
      <c r="U108" s="4"/>
      <c r="V108" s="4"/>
      <c r="W108" s="4"/>
    </row>
    <row r="109">
      <c r="A109" s="5">
        <f t="shared" si="3"/>
        <v>105</v>
      </c>
      <c r="B109" s="31" t="s">
        <v>202</v>
      </c>
      <c r="C109" s="33">
        <v>7.792150913E9</v>
      </c>
      <c r="D109" s="31" t="s">
        <v>40</v>
      </c>
      <c r="E109" s="33" t="s">
        <v>322</v>
      </c>
      <c r="F109" s="6">
        <v>42.0</v>
      </c>
      <c r="G109" s="7"/>
      <c r="H109" s="27" t="s">
        <v>323</v>
      </c>
      <c r="I109" s="6" t="s">
        <v>12</v>
      </c>
      <c r="J109" s="33"/>
      <c r="K109" s="7"/>
      <c r="L109" s="4"/>
      <c r="M109" s="4"/>
      <c r="N109" s="4"/>
      <c r="O109" s="4"/>
      <c r="P109" s="4"/>
      <c r="Q109" s="4"/>
      <c r="R109" s="4"/>
      <c r="S109" s="4"/>
      <c r="T109" s="4"/>
      <c r="U109" s="4"/>
      <c r="V109" s="4"/>
      <c r="W109" s="4"/>
    </row>
    <row r="110">
      <c r="A110" s="5">
        <f t="shared" si="3"/>
        <v>106</v>
      </c>
      <c r="B110" s="31" t="s">
        <v>202</v>
      </c>
      <c r="C110" s="33">
        <v>7.7000223024E10</v>
      </c>
      <c r="D110" s="31" t="s">
        <v>13</v>
      </c>
      <c r="E110" s="33" t="s">
        <v>324</v>
      </c>
      <c r="F110" s="6">
        <v>43.0</v>
      </c>
      <c r="G110" s="7"/>
      <c r="H110" s="6" t="s">
        <v>325</v>
      </c>
      <c r="I110" s="6" t="s">
        <v>12</v>
      </c>
      <c r="J110" s="33"/>
      <c r="K110" s="7"/>
      <c r="L110" s="4"/>
      <c r="M110" s="4"/>
      <c r="N110" s="4"/>
      <c r="O110" s="4"/>
      <c r="P110" s="4"/>
      <c r="Q110" s="4"/>
      <c r="R110" s="4"/>
      <c r="S110" s="4"/>
      <c r="T110" s="4"/>
      <c r="U110" s="4"/>
      <c r="V110" s="4"/>
      <c r="W110" s="4"/>
    </row>
    <row r="111">
      <c r="A111" s="5">
        <f t="shared" si="3"/>
        <v>107</v>
      </c>
      <c r="B111" s="31" t="s">
        <v>202</v>
      </c>
      <c r="C111" s="33">
        <v>7.700019168E10</v>
      </c>
      <c r="D111" s="31" t="s">
        <v>43</v>
      </c>
      <c r="E111" s="33" t="s">
        <v>326</v>
      </c>
      <c r="F111" s="6">
        <v>44.0</v>
      </c>
      <c r="G111" s="7"/>
      <c r="H111" s="6" t="s">
        <v>327</v>
      </c>
      <c r="I111" s="6" t="s">
        <v>12</v>
      </c>
      <c r="J111" s="33"/>
      <c r="K111" s="7"/>
      <c r="L111" s="4"/>
      <c r="M111" s="4"/>
      <c r="N111" s="4"/>
      <c r="O111" s="4"/>
      <c r="P111" s="4"/>
      <c r="Q111" s="4"/>
      <c r="R111" s="4"/>
      <c r="S111" s="4"/>
      <c r="T111" s="4"/>
      <c r="U111" s="4"/>
      <c r="V111" s="4"/>
      <c r="W111" s="4"/>
    </row>
    <row r="112">
      <c r="A112" s="5">
        <f t="shared" si="3"/>
        <v>108</v>
      </c>
      <c r="B112" s="31" t="s">
        <v>202</v>
      </c>
      <c r="C112" s="33">
        <v>7.7000216379E10</v>
      </c>
      <c r="D112" s="31" t="s">
        <v>43</v>
      </c>
      <c r="E112" s="33" t="s">
        <v>328</v>
      </c>
      <c r="F112" s="6">
        <v>45.0</v>
      </c>
      <c r="G112" s="7"/>
      <c r="H112" s="6" t="s">
        <v>12</v>
      </c>
      <c r="I112" s="7"/>
      <c r="J112" s="33"/>
      <c r="K112" s="7"/>
      <c r="L112" s="4"/>
      <c r="M112" s="4"/>
      <c r="N112" s="4"/>
      <c r="O112" s="4"/>
      <c r="P112" s="4"/>
      <c r="Q112" s="4"/>
      <c r="R112" s="4"/>
      <c r="S112" s="4"/>
      <c r="T112" s="4"/>
      <c r="U112" s="4"/>
      <c r="V112" s="4"/>
      <c r="W112" s="4"/>
    </row>
    <row r="113">
      <c r="A113" s="5">
        <f t="shared" si="3"/>
        <v>109</v>
      </c>
      <c r="B113" s="31" t="s">
        <v>202</v>
      </c>
      <c r="C113" s="33">
        <v>7.7000241047E10</v>
      </c>
      <c r="D113" s="31" t="s">
        <v>21</v>
      </c>
      <c r="E113" s="33" t="s">
        <v>329</v>
      </c>
      <c r="F113" s="6">
        <v>46.0</v>
      </c>
      <c r="G113" s="7"/>
      <c r="H113" s="6" t="s">
        <v>12</v>
      </c>
      <c r="I113" s="7"/>
      <c r="J113" s="33"/>
      <c r="K113" s="7"/>
      <c r="L113" s="4"/>
      <c r="M113" s="4"/>
      <c r="N113" s="4"/>
      <c r="O113" s="4"/>
      <c r="P113" s="4"/>
      <c r="Q113" s="4"/>
      <c r="R113" s="4"/>
      <c r="S113" s="4"/>
      <c r="T113" s="4"/>
      <c r="U113" s="4"/>
      <c r="V113" s="4"/>
      <c r="W113" s="4"/>
    </row>
    <row r="114">
      <c r="A114" s="5">
        <f t="shared" si="3"/>
        <v>110</v>
      </c>
      <c r="B114" s="31" t="s">
        <v>202</v>
      </c>
      <c r="C114" s="33">
        <v>7.7000232192E10</v>
      </c>
      <c r="D114" s="31" t="s">
        <v>21</v>
      </c>
      <c r="E114" s="33" t="s">
        <v>330</v>
      </c>
      <c r="F114" s="6">
        <v>47.0</v>
      </c>
      <c r="G114" s="7"/>
      <c r="H114" s="6" t="s">
        <v>331</v>
      </c>
      <c r="I114" s="6" t="s">
        <v>12</v>
      </c>
      <c r="J114" s="33"/>
      <c r="K114" s="7"/>
      <c r="L114" s="4"/>
      <c r="M114" s="4"/>
      <c r="N114" s="4"/>
      <c r="O114" s="4"/>
      <c r="P114" s="4"/>
      <c r="Q114" s="4"/>
      <c r="R114" s="4"/>
      <c r="S114" s="4"/>
      <c r="T114" s="4"/>
      <c r="U114" s="4"/>
      <c r="V114" s="4"/>
      <c r="W114" s="4"/>
    </row>
    <row r="115">
      <c r="A115" s="5">
        <f t="shared" si="3"/>
        <v>111</v>
      </c>
      <c r="B115" s="31" t="s">
        <v>202</v>
      </c>
      <c r="C115" s="33">
        <v>7.7000241574E10</v>
      </c>
      <c r="D115" s="33" t="s">
        <v>332</v>
      </c>
      <c r="E115" s="33" t="s">
        <v>333</v>
      </c>
      <c r="F115" s="6">
        <v>48.0</v>
      </c>
      <c r="G115" s="7"/>
      <c r="H115" s="36" t="s">
        <v>334</v>
      </c>
      <c r="I115" s="6" t="s">
        <v>12</v>
      </c>
      <c r="J115" s="33" t="s">
        <v>10</v>
      </c>
      <c r="K115" s="7"/>
      <c r="L115" s="4"/>
      <c r="M115" s="4"/>
      <c r="N115" s="4"/>
      <c r="O115" s="4"/>
      <c r="P115" s="4"/>
      <c r="Q115" s="4"/>
      <c r="R115" s="4"/>
      <c r="S115" s="4"/>
      <c r="T115" s="4"/>
      <c r="U115" s="4"/>
      <c r="V115" s="4"/>
      <c r="W115" s="4"/>
    </row>
    <row r="116">
      <c r="A116" s="5">
        <f t="shared" si="3"/>
        <v>112</v>
      </c>
      <c r="B116" s="31" t="s">
        <v>202</v>
      </c>
      <c r="C116" s="40">
        <v>7.700024484E10</v>
      </c>
      <c r="D116" s="33" t="s">
        <v>40</v>
      </c>
      <c r="E116" s="33" t="s">
        <v>335</v>
      </c>
      <c r="F116" s="6">
        <v>49.0</v>
      </c>
      <c r="G116" s="7"/>
      <c r="H116" s="7"/>
      <c r="I116" s="7"/>
      <c r="J116" s="33"/>
      <c r="K116" s="7"/>
      <c r="L116" s="4"/>
      <c r="M116" s="4"/>
      <c r="N116" s="4"/>
      <c r="O116" s="4"/>
      <c r="P116" s="4"/>
      <c r="Q116" s="4"/>
      <c r="R116" s="4"/>
      <c r="S116" s="4"/>
      <c r="T116" s="4"/>
      <c r="U116" s="4"/>
      <c r="V116" s="4"/>
      <c r="W116" s="4"/>
    </row>
    <row r="117">
      <c r="A117" s="5">
        <f t="shared" si="3"/>
        <v>113</v>
      </c>
      <c r="B117" s="31" t="s">
        <v>202</v>
      </c>
      <c r="C117" s="40">
        <v>7.792144896E9</v>
      </c>
      <c r="D117" s="38"/>
      <c r="E117" s="33" t="s">
        <v>22</v>
      </c>
      <c r="F117" s="6">
        <v>50.0</v>
      </c>
      <c r="G117" s="7"/>
      <c r="H117" s="7"/>
      <c r="I117" s="7"/>
      <c r="J117" s="33"/>
      <c r="K117" s="7"/>
      <c r="L117" s="4"/>
      <c r="M117" s="4"/>
      <c r="N117" s="4"/>
      <c r="O117" s="4"/>
      <c r="P117" s="4"/>
      <c r="Q117" s="4"/>
      <c r="R117" s="4"/>
      <c r="S117" s="4"/>
      <c r="T117" s="4"/>
      <c r="U117" s="4"/>
      <c r="V117" s="4"/>
      <c r="W117" s="4"/>
    </row>
    <row r="118">
      <c r="A118" s="5">
        <f t="shared" si="3"/>
        <v>114</v>
      </c>
      <c r="B118" s="31" t="s">
        <v>202</v>
      </c>
      <c r="C118" s="40">
        <v>7.7000244887E10</v>
      </c>
      <c r="D118" s="33" t="s">
        <v>43</v>
      </c>
      <c r="E118" s="33" t="s">
        <v>336</v>
      </c>
      <c r="F118" s="6">
        <v>51.0</v>
      </c>
      <c r="G118" s="7"/>
      <c r="H118" s="7"/>
      <c r="I118" s="7"/>
      <c r="J118" s="33"/>
      <c r="K118" s="7"/>
      <c r="L118" s="4"/>
      <c r="M118" s="4"/>
      <c r="N118" s="4"/>
      <c r="O118" s="4"/>
      <c r="P118" s="4"/>
      <c r="Q118" s="4"/>
      <c r="R118" s="4"/>
      <c r="S118" s="4"/>
      <c r="T118" s="4"/>
      <c r="U118" s="4"/>
      <c r="V118" s="4"/>
      <c r="W118" s="4"/>
    </row>
    <row r="119">
      <c r="A119" s="5">
        <f t="shared" si="3"/>
        <v>115</v>
      </c>
      <c r="B119" s="31" t="s">
        <v>202</v>
      </c>
      <c r="C119" s="33">
        <v>7.7000241574E10</v>
      </c>
      <c r="D119" s="33" t="s">
        <v>332</v>
      </c>
      <c r="E119" s="33" t="s">
        <v>333</v>
      </c>
      <c r="F119" s="6">
        <v>52.0</v>
      </c>
      <c r="G119" s="7"/>
      <c r="H119" s="7"/>
      <c r="I119" s="7"/>
      <c r="J119" s="33" t="s">
        <v>337</v>
      </c>
      <c r="K119" s="7"/>
      <c r="L119" s="4"/>
      <c r="M119" s="4"/>
      <c r="N119" s="4"/>
      <c r="O119" s="4"/>
      <c r="P119" s="4"/>
      <c r="Q119" s="4"/>
      <c r="R119" s="4"/>
      <c r="S119" s="4"/>
      <c r="T119" s="4"/>
      <c r="U119" s="4"/>
      <c r="V119" s="4"/>
      <c r="W119" s="4"/>
    </row>
    <row r="120">
      <c r="A120" s="5">
        <f t="shared" si="3"/>
        <v>116</v>
      </c>
      <c r="B120" s="31" t="s">
        <v>202</v>
      </c>
      <c r="C120" s="33">
        <v>7.700023901E10</v>
      </c>
      <c r="D120" s="31" t="s">
        <v>13</v>
      </c>
      <c r="E120" s="33" t="s">
        <v>338</v>
      </c>
      <c r="F120" s="6">
        <v>53.0</v>
      </c>
      <c r="G120" s="7"/>
      <c r="H120" s="6" t="s">
        <v>339</v>
      </c>
      <c r="I120" s="6" t="s">
        <v>12</v>
      </c>
      <c r="J120" s="33"/>
      <c r="K120" s="7"/>
      <c r="L120" s="4"/>
      <c r="M120" s="4"/>
      <c r="N120" s="4"/>
      <c r="O120" s="4"/>
      <c r="P120" s="4"/>
      <c r="Q120" s="4"/>
      <c r="R120" s="4"/>
      <c r="S120" s="4"/>
      <c r="T120" s="4"/>
      <c r="U120" s="4"/>
      <c r="V120" s="4"/>
      <c r="W120" s="4"/>
    </row>
    <row r="121">
      <c r="A121" s="5">
        <f t="shared" si="3"/>
        <v>117</v>
      </c>
      <c r="B121" s="31" t="s">
        <v>202</v>
      </c>
      <c r="C121" s="33">
        <v>7.800239001E9</v>
      </c>
      <c r="D121" s="31" t="s">
        <v>40</v>
      </c>
      <c r="E121" s="33" t="s">
        <v>340</v>
      </c>
      <c r="F121" s="6">
        <v>54.0</v>
      </c>
      <c r="G121" s="7"/>
      <c r="H121" s="6" t="s">
        <v>341</v>
      </c>
      <c r="I121" s="6" t="s">
        <v>12</v>
      </c>
      <c r="J121" s="33"/>
      <c r="K121" s="7"/>
      <c r="L121" s="4"/>
      <c r="M121" s="4"/>
      <c r="N121" s="4"/>
      <c r="O121" s="4"/>
      <c r="P121" s="4"/>
      <c r="Q121" s="4"/>
      <c r="R121" s="4"/>
      <c r="S121" s="4"/>
      <c r="T121" s="4"/>
      <c r="U121" s="4"/>
      <c r="V121" s="4"/>
      <c r="W121" s="4"/>
    </row>
    <row r="122">
      <c r="A122" s="5">
        <f t="shared" si="3"/>
        <v>118</v>
      </c>
      <c r="B122" s="31" t="s">
        <v>202</v>
      </c>
      <c r="C122" s="33">
        <v>7.7000244529E10</v>
      </c>
      <c r="D122" s="31" t="s">
        <v>21</v>
      </c>
      <c r="E122" s="33" t="s">
        <v>342</v>
      </c>
      <c r="F122" s="6">
        <v>55.0</v>
      </c>
      <c r="G122" s="7"/>
      <c r="H122" s="6" t="s">
        <v>343</v>
      </c>
      <c r="I122" s="6" t="s">
        <v>12</v>
      </c>
      <c r="J122" s="33"/>
      <c r="K122" s="7"/>
      <c r="L122" s="4"/>
      <c r="M122" s="4"/>
      <c r="N122" s="4"/>
      <c r="O122" s="4"/>
      <c r="P122" s="4"/>
      <c r="Q122" s="4"/>
      <c r="R122" s="4"/>
      <c r="S122" s="4"/>
      <c r="T122" s="4"/>
      <c r="U122" s="4"/>
      <c r="V122" s="4"/>
      <c r="W122" s="4"/>
    </row>
    <row r="123">
      <c r="A123" s="5">
        <f t="shared" si="3"/>
        <v>119</v>
      </c>
      <c r="B123" s="31" t="s">
        <v>202</v>
      </c>
      <c r="C123" s="33">
        <v>7.700025166E10</v>
      </c>
      <c r="D123" s="33" t="s">
        <v>43</v>
      </c>
      <c r="E123" s="33" t="s">
        <v>344</v>
      </c>
      <c r="F123" s="6">
        <v>56.0</v>
      </c>
      <c r="G123" s="7"/>
      <c r="H123" s="6" t="s">
        <v>345</v>
      </c>
      <c r="I123" s="6" t="s">
        <v>12</v>
      </c>
      <c r="J123" s="33"/>
      <c r="K123" s="7"/>
      <c r="L123" s="4"/>
      <c r="M123" s="4"/>
      <c r="N123" s="4"/>
      <c r="O123" s="4"/>
      <c r="P123" s="4"/>
      <c r="Q123" s="4"/>
      <c r="R123" s="4"/>
      <c r="S123" s="4"/>
      <c r="T123" s="4"/>
      <c r="U123" s="4"/>
      <c r="V123" s="4"/>
      <c r="W123" s="4"/>
    </row>
    <row r="124">
      <c r="A124" s="5">
        <f t="shared" si="3"/>
        <v>120</v>
      </c>
      <c r="B124" s="31" t="s">
        <v>202</v>
      </c>
      <c r="C124" s="33">
        <v>7.700022911E10</v>
      </c>
      <c r="D124" s="31" t="s">
        <v>13</v>
      </c>
      <c r="E124" s="33" t="s">
        <v>346</v>
      </c>
      <c r="F124" s="6">
        <v>57.0</v>
      </c>
      <c r="G124" s="7"/>
      <c r="H124" s="6" t="s">
        <v>347</v>
      </c>
      <c r="I124" s="6" t="s">
        <v>12</v>
      </c>
      <c r="J124" s="33"/>
      <c r="K124" s="7"/>
      <c r="L124" s="4"/>
      <c r="M124" s="4"/>
      <c r="N124" s="4"/>
      <c r="O124" s="4"/>
      <c r="P124" s="4"/>
      <c r="Q124" s="4"/>
      <c r="R124" s="4"/>
      <c r="S124" s="4"/>
      <c r="T124" s="4"/>
      <c r="U124" s="4"/>
      <c r="V124" s="4"/>
      <c r="W124" s="4"/>
    </row>
    <row r="125">
      <c r="A125" s="5">
        <f t="shared" si="3"/>
        <v>121</v>
      </c>
      <c r="B125" s="31" t="s">
        <v>202</v>
      </c>
      <c r="C125" s="33">
        <v>7.792141827E9</v>
      </c>
      <c r="D125" s="31" t="s">
        <v>43</v>
      </c>
      <c r="E125" s="33" t="s">
        <v>348</v>
      </c>
      <c r="F125" s="6">
        <v>58.0</v>
      </c>
      <c r="G125" s="7"/>
      <c r="H125" s="6" t="s">
        <v>349</v>
      </c>
      <c r="I125" s="6" t="s">
        <v>12</v>
      </c>
      <c r="J125" s="33"/>
      <c r="K125" s="7"/>
      <c r="L125" s="4"/>
      <c r="M125" s="4"/>
      <c r="N125" s="4"/>
      <c r="O125" s="4"/>
      <c r="P125" s="4"/>
      <c r="Q125" s="4"/>
      <c r="R125" s="4"/>
      <c r="S125" s="4"/>
      <c r="T125" s="4"/>
      <c r="U125" s="4"/>
      <c r="V125" s="4"/>
      <c r="W125" s="4"/>
    </row>
    <row r="126">
      <c r="A126" s="5">
        <f t="shared" si="3"/>
        <v>122</v>
      </c>
      <c r="B126" s="31" t="s">
        <v>202</v>
      </c>
      <c r="C126" s="33">
        <v>7.7000235992E10</v>
      </c>
      <c r="D126" s="31" t="s">
        <v>280</v>
      </c>
      <c r="E126" s="33" t="s">
        <v>350</v>
      </c>
      <c r="F126" s="6">
        <v>59.0</v>
      </c>
      <c r="G126" s="7"/>
      <c r="H126" s="7"/>
      <c r="I126" s="7"/>
      <c r="J126" s="33" t="s">
        <v>321</v>
      </c>
      <c r="K126" s="7"/>
      <c r="L126" s="4"/>
      <c r="M126" s="4"/>
      <c r="N126" s="4"/>
      <c r="O126" s="4"/>
      <c r="P126" s="4"/>
      <c r="Q126" s="4"/>
      <c r="R126" s="4"/>
      <c r="S126" s="4"/>
      <c r="T126" s="4"/>
      <c r="U126" s="4"/>
      <c r="V126" s="4"/>
      <c r="W126" s="4"/>
    </row>
    <row r="127">
      <c r="A127" s="5">
        <f t="shared" si="3"/>
        <v>123</v>
      </c>
      <c r="B127" s="31" t="s">
        <v>202</v>
      </c>
      <c r="C127" s="41">
        <v>7.700023672E10</v>
      </c>
      <c r="D127" s="42" t="s">
        <v>83</v>
      </c>
      <c r="E127" s="41" t="s">
        <v>351</v>
      </c>
      <c r="F127" s="6">
        <v>60.0</v>
      </c>
      <c r="G127" s="7"/>
      <c r="H127" s="7"/>
      <c r="I127" s="7"/>
      <c r="J127" s="41" t="s">
        <v>352</v>
      </c>
      <c r="K127" s="7"/>
      <c r="L127" s="4"/>
      <c r="M127" s="4"/>
      <c r="N127" s="4"/>
      <c r="O127" s="4"/>
      <c r="P127" s="4"/>
      <c r="Q127" s="4"/>
      <c r="R127" s="4"/>
      <c r="S127" s="4"/>
      <c r="T127" s="4"/>
      <c r="U127" s="4"/>
      <c r="V127" s="4"/>
      <c r="W127" s="4"/>
    </row>
    <row r="128">
      <c r="A128" s="5">
        <f t="shared" si="3"/>
        <v>124</v>
      </c>
      <c r="B128" s="31" t="s">
        <v>202</v>
      </c>
      <c r="C128" s="41">
        <v>7.7000205097E10</v>
      </c>
      <c r="D128" s="42" t="s">
        <v>78</v>
      </c>
      <c r="E128" s="41" t="s">
        <v>353</v>
      </c>
      <c r="F128" s="6">
        <v>61.0</v>
      </c>
      <c r="G128" s="7"/>
      <c r="H128" s="6" t="s">
        <v>354</v>
      </c>
      <c r="I128" s="6" t="s">
        <v>12</v>
      </c>
      <c r="J128" s="41"/>
      <c r="K128" s="7"/>
      <c r="L128" s="4"/>
      <c r="M128" s="4"/>
      <c r="N128" s="4"/>
      <c r="O128" s="4"/>
      <c r="P128" s="4"/>
      <c r="Q128" s="4"/>
      <c r="R128" s="4"/>
      <c r="S128" s="4"/>
      <c r="T128" s="4"/>
      <c r="U128" s="4"/>
      <c r="V128" s="4"/>
      <c r="W128" s="4"/>
    </row>
    <row r="129">
      <c r="A129" s="5">
        <f t="shared" si="3"/>
        <v>125</v>
      </c>
      <c r="B129" s="31" t="s">
        <v>202</v>
      </c>
      <c r="C129" s="41" t="s">
        <v>355</v>
      </c>
      <c r="D129" s="42" t="s">
        <v>280</v>
      </c>
      <c r="E129" s="41" t="s">
        <v>356</v>
      </c>
      <c r="F129" s="6">
        <v>62.0</v>
      </c>
      <c r="G129" s="7"/>
      <c r="H129" s="6" t="s">
        <v>357</v>
      </c>
      <c r="I129" s="6" t="s">
        <v>12</v>
      </c>
      <c r="J129" s="41"/>
      <c r="K129" s="7"/>
      <c r="L129" s="4"/>
      <c r="M129" s="4"/>
      <c r="N129" s="4"/>
      <c r="O129" s="4"/>
      <c r="P129" s="4"/>
      <c r="Q129" s="4"/>
      <c r="R129" s="4"/>
      <c r="S129" s="4"/>
      <c r="T129" s="4"/>
      <c r="U129" s="4"/>
      <c r="V129" s="4"/>
      <c r="W129" s="4"/>
    </row>
    <row r="130">
      <c r="A130" s="5">
        <f t="shared" si="3"/>
        <v>126</v>
      </c>
      <c r="B130" s="25" t="s">
        <v>114</v>
      </c>
      <c r="C130" s="43">
        <v>7.7000243087E10</v>
      </c>
      <c r="D130" s="6" t="s">
        <v>21</v>
      </c>
      <c r="E130" s="6" t="s">
        <v>358</v>
      </c>
      <c r="F130" s="6" t="s">
        <v>359</v>
      </c>
      <c r="G130" s="30" t="s">
        <v>360</v>
      </c>
      <c r="H130" s="28" t="s">
        <v>361</v>
      </c>
      <c r="I130" s="6" t="s">
        <v>362</v>
      </c>
      <c r="J130" s="7"/>
      <c r="K130" s="7"/>
      <c r="L130" s="4"/>
      <c r="M130" s="4"/>
      <c r="N130" s="4"/>
      <c r="O130" s="4"/>
      <c r="P130" s="4"/>
      <c r="Q130" s="4"/>
      <c r="R130" s="4"/>
      <c r="S130" s="4"/>
      <c r="T130" s="4"/>
      <c r="U130" s="4"/>
      <c r="V130" s="4"/>
      <c r="W130" s="4"/>
    </row>
    <row r="131">
      <c r="A131" s="5">
        <f t="shared" si="3"/>
        <v>127</v>
      </c>
      <c r="B131" s="25" t="s">
        <v>114</v>
      </c>
      <c r="C131" s="26" t="s">
        <v>26</v>
      </c>
      <c r="D131" s="7" t="str">
        <f>B131</f>
        <v>Deepali</v>
      </c>
      <c r="E131" s="44" t="s">
        <v>363</v>
      </c>
      <c r="F131" s="4"/>
      <c r="G131" s="7"/>
      <c r="H131" s="6" t="s">
        <v>364</v>
      </c>
      <c r="I131" s="7"/>
      <c r="J131" s="7"/>
      <c r="K131" s="7"/>
      <c r="L131" s="4"/>
      <c r="M131" s="4"/>
      <c r="N131" s="4"/>
      <c r="O131" s="4"/>
      <c r="P131" s="4"/>
      <c r="Q131" s="4"/>
      <c r="R131" s="4"/>
      <c r="S131" s="4"/>
      <c r="T131" s="4"/>
      <c r="U131" s="4"/>
      <c r="V131" s="4"/>
      <c r="W131" s="4"/>
    </row>
    <row r="132">
      <c r="A132" s="5">
        <f t="shared" si="3"/>
        <v>128</v>
      </c>
      <c r="B132" s="25" t="s">
        <v>114</v>
      </c>
      <c r="C132" s="26">
        <v>7.7000258312E10</v>
      </c>
      <c r="D132" s="6" t="s">
        <v>43</v>
      </c>
      <c r="E132" s="45" t="s">
        <v>365</v>
      </c>
      <c r="F132" s="6" t="s">
        <v>366</v>
      </c>
      <c r="G132" s="6" t="s">
        <v>73</v>
      </c>
      <c r="H132" s="6" t="s">
        <v>367</v>
      </c>
      <c r="I132" s="6" t="s">
        <v>368</v>
      </c>
      <c r="J132" s="7"/>
      <c r="K132" s="7"/>
      <c r="L132" s="4"/>
      <c r="M132" s="4"/>
      <c r="N132" s="4"/>
      <c r="O132" s="4"/>
      <c r="P132" s="4"/>
      <c r="Q132" s="4"/>
      <c r="R132" s="4"/>
      <c r="S132" s="4"/>
      <c r="T132" s="4"/>
      <c r="U132" s="4"/>
      <c r="V132" s="4"/>
      <c r="W132" s="4"/>
    </row>
    <row r="133">
      <c r="A133" s="5">
        <f t="shared" si="3"/>
        <v>129</v>
      </c>
      <c r="B133" s="25" t="s">
        <v>114</v>
      </c>
      <c r="C133" s="26">
        <v>7.700245883E9</v>
      </c>
      <c r="D133" s="6" t="s">
        <v>83</v>
      </c>
      <c r="E133" s="6" t="s">
        <v>369</v>
      </c>
      <c r="F133" s="6" t="s">
        <v>370</v>
      </c>
      <c r="G133" s="6" t="s">
        <v>371</v>
      </c>
      <c r="H133" s="6" t="s">
        <v>372</v>
      </c>
      <c r="I133" s="6" t="s">
        <v>373</v>
      </c>
      <c r="J133" s="7"/>
      <c r="K133" s="7"/>
      <c r="L133" s="4"/>
      <c r="M133" s="4"/>
      <c r="N133" s="4"/>
      <c r="O133" s="4"/>
      <c r="P133" s="4"/>
      <c r="Q133" s="4"/>
      <c r="R133" s="4"/>
      <c r="S133" s="4"/>
      <c r="T133" s="4"/>
      <c r="U133" s="4"/>
      <c r="V133" s="4"/>
      <c r="W133" s="4"/>
    </row>
    <row r="134">
      <c r="A134" s="5">
        <f t="shared" si="3"/>
        <v>130</v>
      </c>
      <c r="B134" s="25" t="s">
        <v>114</v>
      </c>
      <c r="C134" s="41" t="s">
        <v>374</v>
      </c>
      <c r="D134" s="7" t="str">
        <f t="shared" ref="D134:D135" si="4">B134</f>
        <v>Deepali</v>
      </c>
      <c r="E134" s="6" t="s">
        <v>356</v>
      </c>
      <c r="F134" s="7"/>
      <c r="G134" s="7"/>
      <c r="H134" s="7"/>
      <c r="I134" s="7"/>
      <c r="J134" s="7"/>
      <c r="K134" s="7"/>
      <c r="L134" s="4"/>
      <c r="M134" s="4"/>
      <c r="N134" s="4"/>
      <c r="O134" s="4"/>
      <c r="P134" s="4"/>
      <c r="Q134" s="4"/>
      <c r="R134" s="4"/>
      <c r="S134" s="4"/>
      <c r="T134" s="4"/>
      <c r="U134" s="4"/>
      <c r="V134" s="4"/>
      <c r="W134" s="4"/>
    </row>
    <row r="135">
      <c r="A135" s="5">
        <f t="shared" si="3"/>
        <v>131</v>
      </c>
      <c r="B135" s="25" t="s">
        <v>114</v>
      </c>
      <c r="C135" s="41" t="s">
        <v>375</v>
      </c>
      <c r="D135" s="7" t="str">
        <f t="shared" si="4"/>
        <v>Deepali</v>
      </c>
      <c r="E135" s="6" t="s">
        <v>356</v>
      </c>
      <c r="F135" s="7"/>
      <c r="G135" s="7"/>
      <c r="H135" s="7"/>
      <c r="I135" s="7"/>
      <c r="J135" s="7"/>
      <c r="K135" s="7"/>
      <c r="L135" s="4"/>
      <c r="M135" s="4"/>
      <c r="N135" s="4"/>
      <c r="O135" s="4"/>
      <c r="P135" s="4"/>
      <c r="Q135" s="4"/>
      <c r="R135" s="4"/>
      <c r="S135" s="4"/>
      <c r="T135" s="4"/>
      <c r="U135" s="4"/>
      <c r="V135" s="4"/>
      <c r="W135" s="4"/>
    </row>
    <row r="136">
      <c r="A136" s="5">
        <f t="shared" si="3"/>
        <v>132</v>
      </c>
      <c r="B136" s="25" t="s">
        <v>11</v>
      </c>
      <c r="C136" s="26">
        <v>7.70002477E10</v>
      </c>
      <c r="D136" s="6" t="s">
        <v>13</v>
      </c>
      <c r="E136" s="6" t="s">
        <v>376</v>
      </c>
      <c r="F136" s="7"/>
      <c r="G136" s="6" t="s">
        <v>377</v>
      </c>
      <c r="H136" s="6" t="s">
        <v>378</v>
      </c>
      <c r="I136" s="7"/>
      <c r="J136" s="7"/>
      <c r="K136" s="7"/>
      <c r="L136" s="4"/>
      <c r="M136" s="4"/>
      <c r="N136" s="4"/>
      <c r="O136" s="4"/>
      <c r="P136" s="4"/>
      <c r="Q136" s="4"/>
      <c r="R136" s="4"/>
      <c r="S136" s="4"/>
      <c r="T136" s="4"/>
      <c r="U136" s="4"/>
      <c r="V136" s="4"/>
      <c r="W136" s="4"/>
    </row>
    <row r="137">
      <c r="A137" s="5">
        <f t="shared" si="3"/>
        <v>133</v>
      </c>
      <c r="B137" s="25" t="s">
        <v>11</v>
      </c>
      <c r="C137" s="26" t="s">
        <v>379</v>
      </c>
      <c r="D137" s="6" t="s">
        <v>13</v>
      </c>
      <c r="E137" s="6" t="s">
        <v>380</v>
      </c>
      <c r="F137" s="7"/>
      <c r="G137" s="6" t="s">
        <v>379</v>
      </c>
      <c r="H137" s="6" t="s">
        <v>381</v>
      </c>
      <c r="I137" s="7"/>
      <c r="J137" s="7"/>
      <c r="K137" s="7"/>
      <c r="L137" s="4"/>
      <c r="M137" s="4"/>
      <c r="N137" s="4"/>
      <c r="O137" s="4"/>
      <c r="P137" s="4"/>
      <c r="Q137" s="4"/>
      <c r="R137" s="4"/>
      <c r="S137" s="4"/>
      <c r="T137" s="4"/>
      <c r="U137" s="4"/>
      <c r="V137" s="4"/>
      <c r="W137" s="4"/>
    </row>
    <row r="138">
      <c r="A138" s="5">
        <f t="shared" si="3"/>
        <v>134</v>
      </c>
      <c r="B138" s="25" t="s">
        <v>114</v>
      </c>
      <c r="C138" s="26">
        <v>7.7000258586E10</v>
      </c>
      <c r="D138" s="6" t="s">
        <v>382</v>
      </c>
      <c r="E138" s="6" t="s">
        <v>383</v>
      </c>
      <c r="F138" s="6" t="s">
        <v>384</v>
      </c>
      <c r="G138" s="6" t="s">
        <v>45</v>
      </c>
      <c r="H138" s="6" t="s">
        <v>385</v>
      </c>
      <c r="I138" s="7"/>
      <c r="J138" s="7"/>
      <c r="K138" s="7"/>
      <c r="L138" s="4"/>
      <c r="M138" s="4"/>
      <c r="N138" s="4"/>
      <c r="O138" s="4"/>
      <c r="P138" s="4"/>
      <c r="Q138" s="4"/>
      <c r="R138" s="4"/>
      <c r="S138" s="4"/>
      <c r="T138" s="4"/>
      <c r="U138" s="4"/>
      <c r="V138" s="4"/>
      <c r="W138" s="4"/>
    </row>
    <row r="139">
      <c r="A139" s="5">
        <f t="shared" si="3"/>
        <v>135</v>
      </c>
      <c r="B139" s="25" t="s">
        <v>202</v>
      </c>
      <c r="C139" s="40">
        <v>7.7000227674E10</v>
      </c>
      <c r="D139" s="6" t="s">
        <v>382</v>
      </c>
      <c r="E139" s="40" t="s">
        <v>386</v>
      </c>
      <c r="F139" s="7"/>
      <c r="G139" s="7"/>
      <c r="H139" s="7"/>
      <c r="I139" s="7"/>
      <c r="J139" s="33" t="s">
        <v>337</v>
      </c>
      <c r="K139" s="7"/>
      <c r="L139" s="4"/>
      <c r="M139" s="4"/>
      <c r="N139" s="4"/>
      <c r="O139" s="4"/>
      <c r="P139" s="4"/>
      <c r="Q139" s="4"/>
      <c r="R139" s="4"/>
      <c r="S139" s="4"/>
      <c r="T139" s="4"/>
      <c r="U139" s="4"/>
      <c r="V139" s="4"/>
      <c r="W139" s="4"/>
    </row>
    <row r="140">
      <c r="A140" s="5">
        <f t="shared" si="3"/>
        <v>136</v>
      </c>
      <c r="B140" s="25" t="s">
        <v>202</v>
      </c>
      <c r="C140" s="40">
        <v>7.7000242443E10</v>
      </c>
      <c r="D140" s="6" t="s">
        <v>382</v>
      </c>
      <c r="E140" s="40" t="s">
        <v>387</v>
      </c>
      <c r="F140" s="7"/>
      <c r="G140" s="7"/>
      <c r="H140" s="7"/>
      <c r="I140" s="7"/>
      <c r="J140" s="33" t="s">
        <v>337</v>
      </c>
      <c r="K140" s="7"/>
      <c r="L140" s="4"/>
      <c r="M140" s="4"/>
      <c r="N140" s="4"/>
      <c r="O140" s="4"/>
      <c r="P140" s="4"/>
      <c r="Q140" s="4"/>
      <c r="R140" s="4"/>
      <c r="S140" s="4"/>
      <c r="T140" s="4"/>
      <c r="U140" s="4"/>
      <c r="V140" s="4"/>
      <c r="W140" s="4"/>
    </row>
    <row r="141">
      <c r="A141" s="5">
        <f t="shared" si="3"/>
        <v>137</v>
      </c>
      <c r="B141" s="25" t="s">
        <v>114</v>
      </c>
      <c r="C141" s="26">
        <v>7.7000261531E10</v>
      </c>
      <c r="D141" s="6" t="s">
        <v>388</v>
      </c>
      <c r="E141" s="6" t="s">
        <v>389</v>
      </c>
      <c r="F141" s="46" t="s">
        <v>390</v>
      </c>
      <c r="G141" s="6" t="s">
        <v>391</v>
      </c>
      <c r="H141" s="27" t="s">
        <v>392</v>
      </c>
      <c r="I141" s="7"/>
      <c r="J141" s="7"/>
      <c r="K141" s="7"/>
      <c r="L141" s="4"/>
      <c r="M141" s="4"/>
      <c r="N141" s="4"/>
      <c r="O141" s="4"/>
      <c r="P141" s="4"/>
      <c r="Q141" s="4"/>
      <c r="R141" s="4"/>
      <c r="S141" s="4"/>
      <c r="T141" s="4"/>
      <c r="U141" s="4"/>
      <c r="V141" s="4"/>
      <c r="W141" s="4"/>
    </row>
    <row r="142">
      <c r="A142" s="5">
        <f t="shared" si="3"/>
        <v>138</v>
      </c>
      <c r="B142" s="25" t="s">
        <v>202</v>
      </c>
      <c r="C142" s="40">
        <v>7.7000233516E10</v>
      </c>
      <c r="D142" s="6" t="s">
        <v>382</v>
      </c>
      <c r="E142" s="40" t="s">
        <v>393</v>
      </c>
      <c r="F142" s="4"/>
      <c r="G142" s="6"/>
      <c r="H142" s="7"/>
      <c r="I142" s="7"/>
      <c r="J142" s="33" t="s">
        <v>337</v>
      </c>
      <c r="K142" s="7"/>
      <c r="L142" s="4"/>
      <c r="M142" s="4"/>
      <c r="N142" s="4"/>
      <c r="O142" s="4"/>
      <c r="P142" s="4"/>
      <c r="Q142" s="4"/>
      <c r="R142" s="4"/>
      <c r="S142" s="4"/>
      <c r="T142" s="4"/>
      <c r="U142" s="4"/>
      <c r="V142" s="4"/>
      <c r="W142" s="4"/>
    </row>
    <row r="143">
      <c r="A143" s="5">
        <f t="shared" si="3"/>
        <v>139</v>
      </c>
      <c r="B143" s="25" t="s">
        <v>202</v>
      </c>
      <c r="C143" s="40">
        <v>7.7000258379E10</v>
      </c>
      <c r="D143" s="6" t="s">
        <v>19</v>
      </c>
      <c r="E143" s="40" t="s">
        <v>394</v>
      </c>
      <c r="F143" s="7"/>
      <c r="G143" s="6" t="s">
        <v>395</v>
      </c>
      <c r="H143" s="6" t="s">
        <v>396</v>
      </c>
      <c r="I143" s="6" t="s">
        <v>397</v>
      </c>
      <c r="J143" s="33" t="s">
        <v>337</v>
      </c>
      <c r="K143" s="7"/>
      <c r="L143" s="4"/>
      <c r="M143" s="4"/>
      <c r="N143" s="4"/>
      <c r="O143" s="4"/>
      <c r="P143" s="4"/>
      <c r="Q143" s="4"/>
      <c r="R143" s="4"/>
      <c r="S143" s="4"/>
      <c r="T143" s="4"/>
      <c r="U143" s="4"/>
      <c r="V143" s="4"/>
      <c r="W143" s="4"/>
    </row>
    <row r="144">
      <c r="A144" s="5">
        <f t="shared" si="3"/>
        <v>140</v>
      </c>
      <c r="B144" s="25" t="s">
        <v>114</v>
      </c>
      <c r="C144" s="26">
        <v>7.7000259987E10</v>
      </c>
      <c r="D144" s="6" t="s">
        <v>83</v>
      </c>
      <c r="E144" s="6" t="s">
        <v>398</v>
      </c>
      <c r="F144" s="7"/>
      <c r="G144" s="6" t="s">
        <v>399</v>
      </c>
      <c r="H144" s="27" t="s">
        <v>400</v>
      </c>
      <c r="I144" s="7"/>
      <c r="J144" s="7"/>
      <c r="K144" s="7"/>
      <c r="L144" s="4"/>
      <c r="M144" s="4"/>
      <c r="N144" s="4"/>
      <c r="O144" s="4"/>
      <c r="P144" s="4"/>
      <c r="Q144" s="4"/>
      <c r="R144" s="4"/>
      <c r="S144" s="4"/>
      <c r="T144" s="4"/>
      <c r="U144" s="4"/>
      <c r="V144" s="4"/>
      <c r="W144" s="4"/>
    </row>
    <row r="145">
      <c r="A145" s="5">
        <f t="shared" si="3"/>
        <v>141</v>
      </c>
      <c r="B145" s="25" t="s">
        <v>114</v>
      </c>
      <c r="C145" s="26">
        <v>7.7000257036E10</v>
      </c>
      <c r="D145" s="6" t="s">
        <v>83</v>
      </c>
      <c r="E145" s="6" t="s">
        <v>401</v>
      </c>
      <c r="F145" s="7"/>
      <c r="G145" s="6" t="s">
        <v>402</v>
      </c>
      <c r="H145" s="6" t="s">
        <v>403</v>
      </c>
      <c r="I145" s="7"/>
      <c r="J145" s="7"/>
      <c r="K145" s="7"/>
      <c r="L145" s="4"/>
      <c r="M145" s="4"/>
      <c r="N145" s="4"/>
      <c r="O145" s="4"/>
      <c r="P145" s="4"/>
      <c r="Q145" s="4"/>
      <c r="R145" s="4"/>
      <c r="S145" s="4"/>
      <c r="T145" s="4"/>
      <c r="U145" s="4"/>
      <c r="V145" s="4"/>
      <c r="W145" s="4"/>
    </row>
    <row r="146">
      <c r="A146" s="5">
        <f t="shared" si="3"/>
        <v>142</v>
      </c>
      <c r="B146" s="25" t="s">
        <v>114</v>
      </c>
      <c r="C146" s="26">
        <v>7.7000236127E10</v>
      </c>
      <c r="D146" s="6" t="s">
        <v>13</v>
      </c>
      <c r="E146" s="6" t="s">
        <v>404</v>
      </c>
      <c r="F146" s="6" t="s">
        <v>405</v>
      </c>
      <c r="G146" s="6" t="s">
        <v>406</v>
      </c>
      <c r="H146" s="6" t="s">
        <v>407</v>
      </c>
      <c r="I146" s="6" t="s">
        <v>408</v>
      </c>
      <c r="J146" s="7"/>
      <c r="K146" s="7"/>
      <c r="L146" s="4"/>
      <c r="M146" s="4"/>
      <c r="N146" s="4"/>
      <c r="O146" s="4"/>
      <c r="P146" s="4"/>
      <c r="Q146" s="4"/>
      <c r="R146" s="4"/>
      <c r="S146" s="4"/>
      <c r="T146" s="4"/>
      <c r="U146" s="4"/>
      <c r="V146" s="4"/>
      <c r="W146" s="4"/>
    </row>
    <row r="147">
      <c r="A147" s="5">
        <f t="shared" si="3"/>
        <v>143</v>
      </c>
      <c r="B147" s="25" t="s">
        <v>114</v>
      </c>
      <c r="C147" s="26">
        <v>7.7000257714E10</v>
      </c>
      <c r="D147" s="6" t="s">
        <v>388</v>
      </c>
      <c r="E147" s="6" t="s">
        <v>409</v>
      </c>
      <c r="F147" s="6" t="s">
        <v>410</v>
      </c>
      <c r="G147" s="6" t="s">
        <v>391</v>
      </c>
      <c r="H147" s="6" t="s">
        <v>411</v>
      </c>
      <c r="I147" s="7"/>
      <c r="J147" s="7"/>
      <c r="K147" s="7"/>
      <c r="L147" s="4"/>
      <c r="M147" s="4"/>
      <c r="N147" s="4"/>
      <c r="O147" s="4"/>
      <c r="P147" s="4"/>
      <c r="Q147" s="4"/>
      <c r="R147" s="4"/>
      <c r="S147" s="4"/>
      <c r="T147" s="4"/>
      <c r="U147" s="4"/>
      <c r="V147" s="4"/>
      <c r="W147" s="4"/>
    </row>
    <row r="148">
      <c r="A148" s="5">
        <f t="shared" si="3"/>
        <v>144</v>
      </c>
      <c r="B148" s="25" t="s">
        <v>114</v>
      </c>
      <c r="C148" s="26">
        <v>7.7000261134E10</v>
      </c>
      <c r="D148" s="6" t="s">
        <v>19</v>
      </c>
      <c r="E148" s="6" t="s">
        <v>412</v>
      </c>
      <c r="F148" s="6" t="s">
        <v>413</v>
      </c>
      <c r="G148" s="6" t="s">
        <v>73</v>
      </c>
      <c r="H148" s="27" t="s">
        <v>414</v>
      </c>
      <c r="I148" s="7"/>
      <c r="J148" s="7"/>
      <c r="K148" s="7"/>
      <c r="L148" s="4"/>
      <c r="M148" s="4"/>
      <c r="N148" s="4"/>
      <c r="O148" s="4"/>
      <c r="P148" s="4"/>
      <c r="Q148" s="4"/>
      <c r="R148" s="4"/>
      <c r="S148" s="4"/>
      <c r="T148" s="4"/>
      <c r="U148" s="4"/>
      <c r="V148" s="4"/>
      <c r="W148" s="4"/>
    </row>
    <row r="149">
      <c r="A149" s="5">
        <f t="shared" si="3"/>
        <v>145</v>
      </c>
      <c r="B149" s="25" t="s">
        <v>114</v>
      </c>
      <c r="C149" s="26">
        <v>7.792151834E9</v>
      </c>
      <c r="D149" s="6" t="s">
        <v>382</v>
      </c>
      <c r="E149" s="6" t="s">
        <v>415</v>
      </c>
      <c r="F149" s="6" t="s">
        <v>416</v>
      </c>
      <c r="G149" s="6" t="s">
        <v>16</v>
      </c>
      <c r="H149" s="27" t="s">
        <v>417</v>
      </c>
      <c r="I149" s="6" t="s">
        <v>397</v>
      </c>
      <c r="J149" s="7"/>
      <c r="K149" s="7"/>
      <c r="L149" s="4"/>
      <c r="M149" s="4"/>
      <c r="N149" s="4"/>
      <c r="O149" s="4"/>
      <c r="P149" s="4"/>
      <c r="Q149" s="4"/>
      <c r="R149" s="4"/>
      <c r="S149" s="4"/>
      <c r="T149" s="4"/>
      <c r="U149" s="4"/>
      <c r="V149" s="4"/>
      <c r="W149" s="4"/>
    </row>
    <row r="150">
      <c r="A150" s="5">
        <f t="shared" si="3"/>
        <v>146</v>
      </c>
      <c r="B150" s="25" t="s">
        <v>202</v>
      </c>
      <c r="C150" s="26">
        <v>7.7000246049E10</v>
      </c>
      <c r="D150" s="6" t="s">
        <v>21</v>
      </c>
      <c r="E150" s="6" t="s">
        <v>418</v>
      </c>
      <c r="F150" s="7"/>
      <c r="G150" s="7"/>
      <c r="H150" s="7"/>
      <c r="I150" s="7"/>
      <c r="J150" s="33" t="s">
        <v>337</v>
      </c>
      <c r="K150" s="7"/>
      <c r="L150" s="4"/>
      <c r="M150" s="4"/>
      <c r="N150" s="4"/>
      <c r="O150" s="4"/>
      <c r="P150" s="4"/>
      <c r="Q150" s="4"/>
      <c r="R150" s="4"/>
      <c r="S150" s="4"/>
      <c r="T150" s="4"/>
      <c r="U150" s="4"/>
      <c r="V150" s="4"/>
      <c r="W150" s="4"/>
    </row>
    <row r="151">
      <c r="A151" s="5">
        <f t="shared" si="3"/>
        <v>147</v>
      </c>
      <c r="B151" s="25" t="s">
        <v>202</v>
      </c>
      <c r="C151" s="26">
        <v>7.792141839E9</v>
      </c>
      <c r="D151" s="6" t="s">
        <v>21</v>
      </c>
      <c r="E151" s="6" t="s">
        <v>419</v>
      </c>
      <c r="F151" s="7"/>
      <c r="G151" s="7"/>
      <c r="H151" s="7"/>
      <c r="I151" s="7"/>
      <c r="J151" s="33" t="s">
        <v>337</v>
      </c>
      <c r="K151" s="7"/>
      <c r="L151" s="4"/>
      <c r="M151" s="4"/>
      <c r="N151" s="4"/>
      <c r="O151" s="4"/>
      <c r="P151" s="4"/>
      <c r="Q151" s="4"/>
      <c r="R151" s="4"/>
      <c r="S151" s="4"/>
      <c r="T151" s="4"/>
      <c r="U151" s="4"/>
      <c r="V151" s="4"/>
      <c r="W151" s="4"/>
    </row>
    <row r="152">
      <c r="A152" s="5">
        <f t="shared" si="3"/>
        <v>148</v>
      </c>
      <c r="B152" s="25" t="s">
        <v>114</v>
      </c>
      <c r="C152" s="26">
        <v>7.7000249613E10</v>
      </c>
      <c r="D152" s="6" t="s">
        <v>83</v>
      </c>
      <c r="E152" s="6" t="s">
        <v>420</v>
      </c>
      <c r="F152" s="7"/>
      <c r="G152" s="6" t="s">
        <v>371</v>
      </c>
      <c r="H152" s="27" t="s">
        <v>421</v>
      </c>
      <c r="I152" s="7"/>
      <c r="J152" s="7"/>
      <c r="K152" s="7"/>
      <c r="L152" s="4"/>
      <c r="M152" s="4"/>
      <c r="N152" s="4"/>
      <c r="O152" s="4"/>
      <c r="P152" s="4"/>
      <c r="Q152" s="4"/>
      <c r="R152" s="4"/>
      <c r="S152" s="4"/>
      <c r="T152" s="4"/>
      <c r="U152" s="4"/>
      <c r="V152" s="4"/>
      <c r="W152" s="4"/>
    </row>
    <row r="153">
      <c r="A153" s="5">
        <f t="shared" si="3"/>
        <v>149</v>
      </c>
      <c r="B153" s="25" t="s">
        <v>114</v>
      </c>
      <c r="C153" s="26">
        <v>7.700024538E10</v>
      </c>
      <c r="D153" s="6" t="s">
        <v>21</v>
      </c>
      <c r="E153" s="6" t="s">
        <v>422</v>
      </c>
      <c r="F153" s="4"/>
      <c r="G153" s="6" t="s">
        <v>16</v>
      </c>
      <c r="H153" s="6" t="s">
        <v>423</v>
      </c>
      <c r="I153" s="7"/>
      <c r="J153" s="33" t="s">
        <v>337</v>
      </c>
      <c r="K153" s="7"/>
      <c r="L153" s="4"/>
      <c r="M153" s="4"/>
      <c r="N153" s="4"/>
      <c r="O153" s="4"/>
      <c r="P153" s="4"/>
      <c r="Q153" s="4"/>
      <c r="R153" s="4"/>
      <c r="S153" s="4"/>
      <c r="T153" s="4"/>
      <c r="U153" s="4"/>
      <c r="V153" s="4"/>
      <c r="W153" s="4"/>
    </row>
    <row r="154">
      <c r="A154" s="5">
        <f t="shared" si="3"/>
        <v>150</v>
      </c>
      <c r="B154" s="25" t="s">
        <v>202</v>
      </c>
      <c r="C154" s="40">
        <v>7.7000240215E10</v>
      </c>
      <c r="D154" s="6" t="s">
        <v>21</v>
      </c>
      <c r="E154" s="40" t="s">
        <v>424</v>
      </c>
      <c r="F154" s="7"/>
      <c r="G154" s="7"/>
      <c r="H154" s="7"/>
      <c r="I154" s="7"/>
      <c r="J154" s="7"/>
      <c r="K154" s="7"/>
      <c r="L154" s="4"/>
      <c r="M154" s="4"/>
      <c r="N154" s="4"/>
      <c r="O154" s="4"/>
      <c r="P154" s="4"/>
      <c r="Q154" s="4"/>
      <c r="R154" s="4"/>
      <c r="S154" s="4"/>
      <c r="T154" s="4"/>
      <c r="U154" s="4"/>
      <c r="V154" s="4"/>
      <c r="W154" s="4"/>
    </row>
    <row r="155">
      <c r="A155" s="5">
        <f t="shared" si="3"/>
        <v>151</v>
      </c>
      <c r="B155" s="25" t="s">
        <v>114</v>
      </c>
      <c r="C155" s="43">
        <v>7.7000257998E10</v>
      </c>
      <c r="D155" s="6" t="s">
        <v>43</v>
      </c>
      <c r="E155" s="44" t="s">
        <v>425</v>
      </c>
      <c r="F155" s="44" t="s">
        <v>426</v>
      </c>
      <c r="G155" s="47" t="s">
        <v>24</v>
      </c>
      <c r="H155" s="27" t="s">
        <v>427</v>
      </c>
      <c r="I155" s="7"/>
      <c r="J155" s="7"/>
      <c r="K155" s="7"/>
      <c r="L155" s="4"/>
      <c r="M155" s="4"/>
      <c r="N155" s="4"/>
      <c r="O155" s="4"/>
      <c r="P155" s="4"/>
      <c r="Q155" s="4"/>
      <c r="R155" s="4"/>
      <c r="S155" s="4"/>
      <c r="T155" s="4"/>
      <c r="U155" s="4"/>
      <c r="V155" s="4"/>
      <c r="W155" s="4"/>
    </row>
    <row r="156">
      <c r="A156" s="5">
        <f t="shared" si="3"/>
        <v>152</v>
      </c>
      <c r="B156" s="25" t="s">
        <v>11</v>
      </c>
      <c r="C156" s="26">
        <v>7.7000240185E10</v>
      </c>
      <c r="D156" s="6" t="s">
        <v>13</v>
      </c>
      <c r="E156" s="6" t="s">
        <v>428</v>
      </c>
      <c r="F156" s="7"/>
      <c r="G156" s="6" t="s">
        <v>429</v>
      </c>
      <c r="H156" s="6" t="s">
        <v>430</v>
      </c>
      <c r="I156" s="6" t="s">
        <v>12</v>
      </c>
      <c r="J156" s="6" t="s">
        <v>12</v>
      </c>
      <c r="K156" s="7"/>
      <c r="L156" s="4"/>
      <c r="M156" s="4"/>
      <c r="N156" s="4"/>
      <c r="O156" s="4"/>
      <c r="P156" s="4"/>
      <c r="Q156" s="4"/>
      <c r="R156" s="4"/>
      <c r="S156" s="4"/>
      <c r="T156" s="4"/>
      <c r="U156" s="4"/>
      <c r="V156" s="4"/>
      <c r="W156" s="4"/>
    </row>
    <row r="157">
      <c r="A157" s="5">
        <f t="shared" si="3"/>
        <v>153</v>
      </c>
      <c r="B157" s="25" t="s">
        <v>11</v>
      </c>
      <c r="C157" s="26" t="s">
        <v>431</v>
      </c>
      <c r="D157" s="6" t="s">
        <v>78</v>
      </c>
      <c r="E157" s="6" t="s">
        <v>432</v>
      </c>
      <c r="F157" s="6" t="s">
        <v>433</v>
      </c>
      <c r="G157" s="6" t="s">
        <v>371</v>
      </c>
      <c r="H157" s="6" t="s">
        <v>434</v>
      </c>
      <c r="I157" s="7"/>
      <c r="J157" s="7"/>
      <c r="K157" s="7"/>
      <c r="L157" s="4"/>
      <c r="M157" s="4"/>
      <c r="N157" s="4"/>
      <c r="O157" s="4"/>
      <c r="P157" s="4"/>
      <c r="Q157" s="4"/>
      <c r="R157" s="4"/>
      <c r="S157" s="4"/>
      <c r="T157" s="4"/>
      <c r="U157" s="4"/>
      <c r="V157" s="4"/>
      <c r="W157" s="4"/>
    </row>
    <row r="158">
      <c r="A158" s="5">
        <f t="shared" si="3"/>
        <v>154</v>
      </c>
      <c r="B158" s="25" t="s">
        <v>11</v>
      </c>
      <c r="C158" s="26" t="s">
        <v>435</v>
      </c>
      <c r="D158" s="6" t="s">
        <v>13</v>
      </c>
      <c r="E158" s="6" t="s">
        <v>436</v>
      </c>
      <c r="F158" s="7"/>
      <c r="G158" s="7"/>
      <c r="H158" s="6" t="s">
        <v>437</v>
      </c>
      <c r="I158" s="6" t="s">
        <v>12</v>
      </c>
      <c r="J158" s="6" t="s">
        <v>12</v>
      </c>
      <c r="K158" s="7"/>
      <c r="L158" s="4"/>
      <c r="M158" s="4"/>
      <c r="N158" s="4"/>
      <c r="O158" s="4"/>
      <c r="P158" s="4"/>
      <c r="Q158" s="4"/>
      <c r="R158" s="4"/>
      <c r="S158" s="4"/>
      <c r="T158" s="4"/>
      <c r="U158" s="4"/>
      <c r="V158" s="4"/>
      <c r="W158" s="4"/>
    </row>
    <row r="159">
      <c r="A159" s="5">
        <f t="shared" si="3"/>
        <v>155</v>
      </c>
      <c r="B159" s="25" t="s">
        <v>114</v>
      </c>
      <c r="C159" s="47">
        <v>7.7000256826E10</v>
      </c>
      <c r="D159" s="6" t="s">
        <v>43</v>
      </c>
      <c r="E159" s="47" t="s">
        <v>438</v>
      </c>
      <c r="F159" s="47" t="s">
        <v>439</v>
      </c>
      <c r="G159" s="47" t="s">
        <v>24</v>
      </c>
      <c r="H159" s="47" t="s">
        <v>440</v>
      </c>
      <c r="I159" s="6" t="s">
        <v>441</v>
      </c>
      <c r="J159" s="7"/>
      <c r="K159" s="7"/>
      <c r="L159" s="4"/>
      <c r="M159" s="4"/>
      <c r="N159" s="4"/>
      <c r="O159" s="4"/>
      <c r="P159" s="4"/>
      <c r="Q159" s="4"/>
      <c r="R159" s="4"/>
      <c r="S159" s="4"/>
      <c r="T159" s="4"/>
      <c r="U159" s="4"/>
      <c r="V159" s="4"/>
      <c r="W159" s="4"/>
    </row>
    <row r="160">
      <c r="A160" s="5">
        <f t="shared" si="3"/>
        <v>156</v>
      </c>
      <c r="B160" s="25" t="s">
        <v>114</v>
      </c>
      <c r="C160" s="43">
        <v>7.79214982E9</v>
      </c>
      <c r="D160" s="6" t="s">
        <v>43</v>
      </c>
      <c r="E160" s="44" t="s">
        <v>442</v>
      </c>
      <c r="F160" s="44" t="s">
        <v>443</v>
      </c>
      <c r="G160" s="44" t="s">
        <v>24</v>
      </c>
      <c r="H160" s="44" t="s">
        <v>444</v>
      </c>
      <c r="I160" s="6" t="s">
        <v>445</v>
      </c>
      <c r="J160" s="7"/>
      <c r="K160" s="7"/>
      <c r="L160" s="4"/>
      <c r="M160" s="4"/>
      <c r="N160" s="4"/>
      <c r="O160" s="4"/>
      <c r="P160" s="4"/>
      <c r="Q160" s="4"/>
      <c r="R160" s="4"/>
      <c r="S160" s="4"/>
      <c r="T160" s="4"/>
      <c r="U160" s="4"/>
      <c r="V160" s="4"/>
      <c r="W160" s="4"/>
    </row>
    <row r="161">
      <c r="A161" s="5">
        <f t="shared" si="3"/>
        <v>157</v>
      </c>
      <c r="B161" s="25" t="s">
        <v>114</v>
      </c>
      <c r="C161" s="26">
        <v>7.7000256336E10</v>
      </c>
      <c r="D161" s="6" t="s">
        <v>446</v>
      </c>
      <c r="E161" s="6" t="s">
        <v>447</v>
      </c>
      <c r="F161" s="6" t="s">
        <v>448</v>
      </c>
      <c r="G161" s="6" t="s">
        <v>449</v>
      </c>
      <c r="H161" s="28" t="s">
        <v>450</v>
      </c>
      <c r="I161" s="6" t="s">
        <v>373</v>
      </c>
      <c r="J161" s="7"/>
      <c r="K161" s="7"/>
      <c r="L161" s="4"/>
      <c r="M161" s="4"/>
      <c r="N161" s="4"/>
      <c r="O161" s="4"/>
      <c r="P161" s="4"/>
      <c r="Q161" s="4"/>
      <c r="R161" s="4"/>
      <c r="S161" s="4"/>
      <c r="T161" s="4"/>
      <c r="U161" s="4"/>
      <c r="V161" s="4"/>
      <c r="W161" s="4"/>
    </row>
    <row r="162">
      <c r="A162" s="5">
        <f t="shared" si="3"/>
        <v>158</v>
      </c>
      <c r="B162" s="25" t="s">
        <v>202</v>
      </c>
      <c r="C162" s="29"/>
      <c r="D162" s="7"/>
      <c r="E162" s="48" t="s">
        <v>451</v>
      </c>
      <c r="G162" s="7"/>
      <c r="H162" s="7"/>
      <c r="I162" s="7"/>
      <c r="J162" s="6" t="s">
        <v>10</v>
      </c>
      <c r="K162" s="7"/>
      <c r="L162" s="4"/>
      <c r="M162" s="4"/>
      <c r="N162" s="4"/>
      <c r="O162" s="4"/>
      <c r="P162" s="4"/>
      <c r="Q162" s="4"/>
      <c r="R162" s="4"/>
      <c r="S162" s="4"/>
      <c r="T162" s="4"/>
      <c r="U162" s="4"/>
      <c r="V162" s="4"/>
      <c r="W162" s="4"/>
    </row>
    <row r="163">
      <c r="A163" s="5">
        <f t="shared" si="3"/>
        <v>159</v>
      </c>
      <c r="B163" s="25" t="s">
        <v>202</v>
      </c>
      <c r="C163" s="26">
        <v>7.700021979E9</v>
      </c>
      <c r="D163" s="6" t="s">
        <v>452</v>
      </c>
      <c r="E163" s="33" t="s">
        <v>453</v>
      </c>
      <c r="F163" s="7"/>
      <c r="G163" s="7"/>
      <c r="H163" s="7"/>
      <c r="I163" s="7"/>
      <c r="J163" s="33" t="s">
        <v>337</v>
      </c>
      <c r="K163" s="7"/>
      <c r="L163" s="4"/>
      <c r="M163" s="4"/>
      <c r="N163" s="4"/>
      <c r="O163" s="4"/>
      <c r="P163" s="4"/>
      <c r="Q163" s="4"/>
      <c r="R163" s="4"/>
      <c r="S163" s="4"/>
      <c r="T163" s="4"/>
      <c r="U163" s="4"/>
      <c r="V163" s="4"/>
      <c r="W163" s="4"/>
    </row>
    <row r="164">
      <c r="A164" s="5">
        <f t="shared" si="3"/>
        <v>160</v>
      </c>
      <c r="B164" s="25" t="s">
        <v>114</v>
      </c>
      <c r="C164" s="26">
        <v>7.7000250405E10</v>
      </c>
      <c r="D164" s="6" t="s">
        <v>78</v>
      </c>
      <c r="E164" s="6" t="s">
        <v>454</v>
      </c>
      <c r="F164" s="6" t="s">
        <v>455</v>
      </c>
      <c r="G164" s="6" t="s">
        <v>73</v>
      </c>
      <c r="H164" s="6" t="s">
        <v>456</v>
      </c>
      <c r="I164" s="6" t="s">
        <v>397</v>
      </c>
      <c r="J164" s="7"/>
      <c r="K164" s="7"/>
      <c r="L164" s="4"/>
      <c r="M164" s="4"/>
      <c r="N164" s="4"/>
      <c r="O164" s="4"/>
      <c r="P164" s="4"/>
      <c r="Q164" s="4"/>
      <c r="R164" s="4"/>
      <c r="S164" s="4"/>
      <c r="T164" s="4"/>
      <c r="U164" s="4"/>
      <c r="V164" s="4"/>
      <c r="W164" s="4"/>
    </row>
    <row r="165">
      <c r="A165" s="5">
        <f t="shared" si="3"/>
        <v>161</v>
      </c>
      <c r="B165" s="25" t="s">
        <v>114</v>
      </c>
      <c r="C165" s="26">
        <v>7.7000250463E10</v>
      </c>
      <c r="D165" s="6" t="s">
        <v>13</v>
      </c>
      <c r="E165" s="6" t="s">
        <v>457</v>
      </c>
      <c r="F165" s="7"/>
      <c r="G165" s="6" t="s">
        <v>73</v>
      </c>
      <c r="H165" s="27" t="s">
        <v>458</v>
      </c>
      <c r="I165" s="26" t="s">
        <v>459</v>
      </c>
      <c r="J165" s="7"/>
      <c r="K165" s="7"/>
      <c r="L165" s="4"/>
      <c r="M165" s="4"/>
      <c r="N165" s="4"/>
      <c r="O165" s="4"/>
      <c r="P165" s="4"/>
      <c r="Q165" s="4"/>
      <c r="R165" s="4"/>
      <c r="S165" s="4"/>
      <c r="T165" s="4"/>
      <c r="U165" s="4"/>
      <c r="V165" s="4"/>
      <c r="W165" s="4"/>
    </row>
    <row r="166">
      <c r="A166" s="5">
        <f t="shared" si="3"/>
        <v>162</v>
      </c>
      <c r="B166" s="25" t="s">
        <v>114</v>
      </c>
      <c r="C166" s="26">
        <v>7.7000257119E10</v>
      </c>
      <c r="D166" s="6" t="s">
        <v>83</v>
      </c>
      <c r="E166" s="6" t="s">
        <v>460</v>
      </c>
      <c r="F166" s="6" t="s">
        <v>461</v>
      </c>
      <c r="G166" s="6" t="s">
        <v>462</v>
      </c>
      <c r="H166" s="6" t="s">
        <v>463</v>
      </c>
      <c r="I166" s="6" t="s">
        <v>397</v>
      </c>
      <c r="J166" s="7"/>
      <c r="K166" s="7"/>
      <c r="L166" s="4"/>
      <c r="M166" s="4"/>
      <c r="N166" s="4"/>
      <c r="O166" s="4"/>
      <c r="P166" s="4"/>
      <c r="Q166" s="4"/>
      <c r="R166" s="4"/>
      <c r="S166" s="4"/>
      <c r="T166" s="4"/>
      <c r="U166" s="4"/>
      <c r="V166" s="4"/>
      <c r="W166" s="4"/>
    </row>
    <row r="167">
      <c r="A167" s="5">
        <f t="shared" si="3"/>
        <v>163</v>
      </c>
      <c r="B167" s="25" t="s">
        <v>114</v>
      </c>
      <c r="C167" s="26">
        <v>7.792147183E9</v>
      </c>
      <c r="D167" s="6" t="s">
        <v>78</v>
      </c>
      <c r="E167" s="6" t="s">
        <v>464</v>
      </c>
      <c r="F167" s="6" t="s">
        <v>465</v>
      </c>
      <c r="G167" s="6" t="s">
        <v>466</v>
      </c>
      <c r="H167" s="6" t="s">
        <v>467</v>
      </c>
      <c r="I167" s="6" t="s">
        <v>468</v>
      </c>
      <c r="J167" s="7"/>
      <c r="K167" s="7"/>
      <c r="L167" s="4"/>
      <c r="M167" s="4"/>
      <c r="N167" s="4"/>
      <c r="O167" s="4"/>
      <c r="P167" s="4"/>
      <c r="Q167" s="4"/>
      <c r="R167" s="4"/>
      <c r="S167" s="4"/>
      <c r="T167" s="4"/>
      <c r="U167" s="4"/>
      <c r="V167" s="4"/>
      <c r="W167" s="4"/>
    </row>
    <row r="168">
      <c r="A168" s="5">
        <f t="shared" si="3"/>
        <v>164</v>
      </c>
      <c r="B168" s="25" t="s">
        <v>202</v>
      </c>
      <c r="C168" s="11">
        <v>7.7000245372E10</v>
      </c>
      <c r="D168" s="6" t="s">
        <v>13</v>
      </c>
      <c r="E168" s="6" t="s">
        <v>469</v>
      </c>
      <c r="F168" s="6" t="s">
        <v>470</v>
      </c>
      <c r="G168" s="6" t="s">
        <v>31</v>
      </c>
      <c r="H168" s="6" t="s">
        <v>471</v>
      </c>
      <c r="I168" s="7"/>
      <c r="J168" s="7"/>
      <c r="K168" s="7"/>
      <c r="L168" s="4"/>
      <c r="M168" s="4"/>
      <c r="N168" s="4"/>
      <c r="O168" s="4"/>
      <c r="P168" s="4"/>
      <c r="Q168" s="4"/>
      <c r="R168" s="4"/>
      <c r="S168" s="4"/>
      <c r="T168" s="4"/>
      <c r="U168" s="4"/>
      <c r="V168" s="4"/>
      <c r="W168" s="4"/>
    </row>
    <row r="169">
      <c r="A169" s="5">
        <f t="shared" si="3"/>
        <v>165</v>
      </c>
      <c r="B169" s="25" t="s">
        <v>114</v>
      </c>
      <c r="C169" s="26">
        <v>7.7000198904E10</v>
      </c>
      <c r="D169" s="6" t="s">
        <v>13</v>
      </c>
      <c r="E169" s="6" t="s">
        <v>472</v>
      </c>
      <c r="F169" s="7"/>
      <c r="G169" s="7"/>
      <c r="H169" s="7"/>
      <c r="I169" s="7"/>
      <c r="J169" s="33" t="s">
        <v>337</v>
      </c>
      <c r="K169" s="7"/>
      <c r="L169" s="4"/>
      <c r="M169" s="4"/>
      <c r="N169" s="4"/>
      <c r="O169" s="4"/>
      <c r="P169" s="4"/>
      <c r="Q169" s="4"/>
      <c r="R169" s="4"/>
      <c r="S169" s="4"/>
      <c r="T169" s="4"/>
      <c r="U169" s="4"/>
      <c r="V169" s="4"/>
      <c r="W169" s="4"/>
    </row>
    <row r="170">
      <c r="A170" s="5">
        <f t="shared" si="3"/>
        <v>166</v>
      </c>
      <c r="B170" s="25" t="s">
        <v>202</v>
      </c>
      <c r="C170" s="26">
        <v>7.7000245023E10</v>
      </c>
      <c r="D170" s="6" t="s">
        <v>473</v>
      </c>
      <c r="E170" s="6" t="s">
        <v>474</v>
      </c>
      <c r="F170" s="7"/>
      <c r="G170" s="7"/>
      <c r="H170" s="7"/>
      <c r="I170" s="7"/>
      <c r="J170" s="33" t="s">
        <v>337</v>
      </c>
      <c r="K170" s="7"/>
      <c r="L170" s="4"/>
      <c r="M170" s="4"/>
      <c r="N170" s="4"/>
      <c r="O170" s="4"/>
      <c r="P170" s="4"/>
      <c r="Q170" s="4"/>
      <c r="R170" s="4"/>
      <c r="S170" s="4"/>
      <c r="T170" s="4"/>
      <c r="U170" s="4"/>
      <c r="V170" s="4"/>
      <c r="W170" s="4"/>
    </row>
    <row r="171">
      <c r="A171" s="5">
        <f t="shared" si="3"/>
        <v>167</v>
      </c>
      <c r="B171" s="25" t="s">
        <v>202</v>
      </c>
      <c r="C171" s="26">
        <v>7.792141984E9</v>
      </c>
      <c r="D171" s="6" t="s">
        <v>475</v>
      </c>
      <c r="E171" s="6" t="s">
        <v>476</v>
      </c>
      <c r="F171" s="7"/>
      <c r="G171" s="7"/>
      <c r="H171" s="7"/>
      <c r="I171" s="7"/>
      <c r="J171" s="33" t="s">
        <v>337</v>
      </c>
      <c r="K171" s="7"/>
      <c r="L171" s="4"/>
      <c r="M171" s="4"/>
      <c r="N171" s="4"/>
      <c r="O171" s="4"/>
      <c r="P171" s="4"/>
      <c r="Q171" s="4"/>
      <c r="R171" s="4"/>
      <c r="S171" s="4"/>
      <c r="T171" s="4"/>
      <c r="U171" s="4"/>
      <c r="V171" s="4"/>
      <c r="W171" s="4"/>
    </row>
    <row r="172">
      <c r="A172" s="5">
        <f t="shared" si="3"/>
        <v>168</v>
      </c>
      <c r="B172" s="25" t="s">
        <v>202</v>
      </c>
      <c r="C172" s="26">
        <v>7.7000213896E10</v>
      </c>
      <c r="D172" s="6" t="s">
        <v>21</v>
      </c>
      <c r="E172" s="6" t="s">
        <v>477</v>
      </c>
      <c r="F172" s="7"/>
      <c r="G172" s="7"/>
      <c r="H172" s="7"/>
      <c r="I172" s="7"/>
      <c r="J172" s="7"/>
      <c r="K172" s="7"/>
      <c r="L172" s="4"/>
      <c r="M172" s="4"/>
      <c r="N172" s="4"/>
      <c r="O172" s="4"/>
      <c r="P172" s="4"/>
      <c r="Q172" s="4"/>
      <c r="R172" s="4"/>
      <c r="S172" s="4"/>
      <c r="T172" s="4"/>
      <c r="U172" s="4"/>
      <c r="V172" s="4"/>
      <c r="W172" s="4"/>
    </row>
    <row r="173">
      <c r="A173" s="5">
        <f t="shared" si="3"/>
        <v>169</v>
      </c>
      <c r="B173" s="25" t="s">
        <v>11</v>
      </c>
      <c r="C173" s="26">
        <v>7.7000248652E10</v>
      </c>
      <c r="D173" s="6" t="s">
        <v>83</v>
      </c>
      <c r="E173" s="6" t="s">
        <v>478</v>
      </c>
      <c r="F173" s="6" t="s">
        <v>479</v>
      </c>
      <c r="G173" s="6" t="s">
        <v>24</v>
      </c>
      <c r="H173" s="6" t="s">
        <v>480</v>
      </c>
      <c r="I173" s="7"/>
      <c r="J173" s="7"/>
      <c r="K173" s="7"/>
      <c r="L173" s="4"/>
      <c r="M173" s="4"/>
      <c r="N173" s="4"/>
      <c r="O173" s="4"/>
      <c r="P173" s="4"/>
      <c r="Q173" s="4"/>
      <c r="R173" s="4"/>
      <c r="S173" s="4"/>
      <c r="T173" s="4"/>
      <c r="U173" s="4"/>
      <c r="V173" s="4"/>
      <c r="W173" s="4"/>
    </row>
    <row r="174">
      <c r="A174" s="5">
        <f t="shared" si="3"/>
        <v>170</v>
      </c>
      <c r="B174" s="25" t="s">
        <v>202</v>
      </c>
      <c r="C174" s="29"/>
      <c r="D174" s="6" t="s">
        <v>21</v>
      </c>
      <c r="E174" s="6" t="s">
        <v>481</v>
      </c>
      <c r="F174" s="7"/>
      <c r="G174" s="7"/>
      <c r="H174" s="7"/>
      <c r="I174" s="7"/>
      <c r="J174" s="33" t="s">
        <v>337</v>
      </c>
      <c r="K174" s="7"/>
      <c r="L174" s="4"/>
      <c r="M174" s="4"/>
      <c r="N174" s="4"/>
      <c r="O174" s="4"/>
      <c r="P174" s="4"/>
      <c r="Q174" s="4"/>
      <c r="R174" s="4"/>
      <c r="S174" s="4"/>
      <c r="T174" s="4"/>
      <c r="U174" s="4"/>
      <c r="V174" s="4"/>
      <c r="W174" s="4"/>
    </row>
    <row r="175">
      <c r="A175" s="5">
        <f t="shared" si="3"/>
        <v>171</v>
      </c>
      <c r="B175" s="25" t="s">
        <v>114</v>
      </c>
      <c r="C175" s="26">
        <v>7.7000258924E10</v>
      </c>
      <c r="D175" s="6" t="s">
        <v>473</v>
      </c>
      <c r="E175" s="6" t="s">
        <v>482</v>
      </c>
      <c r="F175" s="6" t="s">
        <v>483</v>
      </c>
      <c r="G175" s="6" t="s">
        <v>484</v>
      </c>
      <c r="H175" s="6" t="s">
        <v>485</v>
      </c>
      <c r="I175" s="6" t="s">
        <v>486</v>
      </c>
      <c r="J175" s="7"/>
      <c r="K175" s="7"/>
      <c r="L175" s="4"/>
      <c r="M175" s="4"/>
      <c r="N175" s="4"/>
      <c r="O175" s="4"/>
      <c r="P175" s="4"/>
      <c r="Q175" s="4"/>
      <c r="R175" s="4"/>
      <c r="S175" s="4"/>
      <c r="T175" s="4"/>
      <c r="U175" s="4"/>
      <c r="V175" s="4"/>
      <c r="W175" s="4"/>
    </row>
    <row r="176">
      <c r="A176" s="5">
        <f t="shared" si="3"/>
        <v>172</v>
      </c>
      <c r="B176" s="25" t="s">
        <v>202</v>
      </c>
      <c r="C176" s="6">
        <v>7.7000213356E10</v>
      </c>
      <c r="D176" s="6" t="s">
        <v>487</v>
      </c>
      <c r="E176" s="6" t="s">
        <v>488</v>
      </c>
      <c r="F176" s="7"/>
      <c r="G176" s="7"/>
      <c r="H176" s="7"/>
      <c r="I176" s="7"/>
      <c r="J176" s="33" t="s">
        <v>337</v>
      </c>
      <c r="K176" s="7"/>
      <c r="L176" s="4"/>
      <c r="M176" s="4"/>
      <c r="N176" s="4"/>
      <c r="O176" s="4"/>
      <c r="P176" s="4"/>
      <c r="Q176" s="4"/>
      <c r="R176" s="4"/>
      <c r="S176" s="4"/>
      <c r="T176" s="4"/>
      <c r="U176" s="4"/>
      <c r="V176" s="4"/>
      <c r="W176" s="4"/>
    </row>
    <row r="177">
      <c r="A177" s="5"/>
      <c r="B177" s="25"/>
      <c r="C177" s="6">
        <v>7.7000213356E10</v>
      </c>
      <c r="D177" s="6" t="s">
        <v>487</v>
      </c>
      <c r="E177" s="6" t="s">
        <v>489</v>
      </c>
      <c r="F177" s="7"/>
      <c r="G177" s="7"/>
      <c r="H177" s="7"/>
      <c r="I177" s="7"/>
      <c r="J177" s="33"/>
      <c r="K177" s="7"/>
      <c r="L177" s="4"/>
      <c r="M177" s="4"/>
      <c r="N177" s="4"/>
      <c r="O177" s="4"/>
      <c r="P177" s="4"/>
      <c r="Q177" s="4"/>
      <c r="R177" s="4"/>
      <c r="S177" s="4"/>
      <c r="T177" s="4"/>
      <c r="U177" s="4"/>
      <c r="V177" s="4"/>
      <c r="W177" s="4"/>
    </row>
    <row r="178">
      <c r="A178" s="5">
        <f>A176+1</f>
        <v>173</v>
      </c>
      <c r="B178" s="25" t="s">
        <v>11</v>
      </c>
      <c r="C178" s="26" t="s">
        <v>490</v>
      </c>
      <c r="D178" s="6" t="s">
        <v>78</v>
      </c>
      <c r="E178" s="6" t="s">
        <v>432</v>
      </c>
      <c r="F178" s="6" t="s">
        <v>433</v>
      </c>
      <c r="G178" s="6" t="s">
        <v>371</v>
      </c>
      <c r="H178" s="6" t="s">
        <v>491</v>
      </c>
      <c r="I178" s="7"/>
      <c r="J178" s="33"/>
      <c r="K178" s="7"/>
      <c r="L178" s="4"/>
      <c r="M178" s="4"/>
      <c r="N178" s="4"/>
      <c r="O178" s="4"/>
      <c r="P178" s="4"/>
      <c r="Q178" s="4"/>
      <c r="R178" s="4"/>
      <c r="S178" s="4"/>
      <c r="T178" s="4"/>
      <c r="U178" s="4"/>
      <c r="V178" s="4"/>
      <c r="W178" s="4"/>
    </row>
    <row r="179">
      <c r="A179" s="5">
        <f t="shared" ref="A179:A192" si="5">A178+1</f>
        <v>174</v>
      </c>
      <c r="B179" s="25" t="s">
        <v>11</v>
      </c>
      <c r="C179" s="26" t="s">
        <v>492</v>
      </c>
      <c r="D179" s="6" t="s">
        <v>78</v>
      </c>
      <c r="E179" s="6" t="s">
        <v>432</v>
      </c>
      <c r="F179" s="6" t="s">
        <v>433</v>
      </c>
      <c r="G179" s="6" t="s">
        <v>371</v>
      </c>
      <c r="H179" s="6" t="s">
        <v>493</v>
      </c>
      <c r="I179" s="7"/>
      <c r="J179" s="7"/>
      <c r="K179" s="7"/>
      <c r="L179" s="4"/>
      <c r="M179" s="4"/>
      <c r="N179" s="4"/>
      <c r="O179" s="4"/>
      <c r="P179" s="4"/>
      <c r="Q179" s="4"/>
      <c r="R179" s="4"/>
      <c r="S179" s="4"/>
      <c r="T179" s="4"/>
      <c r="U179" s="4"/>
      <c r="V179" s="4"/>
      <c r="W179" s="4"/>
    </row>
    <row r="180">
      <c r="A180" s="5">
        <f t="shared" si="5"/>
        <v>175</v>
      </c>
      <c r="B180" s="25" t="s">
        <v>202</v>
      </c>
      <c r="C180" s="46">
        <v>7.7000218336E10</v>
      </c>
      <c r="D180" s="46" t="s">
        <v>78</v>
      </c>
      <c r="E180" s="46" t="s">
        <v>288</v>
      </c>
      <c r="F180" s="4"/>
      <c r="G180" s="4"/>
      <c r="H180" s="4"/>
      <c r="I180" s="7"/>
      <c r="J180" s="33" t="s">
        <v>337</v>
      </c>
      <c r="K180" s="7"/>
      <c r="L180" s="4"/>
      <c r="M180" s="4"/>
      <c r="N180" s="4"/>
      <c r="O180" s="4"/>
      <c r="P180" s="4"/>
      <c r="Q180" s="4"/>
      <c r="R180" s="4"/>
      <c r="S180" s="4"/>
      <c r="T180" s="4"/>
      <c r="U180" s="4"/>
      <c r="V180" s="4"/>
      <c r="W180" s="4"/>
    </row>
    <row r="181">
      <c r="A181" s="5">
        <f t="shared" si="5"/>
        <v>176</v>
      </c>
      <c r="B181" s="25" t="s">
        <v>202</v>
      </c>
      <c r="C181" s="6">
        <v>7.7000229728E10</v>
      </c>
      <c r="D181" s="46" t="s">
        <v>78</v>
      </c>
      <c r="E181" s="6" t="s">
        <v>494</v>
      </c>
      <c r="F181" s="7"/>
      <c r="G181" s="7"/>
      <c r="H181" s="7"/>
      <c r="I181" s="7"/>
      <c r="J181" s="33" t="s">
        <v>337</v>
      </c>
      <c r="K181" s="7"/>
      <c r="L181" s="4"/>
      <c r="M181" s="4"/>
      <c r="N181" s="4"/>
      <c r="O181" s="4"/>
      <c r="P181" s="4"/>
      <c r="Q181" s="4"/>
      <c r="R181" s="4"/>
      <c r="S181" s="4"/>
      <c r="T181" s="4"/>
      <c r="U181" s="4"/>
      <c r="V181" s="4"/>
      <c r="W181" s="4"/>
    </row>
    <row r="182">
      <c r="A182" s="5">
        <f t="shared" si="5"/>
        <v>177</v>
      </c>
      <c r="B182" s="25" t="s">
        <v>114</v>
      </c>
      <c r="C182" s="6" t="s">
        <v>495</v>
      </c>
      <c r="D182" s="6" t="s">
        <v>13</v>
      </c>
      <c r="E182" s="6" t="s">
        <v>496</v>
      </c>
      <c r="F182" s="6" t="s">
        <v>497</v>
      </c>
      <c r="G182" s="6" t="s">
        <v>73</v>
      </c>
      <c r="H182" s="6" t="s">
        <v>498</v>
      </c>
      <c r="I182" s="6" t="s">
        <v>499</v>
      </c>
      <c r="J182" s="7"/>
      <c r="K182" s="7"/>
      <c r="L182" s="4"/>
      <c r="M182" s="4"/>
      <c r="N182" s="4"/>
      <c r="O182" s="4"/>
      <c r="P182" s="4"/>
      <c r="Q182" s="4"/>
      <c r="R182" s="4"/>
      <c r="S182" s="4"/>
      <c r="T182" s="4"/>
      <c r="U182" s="4"/>
      <c r="V182" s="4"/>
      <c r="W182" s="4"/>
    </row>
    <row r="183">
      <c r="A183" s="5">
        <f t="shared" si="5"/>
        <v>178</v>
      </c>
      <c r="B183" s="25" t="s">
        <v>114</v>
      </c>
      <c r="C183" s="6">
        <v>7.7000261964E10</v>
      </c>
      <c r="D183" s="6" t="s">
        <v>78</v>
      </c>
      <c r="E183" s="6" t="s">
        <v>500</v>
      </c>
      <c r="F183" s="6" t="s">
        <v>501</v>
      </c>
      <c r="G183" s="6" t="s">
        <v>371</v>
      </c>
      <c r="H183" s="6" t="s">
        <v>502</v>
      </c>
      <c r="I183" s="6" t="s">
        <v>373</v>
      </c>
      <c r="J183" s="7"/>
      <c r="K183" s="7"/>
      <c r="L183" s="4"/>
      <c r="M183" s="4"/>
      <c r="N183" s="4"/>
      <c r="O183" s="4"/>
      <c r="P183" s="4"/>
      <c r="Q183" s="4"/>
      <c r="R183" s="4"/>
      <c r="S183" s="4"/>
      <c r="T183" s="4"/>
      <c r="U183" s="4"/>
      <c r="V183" s="4"/>
      <c r="W183" s="4"/>
    </row>
    <row r="184">
      <c r="A184" s="5">
        <f t="shared" si="5"/>
        <v>179</v>
      </c>
      <c r="B184" s="25" t="s">
        <v>114</v>
      </c>
      <c r="C184" s="6">
        <v>7.7000216831E10</v>
      </c>
      <c r="D184" s="6" t="s">
        <v>13</v>
      </c>
      <c r="E184" s="6" t="s">
        <v>503</v>
      </c>
      <c r="F184" s="6" t="s">
        <v>504</v>
      </c>
      <c r="G184" s="6" t="s">
        <v>505</v>
      </c>
      <c r="H184" s="6" t="s">
        <v>506</v>
      </c>
      <c r="I184" s="6" t="s">
        <v>373</v>
      </c>
      <c r="J184" s="7"/>
      <c r="K184" s="7"/>
      <c r="L184" s="4"/>
      <c r="M184" s="4"/>
      <c r="N184" s="4"/>
      <c r="O184" s="4"/>
      <c r="P184" s="4"/>
      <c r="Q184" s="4"/>
      <c r="R184" s="4"/>
      <c r="S184" s="4"/>
      <c r="T184" s="4"/>
      <c r="U184" s="4"/>
      <c r="V184" s="4"/>
      <c r="W184" s="4"/>
    </row>
    <row r="185">
      <c r="A185" s="5">
        <f t="shared" si="5"/>
        <v>180</v>
      </c>
      <c r="B185" s="25" t="s">
        <v>114</v>
      </c>
      <c r="C185" s="6">
        <v>7.7000258258E10</v>
      </c>
      <c r="D185" s="6" t="s">
        <v>13</v>
      </c>
      <c r="E185" s="6" t="s">
        <v>507</v>
      </c>
      <c r="F185" s="7"/>
      <c r="G185" s="6" t="s">
        <v>508</v>
      </c>
      <c r="H185" s="6" t="s">
        <v>509</v>
      </c>
      <c r="I185" s="6" t="s">
        <v>373</v>
      </c>
      <c r="J185" s="7"/>
      <c r="K185" s="7"/>
      <c r="L185" s="4"/>
      <c r="M185" s="4"/>
      <c r="N185" s="4"/>
      <c r="O185" s="4"/>
      <c r="P185" s="4"/>
      <c r="Q185" s="4"/>
      <c r="R185" s="4"/>
      <c r="S185" s="4"/>
      <c r="T185" s="4"/>
      <c r="U185" s="4"/>
      <c r="V185" s="4"/>
      <c r="W185" s="4"/>
    </row>
    <row r="186">
      <c r="A186" s="5">
        <f t="shared" si="5"/>
        <v>181</v>
      </c>
      <c r="B186" s="25" t="s">
        <v>11</v>
      </c>
      <c r="C186" s="6" t="s">
        <v>510</v>
      </c>
      <c r="D186" s="6" t="s">
        <v>13</v>
      </c>
      <c r="E186" s="6" t="s">
        <v>511</v>
      </c>
      <c r="F186" s="7"/>
      <c r="G186" s="6" t="s">
        <v>512</v>
      </c>
      <c r="H186" s="6" t="s">
        <v>513</v>
      </c>
      <c r="I186" s="6" t="s">
        <v>514</v>
      </c>
      <c r="J186" s="7"/>
      <c r="K186" s="7"/>
      <c r="L186" s="4"/>
      <c r="M186" s="4"/>
      <c r="N186" s="4"/>
      <c r="O186" s="4"/>
      <c r="P186" s="4"/>
      <c r="Q186" s="4"/>
      <c r="R186" s="4"/>
      <c r="S186" s="4"/>
      <c r="T186" s="4"/>
      <c r="U186" s="4"/>
      <c r="V186" s="4"/>
      <c r="W186" s="4"/>
    </row>
    <row r="187">
      <c r="A187" s="5">
        <f t="shared" si="5"/>
        <v>182</v>
      </c>
      <c r="B187" s="25" t="s">
        <v>11</v>
      </c>
      <c r="C187" s="6">
        <v>7.7000253356E10</v>
      </c>
      <c r="D187" s="6" t="s">
        <v>49</v>
      </c>
      <c r="E187" s="6" t="s">
        <v>515</v>
      </c>
      <c r="F187" s="6" t="s">
        <v>516</v>
      </c>
      <c r="G187" s="6" t="s">
        <v>517</v>
      </c>
      <c r="H187" s="6" t="s">
        <v>518</v>
      </c>
      <c r="I187" s="6" t="s">
        <v>519</v>
      </c>
      <c r="J187" s="7"/>
      <c r="K187" s="7"/>
      <c r="L187" s="4"/>
      <c r="M187" s="4"/>
      <c r="N187" s="4"/>
      <c r="O187" s="4"/>
      <c r="P187" s="4"/>
      <c r="Q187" s="4"/>
      <c r="R187" s="4"/>
      <c r="S187" s="4"/>
      <c r="T187" s="4"/>
      <c r="U187" s="4"/>
      <c r="V187" s="4"/>
      <c r="W187" s="4"/>
    </row>
    <row r="188">
      <c r="A188" s="5">
        <f t="shared" si="5"/>
        <v>183</v>
      </c>
      <c r="B188" s="25" t="s">
        <v>11</v>
      </c>
      <c r="C188" s="6" t="s">
        <v>520</v>
      </c>
      <c r="D188" s="6" t="s">
        <v>13</v>
      </c>
      <c r="E188" s="6" t="s">
        <v>511</v>
      </c>
      <c r="F188" s="7"/>
      <c r="G188" s="6" t="s">
        <v>512</v>
      </c>
      <c r="H188" s="6" t="s">
        <v>521</v>
      </c>
      <c r="I188" s="6" t="s">
        <v>514</v>
      </c>
      <c r="J188" s="7"/>
      <c r="K188" s="7"/>
      <c r="L188" s="4"/>
      <c r="M188" s="4"/>
      <c r="N188" s="4"/>
      <c r="O188" s="4"/>
      <c r="P188" s="4"/>
      <c r="Q188" s="4"/>
      <c r="R188" s="4"/>
      <c r="S188" s="4"/>
      <c r="T188" s="4"/>
      <c r="U188" s="4"/>
      <c r="V188" s="4"/>
      <c r="W188" s="4"/>
    </row>
    <row r="189">
      <c r="A189" s="5">
        <f t="shared" si="5"/>
        <v>184</v>
      </c>
      <c r="B189" s="25" t="s">
        <v>11</v>
      </c>
      <c r="C189" s="6" t="s">
        <v>522</v>
      </c>
      <c r="D189" s="6" t="s">
        <v>13</v>
      </c>
      <c r="E189" s="6" t="s">
        <v>511</v>
      </c>
      <c r="F189" s="7"/>
      <c r="G189" s="6" t="s">
        <v>512</v>
      </c>
      <c r="H189" s="6" t="s">
        <v>523</v>
      </c>
      <c r="I189" s="6" t="s">
        <v>514</v>
      </c>
      <c r="J189" s="7"/>
      <c r="K189" s="7"/>
      <c r="L189" s="4"/>
      <c r="M189" s="4"/>
      <c r="N189" s="4"/>
      <c r="O189" s="4"/>
      <c r="P189" s="4"/>
      <c r="Q189" s="4"/>
      <c r="R189" s="4"/>
      <c r="S189" s="4"/>
      <c r="T189" s="4"/>
      <c r="U189" s="4"/>
      <c r="V189" s="4"/>
      <c r="W189" s="4"/>
    </row>
    <row r="190">
      <c r="A190" s="5">
        <f t="shared" si="5"/>
        <v>185</v>
      </c>
      <c r="B190" s="25" t="s">
        <v>11</v>
      </c>
      <c r="C190" s="6">
        <v>3.64010451442E11</v>
      </c>
      <c r="D190" s="6" t="s">
        <v>13</v>
      </c>
      <c r="E190" s="6" t="s">
        <v>524</v>
      </c>
      <c r="F190" s="6" t="s">
        <v>525</v>
      </c>
      <c r="G190" s="6" t="s">
        <v>24</v>
      </c>
      <c r="H190" s="6" t="s">
        <v>526</v>
      </c>
      <c r="I190" s="6" t="s">
        <v>527</v>
      </c>
      <c r="J190" s="7"/>
      <c r="K190" s="7"/>
      <c r="L190" s="4"/>
      <c r="M190" s="4"/>
      <c r="N190" s="4"/>
      <c r="O190" s="4"/>
      <c r="P190" s="4"/>
      <c r="Q190" s="4"/>
      <c r="R190" s="4"/>
      <c r="S190" s="4"/>
      <c r="T190" s="4"/>
      <c r="U190" s="4"/>
      <c r="V190" s="4"/>
      <c r="W190" s="4"/>
    </row>
    <row r="191">
      <c r="A191" s="5">
        <f t="shared" si="5"/>
        <v>186</v>
      </c>
      <c r="B191" s="25" t="s">
        <v>114</v>
      </c>
      <c r="C191" s="6" t="s">
        <v>528</v>
      </c>
      <c r="D191" s="6" t="s">
        <v>78</v>
      </c>
      <c r="E191" s="6" t="s">
        <v>529</v>
      </c>
      <c r="F191" s="7"/>
      <c r="G191" s="6" t="s">
        <v>16</v>
      </c>
      <c r="H191" s="6" t="s">
        <v>530</v>
      </c>
      <c r="I191" s="6" t="s">
        <v>373</v>
      </c>
      <c r="J191" s="7"/>
      <c r="K191" s="7"/>
      <c r="L191" s="4"/>
      <c r="M191" s="4"/>
      <c r="N191" s="4"/>
      <c r="O191" s="4"/>
      <c r="P191" s="4"/>
      <c r="Q191" s="4"/>
      <c r="R191" s="4"/>
      <c r="S191" s="4"/>
      <c r="T191" s="4"/>
      <c r="U191" s="4"/>
      <c r="V191" s="4"/>
      <c r="W191" s="4"/>
    </row>
    <row r="192">
      <c r="A192" s="5">
        <f t="shared" si="5"/>
        <v>187</v>
      </c>
      <c r="B192" s="25" t="s">
        <v>202</v>
      </c>
      <c r="C192" s="49">
        <v>7.792141984E9</v>
      </c>
      <c r="D192" s="7"/>
      <c r="E192" s="6" t="s">
        <v>531</v>
      </c>
      <c r="F192" s="7"/>
      <c r="G192" s="7"/>
      <c r="H192" s="6"/>
      <c r="I192" s="7"/>
      <c r="J192" s="7"/>
      <c r="K192" s="7"/>
      <c r="L192" s="4"/>
      <c r="M192" s="4"/>
      <c r="N192" s="4"/>
      <c r="O192" s="4"/>
      <c r="P192" s="4"/>
      <c r="Q192" s="4"/>
      <c r="R192" s="4"/>
      <c r="S192" s="4"/>
      <c r="T192" s="4"/>
      <c r="U192" s="4"/>
      <c r="V192" s="4"/>
      <c r="W192" s="4"/>
    </row>
    <row r="193">
      <c r="A193" s="5">
        <v>188.0</v>
      </c>
      <c r="B193" s="25" t="s">
        <v>114</v>
      </c>
      <c r="C193" s="6">
        <v>7.7000258336E10</v>
      </c>
      <c r="D193" s="6" t="s">
        <v>49</v>
      </c>
      <c r="E193" s="6" t="s">
        <v>532</v>
      </c>
      <c r="F193" s="6" t="s">
        <v>533</v>
      </c>
      <c r="G193" s="6" t="s">
        <v>534</v>
      </c>
      <c r="H193" s="6" t="s">
        <v>535</v>
      </c>
      <c r="I193" s="6" t="s">
        <v>373</v>
      </c>
      <c r="J193" s="7"/>
      <c r="K193" s="7"/>
      <c r="L193" s="4"/>
      <c r="M193" s="4"/>
      <c r="N193" s="4"/>
      <c r="O193" s="4"/>
      <c r="P193" s="4"/>
      <c r="Q193" s="4"/>
      <c r="R193" s="4"/>
      <c r="S193" s="4"/>
      <c r="T193" s="4"/>
      <c r="U193" s="4"/>
      <c r="V193" s="4"/>
      <c r="W193" s="4"/>
    </row>
    <row r="194">
      <c r="A194" s="5">
        <f t="shared" ref="A194:A215" si="6">A193+1</f>
        <v>189</v>
      </c>
      <c r="B194" s="25" t="s">
        <v>114</v>
      </c>
      <c r="C194" s="6">
        <v>7.700026405E10</v>
      </c>
      <c r="D194" s="6" t="s">
        <v>49</v>
      </c>
      <c r="E194" s="6" t="s">
        <v>536</v>
      </c>
      <c r="F194" s="6" t="s">
        <v>537</v>
      </c>
      <c r="G194" s="6" t="s">
        <v>538</v>
      </c>
      <c r="H194" s="6" t="s">
        <v>539</v>
      </c>
      <c r="I194" s="6" t="s">
        <v>373</v>
      </c>
      <c r="J194" s="7"/>
      <c r="K194" s="7"/>
      <c r="L194" s="4"/>
      <c r="M194" s="4"/>
      <c r="N194" s="4"/>
      <c r="O194" s="4"/>
      <c r="P194" s="4"/>
      <c r="Q194" s="4"/>
      <c r="R194" s="4"/>
      <c r="S194" s="4"/>
      <c r="T194" s="4"/>
      <c r="U194" s="4"/>
      <c r="V194" s="4"/>
      <c r="W194" s="4"/>
    </row>
    <row r="195">
      <c r="A195" s="5">
        <f t="shared" si="6"/>
        <v>190</v>
      </c>
      <c r="B195" s="25" t="s">
        <v>114</v>
      </c>
      <c r="C195" s="6">
        <v>7.792145461E9</v>
      </c>
      <c r="D195" s="6" t="s">
        <v>13</v>
      </c>
      <c r="E195" s="6" t="s">
        <v>540</v>
      </c>
      <c r="F195" s="6" t="s">
        <v>541</v>
      </c>
      <c r="G195" s="7"/>
      <c r="H195" s="7"/>
      <c r="I195" s="7"/>
      <c r="J195" s="33" t="s">
        <v>337</v>
      </c>
      <c r="K195" s="7"/>
      <c r="L195" s="4"/>
      <c r="M195" s="4"/>
      <c r="N195" s="4"/>
      <c r="O195" s="4"/>
      <c r="P195" s="4"/>
      <c r="Q195" s="4"/>
      <c r="R195" s="4"/>
      <c r="S195" s="4"/>
      <c r="T195" s="4"/>
      <c r="U195" s="4"/>
      <c r="V195" s="4"/>
      <c r="W195" s="4"/>
    </row>
    <row r="196">
      <c r="A196" s="5">
        <f t="shared" si="6"/>
        <v>191</v>
      </c>
      <c r="B196" s="25" t="s">
        <v>202</v>
      </c>
      <c r="C196" s="6">
        <v>7.7000177489E10</v>
      </c>
      <c r="D196" s="6" t="s">
        <v>542</v>
      </c>
      <c r="E196" s="6" t="s">
        <v>543</v>
      </c>
      <c r="F196" s="7"/>
      <c r="G196" s="7"/>
      <c r="H196" s="7"/>
      <c r="I196" s="7"/>
      <c r="J196" s="33" t="s">
        <v>337</v>
      </c>
      <c r="K196" s="7"/>
      <c r="L196" s="4"/>
      <c r="M196" s="4"/>
      <c r="N196" s="4"/>
      <c r="O196" s="4"/>
      <c r="P196" s="4"/>
      <c r="Q196" s="4"/>
      <c r="R196" s="4"/>
      <c r="S196" s="4"/>
      <c r="T196" s="4"/>
      <c r="U196" s="4"/>
      <c r="V196" s="4"/>
      <c r="W196" s="4"/>
    </row>
    <row r="197">
      <c r="A197" s="5">
        <f t="shared" si="6"/>
        <v>192</v>
      </c>
      <c r="B197" s="25" t="s">
        <v>11</v>
      </c>
      <c r="C197" s="6">
        <v>7.7000263661E10</v>
      </c>
      <c r="D197" s="6" t="s">
        <v>43</v>
      </c>
      <c r="E197" s="6" t="s">
        <v>544</v>
      </c>
      <c r="F197" s="6" t="s">
        <v>545</v>
      </c>
      <c r="G197" s="6" t="s">
        <v>73</v>
      </c>
      <c r="H197" s="6" t="s">
        <v>546</v>
      </c>
      <c r="I197" s="7"/>
      <c r="J197" s="7"/>
      <c r="K197" s="7"/>
      <c r="L197" s="4"/>
      <c r="M197" s="4"/>
      <c r="N197" s="4"/>
      <c r="O197" s="4"/>
      <c r="P197" s="4"/>
      <c r="Q197" s="4"/>
      <c r="R197" s="4"/>
      <c r="S197" s="4"/>
      <c r="T197" s="4"/>
      <c r="U197" s="4"/>
      <c r="V197" s="4"/>
      <c r="W197" s="4"/>
    </row>
    <row r="198">
      <c r="A198" s="5">
        <f t="shared" si="6"/>
        <v>193</v>
      </c>
      <c r="B198" s="25" t="s">
        <v>114</v>
      </c>
      <c r="C198" s="6">
        <v>7.7000266325E10</v>
      </c>
      <c r="D198" s="6" t="s">
        <v>542</v>
      </c>
      <c r="E198" s="46" t="s">
        <v>547</v>
      </c>
      <c r="F198" s="46" t="s">
        <v>548</v>
      </c>
      <c r="G198" s="6" t="s">
        <v>549</v>
      </c>
      <c r="H198" s="6" t="s">
        <v>550</v>
      </c>
      <c r="I198" s="6" t="s">
        <v>551</v>
      </c>
      <c r="J198" s="7"/>
      <c r="K198" s="7"/>
      <c r="L198" s="4"/>
      <c r="M198" s="4"/>
      <c r="N198" s="4"/>
      <c r="O198" s="4"/>
      <c r="P198" s="4"/>
      <c r="Q198" s="4"/>
      <c r="R198" s="4"/>
      <c r="S198" s="4"/>
      <c r="T198" s="4"/>
      <c r="U198" s="4"/>
      <c r="V198" s="4"/>
      <c r="W198" s="4"/>
    </row>
    <row r="199">
      <c r="A199" s="5">
        <f t="shared" si="6"/>
        <v>194</v>
      </c>
      <c r="B199" s="25" t="s">
        <v>114</v>
      </c>
      <c r="C199" s="6">
        <v>7.7000259155E10</v>
      </c>
      <c r="D199" s="6" t="s">
        <v>21</v>
      </c>
      <c r="E199" s="6" t="s">
        <v>552</v>
      </c>
      <c r="F199" s="6" t="s">
        <v>553</v>
      </c>
      <c r="G199" s="6" t="s">
        <v>554</v>
      </c>
      <c r="H199" s="6" t="s">
        <v>555</v>
      </c>
      <c r="I199" s="6" t="s">
        <v>373</v>
      </c>
      <c r="J199" s="7"/>
      <c r="K199" s="7"/>
      <c r="L199" s="4"/>
      <c r="M199" s="4"/>
      <c r="N199" s="4"/>
      <c r="O199" s="4"/>
      <c r="P199" s="4"/>
      <c r="Q199" s="4"/>
      <c r="R199" s="4"/>
      <c r="S199" s="4"/>
      <c r="T199" s="4"/>
      <c r="U199" s="4"/>
      <c r="V199" s="4"/>
      <c r="W199" s="4"/>
    </row>
    <row r="200">
      <c r="A200" s="5">
        <f t="shared" si="6"/>
        <v>195</v>
      </c>
      <c r="B200" s="25" t="s">
        <v>114</v>
      </c>
      <c r="C200" s="50" t="s">
        <v>556</v>
      </c>
      <c r="D200" s="6" t="s">
        <v>26</v>
      </c>
      <c r="E200" s="50" t="s">
        <v>557</v>
      </c>
      <c r="F200" s="7"/>
      <c r="G200" s="6" t="s">
        <v>26</v>
      </c>
      <c r="H200" s="6" t="s">
        <v>558</v>
      </c>
      <c r="I200" s="6" t="s">
        <v>559</v>
      </c>
      <c r="J200" s="6" t="s">
        <v>12</v>
      </c>
      <c r="K200" s="7"/>
      <c r="L200" s="4"/>
      <c r="M200" s="4"/>
      <c r="N200" s="4"/>
      <c r="O200" s="4"/>
      <c r="P200" s="4"/>
      <c r="Q200" s="4"/>
      <c r="R200" s="4"/>
      <c r="S200" s="4"/>
      <c r="T200" s="4"/>
      <c r="U200" s="4"/>
      <c r="V200" s="4"/>
      <c r="W200" s="4"/>
    </row>
    <row r="201">
      <c r="A201" s="5">
        <f t="shared" si="6"/>
        <v>196</v>
      </c>
      <c r="B201" s="25" t="s">
        <v>114</v>
      </c>
      <c r="C201" s="6" t="s">
        <v>560</v>
      </c>
      <c r="D201" s="6" t="s">
        <v>561</v>
      </c>
      <c r="E201" s="6" t="s">
        <v>562</v>
      </c>
      <c r="F201" s="7"/>
      <c r="G201" s="6" t="s">
        <v>26</v>
      </c>
      <c r="H201" s="27" t="s">
        <v>563</v>
      </c>
      <c r="I201" s="6" t="s">
        <v>564</v>
      </c>
      <c r="J201" s="6" t="s">
        <v>12</v>
      </c>
      <c r="K201" s="7"/>
      <c r="L201" s="4"/>
      <c r="M201" s="4"/>
      <c r="N201" s="4"/>
      <c r="O201" s="4"/>
      <c r="P201" s="4"/>
      <c r="Q201" s="4"/>
      <c r="R201" s="4"/>
      <c r="S201" s="4"/>
      <c r="T201" s="4"/>
      <c r="U201" s="4"/>
      <c r="V201" s="4"/>
      <c r="W201" s="4"/>
    </row>
    <row r="202">
      <c r="A202" s="5">
        <f t="shared" si="6"/>
        <v>197</v>
      </c>
      <c r="B202" s="25" t="s">
        <v>114</v>
      </c>
      <c r="C202" s="6">
        <v>7.7000204417E10</v>
      </c>
      <c r="D202" s="6" t="s">
        <v>21</v>
      </c>
      <c r="E202" s="6" t="s">
        <v>565</v>
      </c>
      <c r="F202" s="7"/>
      <c r="G202" s="7"/>
      <c r="H202" s="7"/>
      <c r="I202" s="7"/>
      <c r="J202" s="33" t="s">
        <v>337</v>
      </c>
      <c r="K202" s="7"/>
      <c r="L202" s="4"/>
      <c r="M202" s="4"/>
      <c r="N202" s="4"/>
      <c r="O202" s="4"/>
      <c r="P202" s="4"/>
      <c r="Q202" s="4"/>
      <c r="R202" s="4"/>
      <c r="S202" s="4"/>
      <c r="T202" s="4"/>
      <c r="U202" s="4"/>
      <c r="V202" s="4"/>
      <c r="W202" s="4"/>
    </row>
    <row r="203">
      <c r="A203" s="5">
        <f t="shared" si="6"/>
        <v>198</v>
      </c>
      <c r="B203" s="25" t="s">
        <v>114</v>
      </c>
      <c r="C203" s="6">
        <v>7.792151864E9</v>
      </c>
      <c r="D203" s="6" t="s">
        <v>21</v>
      </c>
      <c r="E203" s="6" t="s">
        <v>566</v>
      </c>
      <c r="F203" s="6" t="s">
        <v>567</v>
      </c>
      <c r="G203" s="6" t="s">
        <v>568</v>
      </c>
      <c r="H203" s="6" t="s">
        <v>569</v>
      </c>
      <c r="I203" s="6" t="s">
        <v>373</v>
      </c>
      <c r="J203" s="7"/>
      <c r="K203" s="6" t="s">
        <v>0</v>
      </c>
      <c r="L203" s="4"/>
      <c r="M203" s="4"/>
      <c r="N203" s="4"/>
      <c r="O203" s="4"/>
      <c r="P203" s="4"/>
      <c r="Q203" s="4"/>
      <c r="R203" s="4"/>
      <c r="S203" s="4"/>
      <c r="T203" s="4"/>
      <c r="U203" s="4"/>
      <c r="V203" s="4"/>
      <c r="W203" s="4"/>
    </row>
    <row r="204">
      <c r="A204" s="5">
        <f t="shared" si="6"/>
        <v>199</v>
      </c>
      <c r="B204" s="25" t="s">
        <v>114</v>
      </c>
      <c r="C204" s="6">
        <v>7.792151866E9</v>
      </c>
      <c r="D204" s="6" t="s">
        <v>382</v>
      </c>
      <c r="E204" s="6" t="s">
        <v>570</v>
      </c>
      <c r="F204" s="6" t="s">
        <v>571</v>
      </c>
      <c r="G204" s="6" t="s">
        <v>73</v>
      </c>
      <c r="H204" s="6" t="s">
        <v>572</v>
      </c>
      <c r="I204" s="6" t="s">
        <v>373</v>
      </c>
      <c r="J204" s="7"/>
      <c r="K204" s="7"/>
      <c r="L204" s="4"/>
      <c r="M204" s="4"/>
      <c r="N204" s="4"/>
      <c r="O204" s="4"/>
      <c r="P204" s="4"/>
      <c r="Q204" s="4"/>
      <c r="R204" s="4"/>
      <c r="S204" s="4"/>
      <c r="T204" s="4"/>
      <c r="U204" s="4"/>
      <c r="V204" s="4"/>
      <c r="W204" s="4"/>
    </row>
    <row r="205">
      <c r="A205" s="5">
        <f t="shared" si="6"/>
        <v>200</v>
      </c>
      <c r="B205" s="25" t="s">
        <v>114</v>
      </c>
      <c r="C205" s="6">
        <v>7.70002602E10</v>
      </c>
      <c r="D205" s="6" t="s">
        <v>13</v>
      </c>
      <c r="E205" s="6" t="s">
        <v>573</v>
      </c>
      <c r="F205" s="6" t="s">
        <v>574</v>
      </c>
      <c r="G205" s="6" t="s">
        <v>575</v>
      </c>
      <c r="H205" s="27" t="s">
        <v>576</v>
      </c>
      <c r="I205" s="6" t="s">
        <v>577</v>
      </c>
      <c r="J205" s="7"/>
      <c r="K205" s="7"/>
      <c r="L205" s="4"/>
      <c r="M205" s="4"/>
      <c r="N205" s="4"/>
      <c r="O205" s="4"/>
      <c r="P205" s="4"/>
      <c r="Q205" s="4"/>
      <c r="R205" s="4"/>
      <c r="S205" s="4"/>
      <c r="T205" s="4"/>
      <c r="U205" s="4"/>
      <c r="V205" s="4"/>
      <c r="W205" s="4"/>
    </row>
    <row r="206">
      <c r="A206" s="5">
        <f t="shared" si="6"/>
        <v>201</v>
      </c>
      <c r="B206" s="25" t="s">
        <v>114</v>
      </c>
      <c r="C206" s="6">
        <v>7.7000240367E10</v>
      </c>
      <c r="D206" s="6" t="s">
        <v>13</v>
      </c>
      <c r="E206" s="6" t="s">
        <v>578</v>
      </c>
      <c r="F206" s="6"/>
      <c r="G206" s="6" t="s">
        <v>16</v>
      </c>
      <c r="H206" s="27" t="s">
        <v>579</v>
      </c>
      <c r="I206" s="6" t="s">
        <v>580</v>
      </c>
      <c r="J206" s="7"/>
      <c r="K206" s="7"/>
      <c r="L206" s="4"/>
      <c r="M206" s="4"/>
      <c r="N206" s="4"/>
      <c r="O206" s="4"/>
      <c r="P206" s="4"/>
      <c r="Q206" s="4"/>
      <c r="R206" s="4"/>
      <c r="S206" s="4"/>
      <c r="T206" s="4"/>
      <c r="U206" s="4"/>
      <c r="V206" s="4"/>
      <c r="W206" s="4"/>
    </row>
    <row r="207">
      <c r="A207" s="5">
        <f t="shared" si="6"/>
        <v>202</v>
      </c>
      <c r="B207" s="25" t="s">
        <v>11</v>
      </c>
      <c r="C207" s="6" t="s">
        <v>581</v>
      </c>
      <c r="D207" s="6" t="s">
        <v>13</v>
      </c>
      <c r="E207" s="6" t="s">
        <v>582</v>
      </c>
      <c r="F207" s="7"/>
      <c r="G207" s="6" t="s">
        <v>26</v>
      </c>
      <c r="H207" s="6" t="s">
        <v>583</v>
      </c>
      <c r="I207" s="7"/>
      <c r="J207" s="7"/>
      <c r="K207" s="7"/>
      <c r="L207" s="4"/>
      <c r="M207" s="4"/>
      <c r="N207" s="4"/>
      <c r="O207" s="4"/>
      <c r="P207" s="4"/>
      <c r="Q207" s="4"/>
      <c r="R207" s="4"/>
      <c r="S207" s="4"/>
      <c r="T207" s="4"/>
      <c r="U207" s="4"/>
      <c r="V207" s="4"/>
      <c r="W207" s="4"/>
    </row>
    <row r="208">
      <c r="A208" s="5">
        <f t="shared" si="6"/>
        <v>203</v>
      </c>
      <c r="B208" s="25" t="s">
        <v>114</v>
      </c>
      <c r="C208" s="6">
        <v>7.7000239652E10</v>
      </c>
      <c r="D208" s="6" t="s">
        <v>542</v>
      </c>
      <c r="E208" s="6" t="s">
        <v>584</v>
      </c>
      <c r="F208" s="7"/>
      <c r="G208" s="7"/>
      <c r="H208" s="7"/>
      <c r="I208" s="7"/>
      <c r="J208" s="33" t="s">
        <v>337</v>
      </c>
      <c r="K208" s="7"/>
      <c r="L208" s="4"/>
      <c r="M208" s="4"/>
      <c r="N208" s="4"/>
      <c r="O208" s="4"/>
      <c r="P208" s="4"/>
      <c r="Q208" s="4"/>
      <c r="R208" s="4"/>
      <c r="S208" s="4"/>
      <c r="T208" s="4"/>
      <c r="U208" s="4"/>
      <c r="V208" s="4"/>
      <c r="W208" s="4"/>
    </row>
    <row r="209">
      <c r="A209" s="5">
        <f t="shared" si="6"/>
        <v>204</v>
      </c>
      <c r="B209" s="25" t="s">
        <v>202</v>
      </c>
      <c r="C209" s="6">
        <v>7.7000206693E10</v>
      </c>
      <c r="D209" s="6" t="s">
        <v>19</v>
      </c>
      <c r="E209" s="6" t="s">
        <v>585</v>
      </c>
      <c r="F209" s="7"/>
      <c r="G209" s="7"/>
      <c r="H209" s="7"/>
      <c r="I209" s="7"/>
      <c r="J209" s="33" t="s">
        <v>337</v>
      </c>
      <c r="K209" s="7"/>
      <c r="L209" s="4"/>
      <c r="M209" s="4"/>
      <c r="N209" s="4"/>
      <c r="O209" s="4"/>
      <c r="P209" s="4"/>
      <c r="Q209" s="4"/>
      <c r="R209" s="4"/>
      <c r="S209" s="4"/>
      <c r="T209" s="4"/>
      <c r="U209" s="4"/>
      <c r="V209" s="4"/>
      <c r="W209" s="4"/>
    </row>
    <row r="210">
      <c r="A210" s="5">
        <f t="shared" si="6"/>
        <v>205</v>
      </c>
      <c r="B210" s="25" t="s">
        <v>202</v>
      </c>
      <c r="C210" s="6">
        <v>7.7000258379E10</v>
      </c>
      <c r="D210" s="6" t="s">
        <v>19</v>
      </c>
      <c r="E210" s="6" t="s">
        <v>586</v>
      </c>
      <c r="F210" s="7"/>
      <c r="G210" s="7"/>
      <c r="H210" s="7"/>
      <c r="I210" s="7"/>
      <c r="J210" s="6" t="s">
        <v>587</v>
      </c>
      <c r="K210" s="7"/>
      <c r="L210" s="4"/>
      <c r="M210" s="4"/>
      <c r="N210" s="4"/>
      <c r="O210" s="4"/>
      <c r="P210" s="4"/>
      <c r="Q210" s="4"/>
      <c r="R210" s="4"/>
      <c r="S210" s="4"/>
      <c r="T210" s="4"/>
      <c r="U210" s="4"/>
      <c r="V210" s="4"/>
      <c r="W210" s="4"/>
    </row>
    <row r="211">
      <c r="A211" s="5">
        <f t="shared" si="6"/>
        <v>206</v>
      </c>
      <c r="B211" s="25" t="s">
        <v>202</v>
      </c>
      <c r="C211" s="6">
        <v>7.7950043867E10</v>
      </c>
      <c r="D211" s="6" t="s">
        <v>19</v>
      </c>
      <c r="E211" s="6" t="s">
        <v>588</v>
      </c>
      <c r="F211" s="7"/>
      <c r="G211" s="7"/>
      <c r="H211" s="7"/>
      <c r="I211" s="7"/>
      <c r="J211" s="33" t="s">
        <v>337</v>
      </c>
      <c r="K211" s="7"/>
      <c r="L211" s="4"/>
      <c r="M211" s="4"/>
      <c r="N211" s="4"/>
      <c r="O211" s="4"/>
      <c r="P211" s="4"/>
      <c r="Q211" s="4"/>
      <c r="R211" s="4"/>
      <c r="S211" s="4"/>
      <c r="T211" s="4"/>
      <c r="U211" s="4"/>
      <c r="V211" s="4"/>
      <c r="W211" s="4"/>
    </row>
    <row r="212">
      <c r="A212" s="5">
        <f t="shared" si="6"/>
        <v>207</v>
      </c>
      <c r="B212" s="25" t="s">
        <v>114</v>
      </c>
      <c r="C212" s="51">
        <v>7.7000261651E10</v>
      </c>
      <c r="D212" s="6" t="s">
        <v>187</v>
      </c>
      <c r="E212" s="6" t="s">
        <v>589</v>
      </c>
      <c r="F212" s="6" t="s">
        <v>590</v>
      </c>
      <c r="G212" s="6" t="s">
        <v>591</v>
      </c>
      <c r="H212" s="6" t="s">
        <v>592</v>
      </c>
      <c r="I212" s="7"/>
      <c r="J212" s="7"/>
      <c r="K212" s="7"/>
      <c r="L212" s="4"/>
      <c r="M212" s="4"/>
      <c r="N212" s="4"/>
      <c r="O212" s="4"/>
      <c r="P212" s="4"/>
      <c r="Q212" s="4"/>
      <c r="R212" s="4"/>
      <c r="S212" s="4"/>
      <c r="T212" s="4"/>
      <c r="U212" s="4"/>
      <c r="V212" s="4"/>
      <c r="W212" s="4"/>
    </row>
    <row r="213">
      <c r="A213" s="5">
        <f t="shared" si="6"/>
        <v>208</v>
      </c>
      <c r="B213" s="25" t="s">
        <v>114</v>
      </c>
      <c r="C213" s="6">
        <v>7.7000264635E10</v>
      </c>
      <c r="D213" s="6" t="s">
        <v>13</v>
      </c>
      <c r="E213" s="6" t="s">
        <v>593</v>
      </c>
      <c r="F213" s="6" t="s">
        <v>594</v>
      </c>
      <c r="G213" s="6" t="s">
        <v>595</v>
      </c>
      <c r="H213" s="6" t="s">
        <v>596</v>
      </c>
      <c r="I213" s="6" t="s">
        <v>373</v>
      </c>
      <c r="J213" s="7"/>
      <c r="K213" s="7"/>
      <c r="L213" s="4"/>
      <c r="M213" s="4"/>
      <c r="N213" s="4"/>
      <c r="O213" s="4"/>
      <c r="P213" s="4"/>
      <c r="Q213" s="4"/>
      <c r="R213" s="4"/>
      <c r="S213" s="4"/>
      <c r="T213" s="4"/>
      <c r="U213" s="4"/>
      <c r="V213" s="4"/>
      <c r="W213" s="4"/>
    </row>
    <row r="214">
      <c r="A214" s="5">
        <f t="shared" si="6"/>
        <v>209</v>
      </c>
      <c r="B214" s="25" t="s">
        <v>114</v>
      </c>
      <c r="C214" s="6">
        <v>7.700026363E10</v>
      </c>
      <c r="D214" s="6" t="s">
        <v>40</v>
      </c>
      <c r="E214" s="6" t="s">
        <v>597</v>
      </c>
      <c r="F214" s="6" t="s">
        <v>598</v>
      </c>
      <c r="G214" s="6" t="s">
        <v>73</v>
      </c>
      <c r="H214" s="6" t="s">
        <v>599</v>
      </c>
      <c r="I214" s="6" t="s">
        <v>373</v>
      </c>
      <c r="J214" s="7"/>
      <c r="K214" s="7"/>
      <c r="L214" s="4"/>
      <c r="M214" s="4"/>
      <c r="N214" s="4"/>
      <c r="O214" s="4"/>
      <c r="P214" s="4"/>
      <c r="Q214" s="4"/>
      <c r="R214" s="4"/>
      <c r="S214" s="4"/>
      <c r="T214" s="4"/>
      <c r="U214" s="4"/>
      <c r="V214" s="4"/>
      <c r="W214" s="4"/>
    </row>
    <row r="215">
      <c r="A215" s="5">
        <f t="shared" si="6"/>
        <v>210</v>
      </c>
      <c r="B215" s="25" t="s">
        <v>114</v>
      </c>
      <c r="C215" s="52">
        <v>7.7000266081E10</v>
      </c>
      <c r="D215" s="6" t="s">
        <v>43</v>
      </c>
      <c r="E215" s="53" t="s">
        <v>600</v>
      </c>
      <c r="F215" s="52" t="s">
        <v>601</v>
      </c>
      <c r="G215" s="7"/>
      <c r="H215" s="6" t="s">
        <v>602</v>
      </c>
      <c r="I215" s="6" t="s">
        <v>603</v>
      </c>
      <c r="J215" s="7"/>
      <c r="K215" s="7"/>
      <c r="L215" s="4"/>
      <c r="M215" s="4"/>
      <c r="N215" s="4"/>
      <c r="O215" s="4"/>
      <c r="P215" s="4"/>
      <c r="Q215" s="4"/>
      <c r="R215" s="4"/>
      <c r="S215" s="4"/>
      <c r="T215" s="4"/>
      <c r="U215" s="4"/>
      <c r="V215" s="4"/>
      <c r="W215" s="4"/>
    </row>
    <row r="216">
      <c r="A216" s="5">
        <v>211.0</v>
      </c>
      <c r="B216" s="25" t="s">
        <v>114</v>
      </c>
      <c r="C216" s="6">
        <v>7.7000259062E10</v>
      </c>
      <c r="D216" s="6" t="s">
        <v>13</v>
      </c>
      <c r="E216" s="6" t="s">
        <v>604</v>
      </c>
      <c r="F216" s="6" t="s">
        <v>605</v>
      </c>
      <c r="G216" s="6" t="s">
        <v>606</v>
      </c>
      <c r="H216" s="6" t="s">
        <v>607</v>
      </c>
      <c r="I216" s="6" t="s">
        <v>608</v>
      </c>
      <c r="J216" s="7"/>
      <c r="K216" s="7"/>
      <c r="L216" s="4"/>
      <c r="M216" s="4"/>
      <c r="N216" s="4"/>
      <c r="O216" s="4"/>
      <c r="P216" s="4"/>
      <c r="Q216" s="4"/>
      <c r="R216" s="4"/>
      <c r="S216" s="4"/>
      <c r="T216" s="4"/>
      <c r="U216" s="4"/>
      <c r="V216" s="4"/>
      <c r="W216" s="4"/>
    </row>
    <row r="217">
      <c r="A217" s="5">
        <f t="shared" ref="A217:A219" si="7">A216+1</f>
        <v>212</v>
      </c>
      <c r="B217" s="25" t="s">
        <v>114</v>
      </c>
      <c r="C217" s="6">
        <v>7.700026612E10</v>
      </c>
      <c r="D217" s="6" t="s">
        <v>43</v>
      </c>
      <c r="E217" s="6" t="s">
        <v>609</v>
      </c>
      <c r="F217" s="6" t="s">
        <v>610</v>
      </c>
      <c r="G217" s="6" t="s">
        <v>611</v>
      </c>
      <c r="H217" s="6" t="s">
        <v>612</v>
      </c>
      <c r="I217" s="7"/>
      <c r="J217" s="7"/>
      <c r="K217" s="7"/>
      <c r="L217" s="4"/>
      <c r="M217" s="4"/>
      <c r="N217" s="4"/>
      <c r="O217" s="4"/>
      <c r="P217" s="4"/>
      <c r="Q217" s="4"/>
      <c r="R217" s="4"/>
      <c r="S217" s="4"/>
      <c r="T217" s="4"/>
      <c r="U217" s="4"/>
      <c r="V217" s="4"/>
      <c r="W217" s="4"/>
    </row>
    <row r="218">
      <c r="A218" s="5">
        <f t="shared" si="7"/>
        <v>213</v>
      </c>
      <c r="B218" s="25" t="s">
        <v>202</v>
      </c>
      <c r="C218" s="6">
        <v>7.7000251172E10</v>
      </c>
      <c r="D218" s="46" t="s">
        <v>78</v>
      </c>
      <c r="E218" s="6" t="s">
        <v>613</v>
      </c>
      <c r="F218" s="6" t="s">
        <v>614</v>
      </c>
      <c r="G218" s="6" t="s">
        <v>595</v>
      </c>
      <c r="H218" s="27" t="s">
        <v>615</v>
      </c>
      <c r="I218" s="6" t="s">
        <v>616</v>
      </c>
      <c r="J218" s="33" t="s">
        <v>337</v>
      </c>
      <c r="K218" s="7"/>
      <c r="L218" s="4"/>
      <c r="M218" s="4"/>
      <c r="N218" s="4"/>
      <c r="O218" s="4"/>
      <c r="P218" s="4"/>
      <c r="Q218" s="4"/>
      <c r="R218" s="4"/>
      <c r="S218" s="4"/>
      <c r="T218" s="4"/>
      <c r="U218" s="4"/>
      <c r="V218" s="4"/>
      <c r="W218" s="4"/>
    </row>
    <row r="219">
      <c r="A219" s="5">
        <f t="shared" si="7"/>
        <v>214</v>
      </c>
      <c r="B219" s="25" t="s">
        <v>114</v>
      </c>
      <c r="C219" s="6">
        <v>7.7000256904E10</v>
      </c>
      <c r="D219" s="6" t="s">
        <v>19</v>
      </c>
      <c r="E219" s="6" t="s">
        <v>617</v>
      </c>
      <c r="F219" s="6" t="s">
        <v>618</v>
      </c>
      <c r="G219" s="6" t="s">
        <v>619</v>
      </c>
      <c r="H219" s="6" t="s">
        <v>620</v>
      </c>
      <c r="I219" s="6" t="s">
        <v>373</v>
      </c>
      <c r="J219" s="7"/>
      <c r="K219" s="7"/>
      <c r="L219" s="4"/>
      <c r="M219" s="4"/>
      <c r="N219" s="4"/>
      <c r="O219" s="4"/>
      <c r="P219" s="4"/>
      <c r="Q219" s="4"/>
      <c r="R219" s="4"/>
      <c r="S219" s="4"/>
      <c r="T219" s="4"/>
      <c r="U219" s="4"/>
      <c r="V219" s="4"/>
      <c r="W219" s="4"/>
    </row>
    <row r="220">
      <c r="A220" s="5">
        <v>215.0</v>
      </c>
      <c r="B220" s="25" t="s">
        <v>114</v>
      </c>
      <c r="C220" s="6">
        <v>7.7000265914E10</v>
      </c>
      <c r="D220" s="6" t="s">
        <v>19</v>
      </c>
      <c r="E220" s="6" t="s">
        <v>621</v>
      </c>
      <c r="F220" s="6" t="s">
        <v>622</v>
      </c>
      <c r="G220" s="6" t="s">
        <v>595</v>
      </c>
      <c r="H220" s="6" t="s">
        <v>623</v>
      </c>
      <c r="I220" s="6" t="s">
        <v>373</v>
      </c>
      <c r="J220" s="7"/>
      <c r="K220" s="7"/>
      <c r="L220" s="4"/>
      <c r="M220" s="4"/>
      <c r="N220" s="4"/>
      <c r="O220" s="4"/>
      <c r="P220" s="4"/>
      <c r="Q220" s="4"/>
      <c r="R220" s="4"/>
      <c r="S220" s="4"/>
      <c r="T220" s="4"/>
      <c r="U220" s="4"/>
      <c r="V220" s="4"/>
      <c r="W220" s="4"/>
    </row>
    <row r="221">
      <c r="A221" s="5">
        <f t="shared" ref="A221:A229" si="8">A220+1</f>
        <v>216</v>
      </c>
      <c r="B221" s="25" t="s">
        <v>114</v>
      </c>
      <c r="C221" s="6">
        <v>7.7000261187E10</v>
      </c>
      <c r="D221" s="6" t="s">
        <v>83</v>
      </c>
      <c r="E221" s="6" t="s">
        <v>624</v>
      </c>
      <c r="F221" s="6" t="s">
        <v>625</v>
      </c>
      <c r="G221" s="7"/>
      <c r="H221" s="6" t="s">
        <v>626</v>
      </c>
      <c r="I221" s="6" t="s">
        <v>627</v>
      </c>
      <c r="J221" s="7"/>
      <c r="K221" s="7"/>
      <c r="L221" s="4"/>
      <c r="M221" s="4"/>
      <c r="N221" s="4"/>
      <c r="O221" s="4"/>
      <c r="P221" s="4"/>
      <c r="Q221" s="4"/>
      <c r="R221" s="4"/>
      <c r="S221" s="4"/>
      <c r="T221" s="4"/>
      <c r="U221" s="4"/>
      <c r="V221" s="4"/>
      <c r="W221" s="4"/>
    </row>
    <row r="222">
      <c r="A222" s="5">
        <f t="shared" si="8"/>
        <v>217</v>
      </c>
      <c r="B222" s="25" t="s">
        <v>114</v>
      </c>
      <c r="C222" s="6">
        <v>7.7000258591E10</v>
      </c>
      <c r="D222" s="6" t="s">
        <v>13</v>
      </c>
      <c r="E222" s="6" t="s">
        <v>628</v>
      </c>
      <c r="F222" s="6" t="s">
        <v>629</v>
      </c>
      <c r="G222" s="6" t="s">
        <v>630</v>
      </c>
      <c r="H222" s="27" t="s">
        <v>631</v>
      </c>
      <c r="I222" s="6" t="s">
        <v>373</v>
      </c>
      <c r="J222" s="7"/>
      <c r="K222" s="7"/>
      <c r="L222" s="4"/>
      <c r="M222" s="4"/>
      <c r="N222" s="4"/>
      <c r="O222" s="4"/>
      <c r="P222" s="4"/>
      <c r="Q222" s="4"/>
      <c r="R222" s="4"/>
      <c r="S222" s="4"/>
      <c r="T222" s="4"/>
      <c r="U222" s="4"/>
      <c r="V222" s="4"/>
      <c r="W222" s="4"/>
    </row>
    <row r="223">
      <c r="A223" s="5">
        <f t="shared" si="8"/>
        <v>218</v>
      </c>
      <c r="B223" s="25" t="s">
        <v>114</v>
      </c>
      <c r="C223" s="6" t="s">
        <v>632</v>
      </c>
      <c r="D223" s="6" t="s">
        <v>13</v>
      </c>
      <c r="E223" s="6" t="s">
        <v>633</v>
      </c>
      <c r="F223" s="6" t="s">
        <v>634</v>
      </c>
      <c r="G223" s="6" t="s">
        <v>635</v>
      </c>
      <c r="H223" s="6" t="s">
        <v>636</v>
      </c>
      <c r="I223" s="6" t="s">
        <v>373</v>
      </c>
      <c r="J223" s="7"/>
      <c r="K223" s="7"/>
      <c r="L223" s="4"/>
      <c r="M223" s="4"/>
      <c r="N223" s="4"/>
      <c r="O223" s="4"/>
      <c r="P223" s="4"/>
      <c r="Q223" s="4"/>
      <c r="R223" s="4"/>
      <c r="S223" s="4"/>
      <c r="T223" s="4"/>
      <c r="U223" s="4"/>
      <c r="V223" s="4"/>
      <c r="W223" s="4"/>
    </row>
    <row r="224">
      <c r="A224" s="5">
        <f t="shared" si="8"/>
        <v>219</v>
      </c>
      <c r="B224" s="25" t="s">
        <v>11</v>
      </c>
      <c r="C224" s="6">
        <v>7.700026179E10</v>
      </c>
      <c r="D224" s="6" t="s">
        <v>13</v>
      </c>
      <c r="E224" s="6" t="s">
        <v>637</v>
      </c>
      <c r="F224" s="54" t="s">
        <v>638</v>
      </c>
      <c r="G224" s="6" t="s">
        <v>639</v>
      </c>
      <c r="H224" s="6" t="s">
        <v>640</v>
      </c>
      <c r="I224" s="7"/>
      <c r="J224" s="7"/>
      <c r="K224" s="7"/>
      <c r="L224" s="4"/>
      <c r="M224" s="4"/>
      <c r="N224" s="4"/>
      <c r="O224" s="4"/>
      <c r="P224" s="4"/>
      <c r="Q224" s="4"/>
      <c r="R224" s="4"/>
      <c r="S224" s="4"/>
      <c r="T224" s="4"/>
      <c r="U224" s="4"/>
      <c r="V224" s="4"/>
      <c r="W224" s="4"/>
    </row>
    <row r="225">
      <c r="A225" s="5">
        <f t="shared" si="8"/>
        <v>220</v>
      </c>
      <c r="B225" s="25" t="s">
        <v>114</v>
      </c>
      <c r="C225" s="6">
        <v>7.7000262993E10</v>
      </c>
      <c r="D225" s="6" t="s">
        <v>13</v>
      </c>
      <c r="E225" s="6" t="s">
        <v>641</v>
      </c>
      <c r="F225" s="6" t="s">
        <v>642</v>
      </c>
      <c r="G225" s="6" t="s">
        <v>643</v>
      </c>
      <c r="H225" s="6" t="s">
        <v>644</v>
      </c>
      <c r="I225" s="6" t="s">
        <v>373</v>
      </c>
      <c r="J225" s="7"/>
      <c r="K225" s="7"/>
      <c r="L225" s="4"/>
      <c r="M225" s="4"/>
      <c r="N225" s="4"/>
      <c r="O225" s="4"/>
      <c r="P225" s="4"/>
      <c r="Q225" s="4"/>
      <c r="R225" s="4"/>
      <c r="S225" s="4"/>
      <c r="T225" s="4"/>
      <c r="U225" s="4"/>
      <c r="V225" s="4"/>
      <c r="W225" s="4"/>
    </row>
    <row r="226">
      <c r="A226" s="5">
        <f t="shared" si="8"/>
        <v>221</v>
      </c>
      <c r="B226" s="25" t="s">
        <v>114</v>
      </c>
      <c r="C226" s="55">
        <v>7.7000262716E10</v>
      </c>
      <c r="D226" s="6" t="s">
        <v>21</v>
      </c>
      <c r="E226" s="6" t="s">
        <v>645</v>
      </c>
      <c r="F226" s="6" t="s">
        <v>646</v>
      </c>
      <c r="G226" s="56" t="s">
        <v>16</v>
      </c>
      <c r="H226" s="6" t="s">
        <v>647</v>
      </c>
      <c r="I226" s="7"/>
      <c r="J226" s="7"/>
      <c r="K226" s="7"/>
      <c r="L226" s="4"/>
      <c r="M226" s="4"/>
      <c r="N226" s="4"/>
      <c r="O226" s="4"/>
      <c r="P226" s="4"/>
      <c r="Q226" s="4"/>
      <c r="R226" s="4"/>
      <c r="S226" s="4"/>
      <c r="T226" s="4"/>
      <c r="U226" s="4"/>
      <c r="V226" s="4"/>
      <c r="W226" s="4"/>
    </row>
    <row r="227">
      <c r="A227" s="5">
        <f t="shared" si="8"/>
        <v>222</v>
      </c>
      <c r="B227" s="25" t="s">
        <v>114</v>
      </c>
      <c r="C227" s="6">
        <v>7.7000256651E10</v>
      </c>
      <c r="D227" s="6" t="s">
        <v>19</v>
      </c>
      <c r="E227" s="6" t="s">
        <v>648</v>
      </c>
      <c r="G227" s="6" t="s">
        <v>649</v>
      </c>
      <c r="H227" s="6" t="s">
        <v>650</v>
      </c>
      <c r="I227" s="6" t="s">
        <v>373</v>
      </c>
      <c r="J227" s="7"/>
      <c r="K227" s="7"/>
      <c r="L227" s="4"/>
      <c r="M227" s="4"/>
      <c r="N227" s="4"/>
      <c r="O227" s="4"/>
      <c r="P227" s="4"/>
      <c r="Q227" s="4"/>
      <c r="R227" s="4"/>
      <c r="S227" s="4"/>
      <c r="T227" s="4"/>
      <c r="U227" s="4"/>
      <c r="V227" s="4"/>
      <c r="W227" s="4"/>
    </row>
    <row r="228">
      <c r="A228" s="5">
        <f t="shared" si="8"/>
        <v>223</v>
      </c>
      <c r="B228" s="25" t="s">
        <v>114</v>
      </c>
      <c r="C228" s="6">
        <v>7.7000265402E10</v>
      </c>
      <c r="D228" s="6" t="s">
        <v>83</v>
      </c>
      <c r="E228" s="6" t="s">
        <v>651</v>
      </c>
      <c r="F228" s="7"/>
      <c r="G228" s="6" t="s">
        <v>652</v>
      </c>
      <c r="H228" s="6" t="s">
        <v>653</v>
      </c>
      <c r="I228" s="6" t="s">
        <v>373</v>
      </c>
      <c r="J228" s="7"/>
      <c r="K228" s="7"/>
      <c r="L228" s="4"/>
      <c r="M228" s="4"/>
      <c r="N228" s="4"/>
      <c r="O228" s="4"/>
      <c r="P228" s="4"/>
      <c r="Q228" s="4"/>
      <c r="R228" s="4"/>
      <c r="S228" s="4"/>
      <c r="T228" s="4"/>
      <c r="U228" s="4"/>
      <c r="V228" s="4"/>
      <c r="W228" s="4"/>
    </row>
    <row r="229">
      <c r="A229" s="5">
        <f t="shared" si="8"/>
        <v>224</v>
      </c>
      <c r="B229" s="25" t="s">
        <v>202</v>
      </c>
      <c r="C229" s="6">
        <v>7.7000241597E10</v>
      </c>
      <c r="D229" s="6" t="s">
        <v>43</v>
      </c>
      <c r="E229" s="6" t="s">
        <v>654</v>
      </c>
      <c r="F229" s="7"/>
      <c r="G229" s="7"/>
      <c r="H229" s="7"/>
      <c r="I229" s="7"/>
      <c r="J229" s="33" t="s">
        <v>337</v>
      </c>
      <c r="K229" s="7"/>
      <c r="L229" s="4"/>
      <c r="M229" s="4"/>
      <c r="N229" s="4"/>
      <c r="O229" s="4"/>
      <c r="P229" s="4"/>
      <c r="Q229" s="4"/>
      <c r="R229" s="4"/>
      <c r="S229" s="4"/>
      <c r="T229" s="4"/>
      <c r="U229" s="4"/>
      <c r="V229" s="4"/>
      <c r="W229" s="4"/>
    </row>
    <row r="230">
      <c r="A230" s="5">
        <v>225.0</v>
      </c>
      <c r="B230" s="25" t="s">
        <v>114</v>
      </c>
      <c r="C230" s="6" t="s">
        <v>655</v>
      </c>
      <c r="D230" s="6" t="s">
        <v>382</v>
      </c>
      <c r="E230" s="6" t="s">
        <v>656</v>
      </c>
      <c r="F230" s="6" t="s">
        <v>657</v>
      </c>
      <c r="G230" s="6" t="s">
        <v>658</v>
      </c>
      <c r="H230" s="6" t="s">
        <v>659</v>
      </c>
      <c r="I230" s="6">
        <v>9.730988668E9</v>
      </c>
      <c r="J230" s="7"/>
      <c r="K230" s="7"/>
      <c r="L230" s="4"/>
      <c r="M230" s="4"/>
      <c r="N230" s="4"/>
      <c r="O230" s="4"/>
      <c r="P230" s="4"/>
      <c r="Q230" s="4"/>
      <c r="R230" s="4"/>
      <c r="S230" s="4"/>
      <c r="T230" s="4"/>
      <c r="U230" s="4"/>
      <c r="V230" s="4"/>
      <c r="W230" s="4"/>
    </row>
    <row r="231">
      <c r="A231" s="5">
        <f t="shared" ref="A231:A246" si="9">A230+1</f>
        <v>226</v>
      </c>
      <c r="B231" s="25" t="s">
        <v>202</v>
      </c>
      <c r="C231" s="6">
        <v>7.7000241473E10</v>
      </c>
      <c r="D231" s="6" t="s">
        <v>43</v>
      </c>
      <c r="E231" s="6" t="s">
        <v>660</v>
      </c>
      <c r="G231" s="7"/>
      <c r="H231" s="7"/>
      <c r="I231" s="7"/>
      <c r="J231" s="33" t="s">
        <v>337</v>
      </c>
      <c r="K231" s="7"/>
      <c r="L231" s="4"/>
      <c r="M231" s="4"/>
      <c r="N231" s="4"/>
      <c r="O231" s="4"/>
      <c r="P231" s="4"/>
      <c r="Q231" s="4"/>
      <c r="R231" s="4"/>
      <c r="S231" s="4"/>
      <c r="T231" s="4"/>
      <c r="U231" s="4"/>
      <c r="V231" s="4"/>
      <c r="W231" s="4"/>
    </row>
    <row r="232">
      <c r="A232" s="5">
        <f t="shared" si="9"/>
        <v>227</v>
      </c>
      <c r="B232" s="25" t="s">
        <v>11</v>
      </c>
      <c r="C232" s="6">
        <v>7.7000261193E10</v>
      </c>
      <c r="D232" s="6" t="s">
        <v>43</v>
      </c>
      <c r="E232" s="6" t="s">
        <v>661</v>
      </c>
      <c r="F232" s="6" t="s">
        <v>662</v>
      </c>
      <c r="G232" s="6" t="s">
        <v>663</v>
      </c>
      <c r="H232" s="6" t="s">
        <v>664</v>
      </c>
      <c r="I232" s="6" t="s">
        <v>12</v>
      </c>
      <c r="J232" s="7"/>
      <c r="K232" s="7"/>
      <c r="L232" s="4"/>
      <c r="M232" s="4"/>
      <c r="N232" s="4"/>
      <c r="O232" s="4"/>
      <c r="P232" s="4"/>
      <c r="Q232" s="4"/>
      <c r="R232" s="4"/>
      <c r="S232" s="4"/>
      <c r="T232" s="4"/>
      <c r="U232" s="4"/>
      <c r="V232" s="4"/>
      <c r="W232" s="4"/>
    </row>
    <row r="233">
      <c r="A233" s="5">
        <f t="shared" si="9"/>
        <v>228</v>
      </c>
      <c r="B233" s="25" t="s">
        <v>11</v>
      </c>
      <c r="C233" s="6" t="s">
        <v>665</v>
      </c>
      <c r="D233" s="6" t="s">
        <v>382</v>
      </c>
      <c r="E233" s="6" t="s">
        <v>656</v>
      </c>
      <c r="F233" s="6" t="s">
        <v>657</v>
      </c>
      <c r="G233" s="6" t="s">
        <v>658</v>
      </c>
      <c r="H233" s="6" t="s">
        <v>666</v>
      </c>
      <c r="I233" s="7"/>
      <c r="J233" s="7"/>
      <c r="K233" s="7"/>
      <c r="L233" s="4"/>
      <c r="M233" s="4"/>
      <c r="N233" s="4"/>
      <c r="O233" s="4"/>
      <c r="P233" s="4"/>
      <c r="Q233" s="4"/>
      <c r="R233" s="4"/>
      <c r="S233" s="4"/>
      <c r="T233" s="4"/>
      <c r="U233" s="4"/>
      <c r="V233" s="4"/>
      <c r="W233" s="4"/>
    </row>
    <row r="234">
      <c r="A234" s="5">
        <f t="shared" si="9"/>
        <v>229</v>
      </c>
      <c r="B234" s="25" t="s">
        <v>114</v>
      </c>
      <c r="C234" s="6">
        <v>7.7000265151E10</v>
      </c>
      <c r="D234" s="6" t="s">
        <v>667</v>
      </c>
      <c r="E234" s="6" t="s">
        <v>668</v>
      </c>
      <c r="F234" s="6" t="s">
        <v>669</v>
      </c>
      <c r="G234" s="6" t="s">
        <v>670</v>
      </c>
      <c r="H234" s="6" t="s">
        <v>671</v>
      </c>
      <c r="I234" s="6" t="s">
        <v>373</v>
      </c>
      <c r="J234" s="7"/>
      <c r="K234" s="7"/>
      <c r="L234" s="4"/>
      <c r="M234" s="4"/>
      <c r="N234" s="4"/>
      <c r="O234" s="4"/>
      <c r="P234" s="4"/>
      <c r="Q234" s="4"/>
      <c r="R234" s="4"/>
      <c r="S234" s="4"/>
      <c r="T234" s="4"/>
      <c r="U234" s="4"/>
      <c r="V234" s="4"/>
      <c r="W234" s="4"/>
    </row>
    <row r="235">
      <c r="A235" s="5">
        <f t="shared" si="9"/>
        <v>230</v>
      </c>
      <c r="B235" s="25" t="s">
        <v>202</v>
      </c>
      <c r="C235" s="6">
        <v>7.7000230649E10</v>
      </c>
      <c r="D235" s="6" t="s">
        <v>672</v>
      </c>
      <c r="E235" s="6" t="s">
        <v>673</v>
      </c>
      <c r="F235" s="7"/>
      <c r="G235" s="7"/>
      <c r="H235" s="7"/>
      <c r="I235" s="7"/>
      <c r="J235" s="7"/>
      <c r="K235" s="7"/>
      <c r="L235" s="4"/>
      <c r="M235" s="4"/>
      <c r="N235" s="4"/>
      <c r="O235" s="4"/>
      <c r="P235" s="4"/>
      <c r="Q235" s="4"/>
      <c r="R235" s="4"/>
      <c r="S235" s="4"/>
      <c r="T235" s="4"/>
      <c r="U235" s="4"/>
      <c r="V235" s="4"/>
      <c r="W235" s="4"/>
    </row>
    <row r="236">
      <c r="A236" s="5">
        <f t="shared" si="9"/>
        <v>231</v>
      </c>
      <c r="B236" s="25" t="s">
        <v>114</v>
      </c>
      <c r="C236" s="6">
        <v>7.700024785E10</v>
      </c>
      <c r="D236" s="6" t="s">
        <v>19</v>
      </c>
      <c r="E236" s="6" t="s">
        <v>674</v>
      </c>
      <c r="F236" s="6" t="s">
        <v>675</v>
      </c>
      <c r="G236" s="6" t="s">
        <v>466</v>
      </c>
      <c r="H236" s="6" t="s">
        <v>676</v>
      </c>
      <c r="I236" s="6" t="s">
        <v>677</v>
      </c>
      <c r="J236" s="7"/>
      <c r="K236" s="7"/>
      <c r="L236" s="4"/>
      <c r="M236" s="4"/>
      <c r="N236" s="4"/>
      <c r="O236" s="4"/>
      <c r="P236" s="4"/>
      <c r="Q236" s="4"/>
      <c r="R236" s="4"/>
      <c r="S236" s="4"/>
      <c r="T236" s="4"/>
      <c r="U236" s="4"/>
      <c r="V236" s="4"/>
      <c r="W236" s="4"/>
    </row>
    <row r="237">
      <c r="A237" s="5">
        <f t="shared" si="9"/>
        <v>232</v>
      </c>
      <c r="B237" s="25" t="s">
        <v>114</v>
      </c>
      <c r="C237" s="6">
        <v>7.7000264699E10</v>
      </c>
      <c r="D237" s="6" t="s">
        <v>19</v>
      </c>
      <c r="E237" s="6" t="s">
        <v>678</v>
      </c>
      <c r="F237" s="6" t="s">
        <v>679</v>
      </c>
      <c r="G237" s="6" t="s">
        <v>680</v>
      </c>
      <c r="H237" s="6" t="s">
        <v>681</v>
      </c>
      <c r="I237" s="6" t="s">
        <v>373</v>
      </c>
      <c r="J237" s="7"/>
      <c r="K237" s="7"/>
      <c r="L237" s="4"/>
      <c r="M237" s="4"/>
      <c r="N237" s="4"/>
      <c r="O237" s="4"/>
      <c r="P237" s="4"/>
      <c r="Q237" s="4"/>
      <c r="R237" s="4"/>
      <c r="S237" s="4"/>
      <c r="T237" s="4"/>
      <c r="U237" s="4"/>
      <c r="V237" s="4"/>
      <c r="W237" s="4"/>
    </row>
    <row r="238">
      <c r="A238" s="5">
        <f t="shared" si="9"/>
        <v>233</v>
      </c>
      <c r="B238" s="25" t="s">
        <v>114</v>
      </c>
      <c r="C238" s="6" t="s">
        <v>682</v>
      </c>
      <c r="D238" s="6" t="s">
        <v>667</v>
      </c>
      <c r="E238" s="6" t="s">
        <v>529</v>
      </c>
      <c r="F238" s="7"/>
      <c r="G238" s="6" t="s">
        <v>16</v>
      </c>
      <c r="H238" s="6" t="s">
        <v>683</v>
      </c>
      <c r="I238" s="6" t="s">
        <v>373</v>
      </c>
      <c r="K238" s="7"/>
      <c r="L238" s="7"/>
      <c r="M238" s="4"/>
      <c r="N238" s="4"/>
      <c r="O238" s="4"/>
      <c r="P238" s="4"/>
      <c r="Q238" s="4"/>
      <c r="R238" s="4"/>
      <c r="S238" s="4"/>
      <c r="T238" s="4"/>
      <c r="U238" s="4"/>
      <c r="V238" s="4"/>
      <c r="W238" s="4"/>
    </row>
    <row r="239">
      <c r="A239" s="5">
        <f t="shared" si="9"/>
        <v>234</v>
      </c>
      <c r="B239" s="25" t="s">
        <v>114</v>
      </c>
      <c r="C239" s="6" t="s">
        <v>684</v>
      </c>
      <c r="D239" s="6" t="s">
        <v>13</v>
      </c>
      <c r="E239" s="6" t="s">
        <v>496</v>
      </c>
      <c r="F239" s="6" t="s">
        <v>497</v>
      </c>
      <c r="G239" s="6" t="s">
        <v>73</v>
      </c>
      <c r="H239" s="6" t="s">
        <v>685</v>
      </c>
      <c r="I239" s="6" t="s">
        <v>499</v>
      </c>
      <c r="J239" s="7"/>
      <c r="K239" s="7"/>
      <c r="L239" s="4"/>
      <c r="M239" s="4"/>
      <c r="N239" s="4"/>
      <c r="O239" s="4"/>
      <c r="P239" s="4"/>
      <c r="Q239" s="4"/>
      <c r="R239" s="4"/>
      <c r="S239" s="4"/>
      <c r="T239" s="4"/>
      <c r="U239" s="4"/>
      <c r="V239" s="4"/>
      <c r="W239" s="4"/>
    </row>
    <row r="240">
      <c r="A240" s="57">
        <f t="shared" si="9"/>
        <v>235</v>
      </c>
      <c r="B240" s="58" t="s">
        <v>114</v>
      </c>
      <c r="C240" s="59" t="s">
        <v>686</v>
      </c>
      <c r="D240" s="60" t="s">
        <v>13</v>
      </c>
      <c r="E240" s="60" t="s">
        <v>496</v>
      </c>
      <c r="F240" s="60" t="s">
        <v>497</v>
      </c>
      <c r="G240" s="60" t="s">
        <v>73</v>
      </c>
      <c r="H240" s="60" t="s">
        <v>687</v>
      </c>
      <c r="I240" s="60" t="s">
        <v>499</v>
      </c>
      <c r="J240" s="61"/>
      <c r="K240" s="61"/>
      <c r="L240" s="4"/>
      <c r="M240" s="4"/>
      <c r="N240" s="4"/>
      <c r="O240" s="4"/>
      <c r="P240" s="4"/>
      <c r="Q240" s="4"/>
      <c r="R240" s="4"/>
      <c r="S240" s="4"/>
      <c r="T240" s="4"/>
      <c r="U240" s="4"/>
      <c r="V240" s="4"/>
      <c r="W240" s="4"/>
    </row>
    <row r="241">
      <c r="A241" s="5">
        <f t="shared" si="9"/>
        <v>236</v>
      </c>
      <c r="B241" s="25" t="s">
        <v>202</v>
      </c>
      <c r="C241" s="6">
        <v>7.7000253088E10</v>
      </c>
      <c r="D241" s="6" t="s">
        <v>688</v>
      </c>
      <c r="E241" s="6" t="s">
        <v>689</v>
      </c>
      <c r="F241" s="6" t="s">
        <v>690</v>
      </c>
      <c r="G241" s="6" t="s">
        <v>691</v>
      </c>
      <c r="H241" s="6" t="s">
        <v>692</v>
      </c>
      <c r="I241" s="6" t="s">
        <v>693</v>
      </c>
      <c r="J241" s="7"/>
      <c r="K241" s="7"/>
      <c r="L241" s="4"/>
      <c r="M241" s="4"/>
      <c r="N241" s="4"/>
      <c r="O241" s="4"/>
      <c r="P241" s="4"/>
      <c r="Q241" s="4"/>
      <c r="R241" s="4"/>
      <c r="S241" s="4"/>
      <c r="T241" s="4"/>
      <c r="U241" s="4"/>
      <c r="V241" s="4"/>
      <c r="W241" s="4"/>
    </row>
    <row r="242">
      <c r="A242" s="5">
        <f t="shared" si="9"/>
        <v>237</v>
      </c>
      <c r="B242" s="25" t="s">
        <v>202</v>
      </c>
      <c r="C242" s="6">
        <v>7.7000264434E10</v>
      </c>
      <c r="D242" s="6" t="s">
        <v>694</v>
      </c>
      <c r="E242" s="6" t="s">
        <v>695</v>
      </c>
      <c r="F242" s="7"/>
      <c r="G242" s="6" t="s">
        <v>73</v>
      </c>
      <c r="H242" s="27" t="s">
        <v>696</v>
      </c>
      <c r="I242" s="6" t="s">
        <v>697</v>
      </c>
      <c r="J242" s="7"/>
      <c r="K242" s="7"/>
      <c r="L242" s="4"/>
      <c r="M242" s="4"/>
      <c r="N242" s="4"/>
      <c r="O242" s="4"/>
      <c r="P242" s="4"/>
      <c r="Q242" s="4"/>
      <c r="R242" s="4"/>
      <c r="S242" s="4"/>
      <c r="T242" s="4"/>
      <c r="U242" s="4"/>
      <c r="V242" s="4"/>
      <c r="W242" s="4"/>
    </row>
    <row r="243">
      <c r="A243" s="5">
        <f t="shared" si="9"/>
        <v>238</v>
      </c>
      <c r="B243" s="25" t="s">
        <v>202</v>
      </c>
      <c r="C243" s="6">
        <v>7.7000264605E10</v>
      </c>
      <c r="D243" s="6" t="s">
        <v>43</v>
      </c>
      <c r="E243" s="10" t="s">
        <v>698</v>
      </c>
      <c r="F243" s="6" t="s">
        <v>699</v>
      </c>
      <c r="G243" s="6" t="s">
        <v>663</v>
      </c>
      <c r="H243" s="6" t="s">
        <v>700</v>
      </c>
      <c r="I243" s="7"/>
      <c r="J243" s="7"/>
      <c r="K243" s="7"/>
      <c r="L243" s="4"/>
      <c r="M243" s="4"/>
      <c r="N243" s="4"/>
      <c r="O243" s="4"/>
      <c r="P243" s="4"/>
      <c r="Q243" s="4"/>
      <c r="R243" s="4"/>
      <c r="S243" s="4"/>
      <c r="T243" s="4"/>
      <c r="U243" s="4"/>
      <c r="V243" s="4"/>
      <c r="W243" s="4"/>
    </row>
    <row r="244">
      <c r="A244" s="5">
        <f t="shared" si="9"/>
        <v>239</v>
      </c>
      <c r="B244" s="25" t="s">
        <v>202</v>
      </c>
      <c r="C244" s="6">
        <v>7.7000244168E10</v>
      </c>
      <c r="D244" s="6" t="s">
        <v>542</v>
      </c>
      <c r="E244" s="6" t="s">
        <v>701</v>
      </c>
      <c r="F244" s="6" t="s">
        <v>702</v>
      </c>
      <c r="G244" s="6" t="s">
        <v>152</v>
      </c>
      <c r="H244" s="6" t="s">
        <v>703</v>
      </c>
      <c r="I244" s="7"/>
      <c r="J244" s="7"/>
      <c r="K244" s="7"/>
      <c r="L244" s="4"/>
      <c r="M244" s="4"/>
      <c r="N244" s="4"/>
      <c r="O244" s="4"/>
      <c r="P244" s="4"/>
      <c r="Q244" s="4"/>
      <c r="R244" s="4"/>
      <c r="S244" s="4"/>
      <c r="T244" s="4"/>
      <c r="U244" s="4"/>
      <c r="V244" s="4"/>
      <c r="W244" s="4"/>
    </row>
    <row r="245">
      <c r="A245" s="5">
        <f t="shared" si="9"/>
        <v>240</v>
      </c>
      <c r="B245" s="25" t="s">
        <v>202</v>
      </c>
      <c r="C245" s="6">
        <v>7.7000240185E10</v>
      </c>
      <c r="D245" s="6" t="s">
        <v>694</v>
      </c>
      <c r="E245" s="6" t="s">
        <v>704</v>
      </c>
      <c r="F245" s="6" t="s">
        <v>705</v>
      </c>
      <c r="G245" s="6" t="s">
        <v>706</v>
      </c>
      <c r="H245" s="6" t="s">
        <v>707</v>
      </c>
      <c r="I245" s="7"/>
      <c r="J245" s="33" t="s">
        <v>337</v>
      </c>
      <c r="K245" s="7"/>
      <c r="L245" s="4"/>
      <c r="M245" s="4"/>
      <c r="N245" s="4"/>
      <c r="O245" s="4"/>
      <c r="P245" s="4"/>
      <c r="Q245" s="4"/>
      <c r="R245" s="4"/>
      <c r="S245" s="4"/>
      <c r="T245" s="4"/>
      <c r="U245" s="4"/>
      <c r="V245" s="4"/>
      <c r="W245" s="4"/>
    </row>
    <row r="246">
      <c r="A246" s="5">
        <f t="shared" si="9"/>
        <v>241</v>
      </c>
      <c r="B246" s="25" t="s">
        <v>202</v>
      </c>
      <c r="C246" s="6">
        <v>7.7000192662E10</v>
      </c>
      <c r="D246" s="6" t="s">
        <v>473</v>
      </c>
      <c r="E246" s="6" t="s">
        <v>708</v>
      </c>
      <c r="F246" s="7"/>
      <c r="G246" s="7"/>
      <c r="H246" s="6" t="s">
        <v>709</v>
      </c>
      <c r="I246" s="7"/>
      <c r="J246" s="33" t="s">
        <v>337</v>
      </c>
      <c r="K246" s="7"/>
      <c r="L246" s="4"/>
      <c r="M246" s="4"/>
      <c r="N246" s="4"/>
      <c r="O246" s="4"/>
      <c r="P246" s="4"/>
      <c r="Q246" s="4"/>
      <c r="R246" s="4"/>
      <c r="S246" s="4"/>
      <c r="T246" s="4"/>
      <c r="U246" s="4"/>
      <c r="V246" s="4"/>
      <c r="W246" s="4"/>
    </row>
    <row r="247">
      <c r="A247" s="5">
        <v>242.0</v>
      </c>
      <c r="B247" s="25" t="s">
        <v>114</v>
      </c>
      <c r="C247" s="6">
        <v>7.7000260474E10</v>
      </c>
      <c r="D247" s="6" t="s">
        <v>13</v>
      </c>
      <c r="E247" s="6" t="s">
        <v>710</v>
      </c>
      <c r="F247" s="6" t="s">
        <v>711</v>
      </c>
      <c r="G247" s="6" t="s">
        <v>16</v>
      </c>
      <c r="H247" s="6" t="s">
        <v>712</v>
      </c>
      <c r="I247" s="6" t="s">
        <v>713</v>
      </c>
      <c r="J247" s="7"/>
      <c r="K247" s="7"/>
      <c r="L247" s="4"/>
      <c r="M247" s="4"/>
      <c r="N247" s="4"/>
      <c r="O247" s="4"/>
      <c r="P247" s="4"/>
      <c r="Q247" s="4"/>
      <c r="R247" s="4"/>
      <c r="S247" s="4"/>
      <c r="T247" s="4"/>
      <c r="U247" s="4"/>
      <c r="V247" s="4"/>
      <c r="W247" s="4"/>
    </row>
    <row r="248">
      <c r="A248" s="5">
        <v>243.0</v>
      </c>
      <c r="B248" s="25" t="s">
        <v>202</v>
      </c>
      <c r="C248" s="6">
        <v>7.79214982E9</v>
      </c>
      <c r="D248" s="6" t="s">
        <v>473</v>
      </c>
      <c r="E248" s="6" t="s">
        <v>714</v>
      </c>
      <c r="F248" s="7"/>
      <c r="G248" s="7"/>
      <c r="H248" s="62" t="s">
        <v>715</v>
      </c>
      <c r="I248" s="7"/>
      <c r="J248" s="33" t="s">
        <v>337</v>
      </c>
      <c r="K248" s="7"/>
      <c r="L248" s="4"/>
      <c r="M248" s="4"/>
      <c r="N248" s="4"/>
      <c r="O248" s="4"/>
      <c r="P248" s="4"/>
      <c r="Q248" s="4"/>
      <c r="R248" s="4"/>
      <c r="S248" s="4"/>
      <c r="T248" s="4"/>
      <c r="U248" s="4"/>
      <c r="V248" s="4"/>
      <c r="W248" s="4"/>
    </row>
    <row r="249">
      <c r="A249" s="5">
        <v>244.0</v>
      </c>
      <c r="B249" s="25" t="s">
        <v>114</v>
      </c>
      <c r="C249" s="6">
        <v>7.7000241235E10</v>
      </c>
      <c r="D249" s="6" t="s">
        <v>49</v>
      </c>
      <c r="E249" s="6" t="s">
        <v>716</v>
      </c>
      <c r="F249" s="7"/>
      <c r="G249" s="6" t="s">
        <v>717</v>
      </c>
      <c r="H249" s="7"/>
      <c r="I249" s="6"/>
      <c r="J249" s="7"/>
      <c r="K249" s="7"/>
      <c r="L249" s="4"/>
      <c r="M249" s="4"/>
      <c r="N249" s="4"/>
      <c r="O249" s="4"/>
      <c r="P249" s="4"/>
      <c r="Q249" s="4"/>
      <c r="R249" s="4"/>
      <c r="S249" s="4"/>
      <c r="T249" s="4"/>
      <c r="U249" s="4"/>
      <c r="V249" s="4"/>
      <c r="W249" s="4"/>
    </row>
    <row r="250">
      <c r="A250" s="5">
        <f t="shared" ref="A250:A255" si="10">A249+1</f>
        <v>245</v>
      </c>
      <c r="B250" s="25" t="s">
        <v>114</v>
      </c>
      <c r="C250" s="6">
        <v>7.70002597E10</v>
      </c>
      <c r="D250" s="6" t="s">
        <v>19</v>
      </c>
      <c r="E250" s="6" t="s">
        <v>718</v>
      </c>
      <c r="F250" s="6" t="s">
        <v>719</v>
      </c>
      <c r="G250" s="6" t="s">
        <v>720</v>
      </c>
      <c r="H250" s="6" t="s">
        <v>721</v>
      </c>
      <c r="I250" s="6" t="s">
        <v>722</v>
      </c>
      <c r="J250" s="7"/>
      <c r="K250" s="7"/>
      <c r="L250" s="4"/>
      <c r="M250" s="4"/>
      <c r="N250" s="4"/>
      <c r="O250" s="4"/>
      <c r="P250" s="4"/>
      <c r="Q250" s="4"/>
      <c r="R250" s="4"/>
      <c r="S250" s="4"/>
      <c r="T250" s="4"/>
      <c r="U250" s="4"/>
      <c r="V250" s="4"/>
      <c r="W250" s="4"/>
    </row>
    <row r="251">
      <c r="A251" s="5">
        <f t="shared" si="10"/>
        <v>246</v>
      </c>
      <c r="B251" s="25" t="s">
        <v>114</v>
      </c>
      <c r="C251" s="6">
        <v>7.7000267101E10</v>
      </c>
      <c r="D251" s="6" t="s">
        <v>382</v>
      </c>
      <c r="E251" s="6" t="s">
        <v>723</v>
      </c>
      <c r="F251" s="7"/>
      <c r="G251" s="6" t="s">
        <v>429</v>
      </c>
      <c r="H251" s="27" t="s">
        <v>724</v>
      </c>
      <c r="I251" s="6" t="s">
        <v>725</v>
      </c>
      <c r="J251" s="7"/>
      <c r="K251" s="7"/>
      <c r="L251" s="4"/>
      <c r="M251" s="4"/>
      <c r="N251" s="4"/>
      <c r="O251" s="4"/>
      <c r="P251" s="4"/>
      <c r="Q251" s="4"/>
      <c r="R251" s="4"/>
      <c r="S251" s="4"/>
      <c r="T251" s="4"/>
      <c r="U251" s="4"/>
      <c r="V251" s="4"/>
      <c r="W251" s="4"/>
    </row>
    <row r="252">
      <c r="A252" s="5">
        <f t="shared" si="10"/>
        <v>247</v>
      </c>
      <c r="B252" s="25" t="s">
        <v>202</v>
      </c>
      <c r="C252" s="6">
        <v>7.7000234182E10</v>
      </c>
      <c r="D252" s="6" t="s">
        <v>13</v>
      </c>
      <c r="E252" s="6" t="s">
        <v>14</v>
      </c>
      <c r="F252" s="7"/>
      <c r="G252" s="7"/>
      <c r="H252" s="6" t="s">
        <v>726</v>
      </c>
      <c r="I252" s="7"/>
      <c r="J252" s="33" t="s">
        <v>337</v>
      </c>
      <c r="K252" s="7"/>
      <c r="L252" s="4"/>
      <c r="M252" s="4"/>
      <c r="N252" s="4"/>
      <c r="O252" s="4"/>
      <c r="P252" s="4"/>
      <c r="Q252" s="4"/>
      <c r="R252" s="4"/>
      <c r="S252" s="4"/>
      <c r="T252" s="4"/>
      <c r="U252" s="4"/>
      <c r="V252" s="4"/>
      <c r="W252" s="4"/>
    </row>
    <row r="253">
      <c r="A253" s="5">
        <f t="shared" si="10"/>
        <v>248</v>
      </c>
      <c r="B253" s="25" t="s">
        <v>114</v>
      </c>
      <c r="C253" s="6">
        <v>7.792151806E9</v>
      </c>
      <c r="D253" s="6" t="s">
        <v>382</v>
      </c>
      <c r="E253" s="6" t="s">
        <v>727</v>
      </c>
      <c r="F253" s="6" t="s">
        <v>728</v>
      </c>
      <c r="G253" s="6" t="s">
        <v>729</v>
      </c>
      <c r="H253" s="6" t="s">
        <v>730</v>
      </c>
      <c r="I253" s="6" t="s">
        <v>12</v>
      </c>
      <c r="J253" s="7"/>
      <c r="K253" s="7"/>
      <c r="L253" s="4"/>
      <c r="M253" s="4"/>
      <c r="N253" s="4"/>
      <c r="O253" s="4"/>
      <c r="P253" s="4"/>
      <c r="Q253" s="4"/>
      <c r="R253" s="4"/>
      <c r="S253" s="4"/>
      <c r="T253" s="4"/>
      <c r="U253" s="4"/>
      <c r="V253" s="4"/>
      <c r="W253" s="4"/>
    </row>
    <row r="254">
      <c r="A254" s="5">
        <f t="shared" si="10"/>
        <v>249</v>
      </c>
      <c r="B254" s="25" t="s">
        <v>202</v>
      </c>
      <c r="C254" s="6">
        <v>7.7000259281E10</v>
      </c>
      <c r="D254" s="6" t="s">
        <v>49</v>
      </c>
      <c r="E254" s="6" t="s">
        <v>731</v>
      </c>
      <c r="F254" s="7"/>
      <c r="I254" s="7"/>
      <c r="J254" s="6" t="s">
        <v>10</v>
      </c>
      <c r="K254" s="7"/>
      <c r="L254" s="4"/>
      <c r="M254" s="4"/>
      <c r="N254" s="4"/>
      <c r="O254" s="4"/>
      <c r="P254" s="4"/>
      <c r="Q254" s="4"/>
      <c r="R254" s="4"/>
      <c r="S254" s="4"/>
      <c r="T254" s="4"/>
      <c r="U254" s="4"/>
      <c r="V254" s="4"/>
      <c r="W254" s="4"/>
    </row>
    <row r="255">
      <c r="A255" s="5">
        <f t="shared" si="10"/>
        <v>250</v>
      </c>
      <c r="B255" s="25" t="s">
        <v>114</v>
      </c>
      <c r="C255" s="63">
        <v>7.700026819E10</v>
      </c>
      <c r="D255" s="6" t="s">
        <v>43</v>
      </c>
      <c r="E255" s="51" t="s">
        <v>732</v>
      </c>
      <c r="F255" s="6" t="s">
        <v>733</v>
      </c>
      <c r="G255" s="6" t="s">
        <v>734</v>
      </c>
      <c r="H255" s="6" t="s">
        <v>735</v>
      </c>
      <c r="I255" s="7"/>
      <c r="J255" s="7"/>
      <c r="K255" s="7"/>
      <c r="L255" s="4"/>
      <c r="M255" s="4"/>
      <c r="N255" s="4"/>
      <c r="O255" s="4"/>
      <c r="P255" s="4"/>
      <c r="Q255" s="4"/>
      <c r="R255" s="4"/>
      <c r="S255" s="4"/>
      <c r="T255" s="4"/>
      <c r="U255" s="4"/>
      <c r="V255" s="4"/>
      <c r="W255" s="4"/>
    </row>
    <row r="256">
      <c r="A256" s="5">
        <v>251.0</v>
      </c>
      <c r="B256" s="25" t="s">
        <v>202</v>
      </c>
      <c r="C256" s="6">
        <v>7.7000241479E10</v>
      </c>
      <c r="D256" s="6" t="s">
        <v>13</v>
      </c>
      <c r="E256" s="6" t="s">
        <v>736</v>
      </c>
      <c r="F256" s="7"/>
      <c r="G256" s="7"/>
      <c r="H256" s="6" t="s">
        <v>737</v>
      </c>
      <c r="I256" s="7"/>
      <c r="J256" s="6" t="s">
        <v>10</v>
      </c>
      <c r="K256" s="7"/>
      <c r="L256" s="4"/>
      <c r="M256" s="4"/>
      <c r="N256" s="4"/>
      <c r="O256" s="4"/>
      <c r="P256" s="4"/>
      <c r="Q256" s="4"/>
      <c r="R256" s="4"/>
      <c r="S256" s="4"/>
      <c r="T256" s="4"/>
      <c r="U256" s="4"/>
      <c r="V256" s="4"/>
      <c r="W256" s="4"/>
    </row>
    <row r="257">
      <c r="A257" s="5">
        <f t="shared" ref="A257:A503" si="11">A256+1</f>
        <v>252</v>
      </c>
      <c r="B257" s="25" t="s">
        <v>114</v>
      </c>
      <c r="C257" s="6">
        <v>7.7000264942E10</v>
      </c>
      <c r="D257" s="6" t="s">
        <v>19</v>
      </c>
      <c r="E257" s="6" t="s">
        <v>738</v>
      </c>
      <c r="F257" s="7"/>
      <c r="G257" s="6" t="s">
        <v>73</v>
      </c>
      <c r="H257" s="6" t="s">
        <v>739</v>
      </c>
      <c r="I257" s="7"/>
      <c r="J257" s="7"/>
      <c r="K257" s="7"/>
      <c r="L257" s="4"/>
      <c r="M257" s="4"/>
      <c r="N257" s="4"/>
      <c r="O257" s="4"/>
      <c r="P257" s="4"/>
      <c r="Q257" s="4"/>
      <c r="R257" s="4"/>
      <c r="S257" s="4"/>
      <c r="T257" s="4"/>
      <c r="U257" s="4"/>
      <c r="V257" s="4"/>
      <c r="W257" s="4"/>
    </row>
    <row r="258">
      <c r="A258" s="5">
        <f t="shared" si="11"/>
        <v>253</v>
      </c>
      <c r="B258" s="25" t="s">
        <v>202</v>
      </c>
      <c r="C258" s="6" t="s">
        <v>740</v>
      </c>
      <c r="D258" s="6" t="s">
        <v>382</v>
      </c>
      <c r="E258" s="6" t="s">
        <v>741</v>
      </c>
      <c r="F258" s="7"/>
      <c r="G258" s="7"/>
      <c r="H258" s="6" t="s">
        <v>742</v>
      </c>
      <c r="I258" s="7"/>
      <c r="J258" s="7"/>
      <c r="K258" s="7"/>
      <c r="L258" s="4"/>
      <c r="M258" s="4"/>
      <c r="N258" s="4"/>
      <c r="O258" s="4"/>
      <c r="P258" s="4"/>
      <c r="Q258" s="4"/>
      <c r="R258" s="4"/>
      <c r="S258" s="4"/>
      <c r="T258" s="4"/>
      <c r="U258" s="4"/>
      <c r="V258" s="4"/>
      <c r="W258" s="4"/>
    </row>
    <row r="259">
      <c r="A259" s="5">
        <f t="shared" si="11"/>
        <v>254</v>
      </c>
      <c r="B259" s="25" t="s">
        <v>202</v>
      </c>
      <c r="C259" s="6">
        <v>7.7000251375E10</v>
      </c>
      <c r="D259" s="7"/>
      <c r="E259" s="6" t="s">
        <v>743</v>
      </c>
      <c r="F259" s="6" t="s">
        <v>744</v>
      </c>
      <c r="G259" s="6" t="s">
        <v>717</v>
      </c>
      <c r="H259" s="64" t="s">
        <v>745</v>
      </c>
      <c r="I259" s="7"/>
      <c r="J259" s="6" t="s">
        <v>10</v>
      </c>
      <c r="K259" s="7"/>
      <c r="L259" s="4"/>
      <c r="M259" s="4"/>
      <c r="N259" s="4"/>
      <c r="O259" s="4"/>
      <c r="P259" s="4"/>
      <c r="Q259" s="4"/>
      <c r="R259" s="4"/>
      <c r="S259" s="4"/>
      <c r="T259" s="4"/>
      <c r="U259" s="4"/>
      <c r="V259" s="4"/>
      <c r="W259" s="4"/>
    </row>
    <row r="260">
      <c r="A260" s="5">
        <f t="shared" si="11"/>
        <v>255</v>
      </c>
      <c r="B260" s="25" t="s">
        <v>114</v>
      </c>
      <c r="C260" s="6" t="s">
        <v>746</v>
      </c>
      <c r="D260" s="6" t="s">
        <v>49</v>
      </c>
      <c r="E260" s="6" t="s">
        <v>747</v>
      </c>
      <c r="F260" s="7"/>
      <c r="G260" s="7"/>
      <c r="H260" s="7"/>
      <c r="I260" s="7"/>
      <c r="J260" s="6" t="s">
        <v>10</v>
      </c>
      <c r="K260" s="7"/>
      <c r="L260" s="4"/>
      <c r="M260" s="4"/>
      <c r="N260" s="4"/>
      <c r="O260" s="4"/>
      <c r="P260" s="4"/>
      <c r="Q260" s="4"/>
      <c r="R260" s="4"/>
      <c r="S260" s="4"/>
      <c r="T260" s="4"/>
      <c r="U260" s="4"/>
      <c r="V260" s="4"/>
      <c r="W260" s="4"/>
    </row>
    <row r="261">
      <c r="A261" s="5">
        <f t="shared" si="11"/>
        <v>256</v>
      </c>
      <c r="B261" s="25" t="s">
        <v>114</v>
      </c>
      <c r="C261" s="6" t="s">
        <v>748</v>
      </c>
      <c r="D261" s="6" t="s">
        <v>49</v>
      </c>
      <c r="E261" s="6" t="s">
        <v>749</v>
      </c>
      <c r="F261" s="7"/>
      <c r="G261" s="7"/>
      <c r="H261" s="7"/>
      <c r="I261" s="7"/>
      <c r="J261" s="6" t="s">
        <v>10</v>
      </c>
      <c r="K261" s="7"/>
      <c r="L261" s="4"/>
      <c r="M261" s="4"/>
      <c r="N261" s="4"/>
      <c r="O261" s="4"/>
      <c r="P261" s="4"/>
      <c r="Q261" s="4"/>
      <c r="R261" s="4"/>
      <c r="S261" s="4"/>
      <c r="T261" s="4"/>
      <c r="U261" s="4"/>
      <c r="V261" s="4"/>
      <c r="W261" s="4"/>
    </row>
    <row r="262">
      <c r="A262" s="5">
        <f t="shared" si="11"/>
        <v>257</v>
      </c>
      <c r="B262" s="25" t="s">
        <v>114</v>
      </c>
      <c r="C262" s="6" t="s">
        <v>750</v>
      </c>
      <c r="D262" s="6" t="s">
        <v>49</v>
      </c>
      <c r="E262" s="6" t="s">
        <v>749</v>
      </c>
      <c r="F262" s="7"/>
      <c r="G262" s="7"/>
      <c r="H262" s="7"/>
      <c r="I262" s="7"/>
      <c r="J262" s="6" t="s">
        <v>10</v>
      </c>
      <c r="K262" s="7"/>
      <c r="L262" s="4"/>
      <c r="M262" s="4"/>
      <c r="N262" s="4"/>
      <c r="O262" s="4"/>
      <c r="P262" s="4"/>
      <c r="Q262" s="4"/>
      <c r="R262" s="4"/>
      <c r="S262" s="4"/>
      <c r="T262" s="4"/>
      <c r="U262" s="4"/>
      <c r="V262" s="4"/>
      <c r="W262" s="4"/>
    </row>
    <row r="263">
      <c r="A263" s="5">
        <f t="shared" si="11"/>
        <v>258</v>
      </c>
      <c r="B263" s="25" t="s">
        <v>114</v>
      </c>
      <c r="C263" s="20" t="s">
        <v>118</v>
      </c>
      <c r="D263" s="7"/>
      <c r="E263" s="7"/>
      <c r="F263" s="7"/>
      <c r="G263" s="7"/>
      <c r="H263" s="7"/>
      <c r="I263" s="7"/>
      <c r="J263" s="6" t="s">
        <v>10</v>
      </c>
      <c r="K263" s="7"/>
      <c r="L263" s="4"/>
      <c r="M263" s="4"/>
      <c r="N263" s="4"/>
      <c r="O263" s="4"/>
      <c r="P263" s="4"/>
      <c r="Q263" s="4"/>
      <c r="R263" s="4"/>
      <c r="S263" s="4"/>
      <c r="T263" s="4"/>
      <c r="U263" s="4"/>
      <c r="V263" s="4"/>
      <c r="W263" s="4"/>
    </row>
    <row r="264">
      <c r="A264" s="5">
        <f t="shared" si="11"/>
        <v>259</v>
      </c>
      <c r="B264" s="25" t="s">
        <v>202</v>
      </c>
      <c r="C264" s="6"/>
      <c r="D264" s="7"/>
      <c r="E264" s="6" t="s">
        <v>751</v>
      </c>
      <c r="F264" s="7"/>
      <c r="G264" s="7"/>
      <c r="H264" s="6" t="s">
        <v>752</v>
      </c>
      <c r="I264" s="7"/>
      <c r="J264" s="7"/>
      <c r="K264" s="7"/>
      <c r="L264" s="4"/>
      <c r="M264" s="4"/>
      <c r="N264" s="4"/>
      <c r="O264" s="4"/>
      <c r="P264" s="4"/>
      <c r="Q264" s="4"/>
      <c r="R264" s="4"/>
      <c r="S264" s="4"/>
      <c r="T264" s="4"/>
      <c r="U264" s="4"/>
      <c r="V264" s="4"/>
      <c r="W264" s="4"/>
    </row>
    <row r="265">
      <c r="A265" s="5">
        <f t="shared" si="11"/>
        <v>260</v>
      </c>
      <c r="B265" s="25" t="s">
        <v>11</v>
      </c>
      <c r="C265" s="6">
        <v>7.7000263796E10</v>
      </c>
      <c r="D265" s="6" t="s">
        <v>13</v>
      </c>
      <c r="E265" s="6" t="s">
        <v>753</v>
      </c>
      <c r="F265" s="6" t="s">
        <v>754</v>
      </c>
      <c r="G265" s="6" t="s">
        <v>24</v>
      </c>
      <c r="H265" s="6" t="s">
        <v>755</v>
      </c>
      <c r="I265" s="6" t="s">
        <v>756</v>
      </c>
      <c r="J265" s="7"/>
      <c r="K265" s="7"/>
      <c r="L265" s="4"/>
      <c r="M265" s="4"/>
      <c r="N265" s="4"/>
      <c r="O265" s="4"/>
      <c r="P265" s="4"/>
      <c r="Q265" s="4"/>
      <c r="R265" s="4"/>
      <c r="S265" s="4"/>
      <c r="T265" s="4"/>
      <c r="U265" s="4"/>
      <c r="V265" s="4"/>
      <c r="W265" s="4"/>
    </row>
    <row r="266">
      <c r="A266" s="5">
        <f t="shared" si="11"/>
        <v>261</v>
      </c>
      <c r="B266" s="25" t="s">
        <v>202</v>
      </c>
      <c r="C266" s="6">
        <v>7.7000239094E10</v>
      </c>
      <c r="D266" s="6" t="s">
        <v>13</v>
      </c>
      <c r="E266" s="6" t="s">
        <v>757</v>
      </c>
      <c r="F266" s="7"/>
      <c r="G266" s="7"/>
      <c r="H266" s="6" t="s">
        <v>758</v>
      </c>
      <c r="I266" s="7"/>
      <c r="J266" s="7"/>
      <c r="K266" s="7"/>
      <c r="L266" s="4"/>
      <c r="M266" s="4"/>
      <c r="N266" s="4"/>
      <c r="O266" s="4"/>
      <c r="P266" s="4"/>
      <c r="Q266" s="4"/>
      <c r="R266" s="4"/>
      <c r="S266" s="4"/>
      <c r="T266" s="4"/>
      <c r="U266" s="4"/>
      <c r="V266" s="4"/>
      <c r="W266" s="4"/>
    </row>
    <row r="267">
      <c r="A267" s="5">
        <f t="shared" si="11"/>
        <v>262</v>
      </c>
      <c r="B267" s="25" t="s">
        <v>202</v>
      </c>
      <c r="C267" s="6">
        <v>7.7000241159E10</v>
      </c>
      <c r="D267" s="6" t="s">
        <v>49</v>
      </c>
      <c r="E267" s="6" t="s">
        <v>759</v>
      </c>
      <c r="F267" s="7"/>
      <c r="G267" s="7"/>
      <c r="H267" s="6" t="s">
        <v>760</v>
      </c>
      <c r="I267" s="7"/>
      <c r="J267" s="7"/>
      <c r="K267" s="7"/>
      <c r="L267" s="4"/>
      <c r="M267" s="4"/>
      <c r="N267" s="4"/>
      <c r="O267" s="4"/>
      <c r="P267" s="4"/>
      <c r="Q267" s="4"/>
      <c r="R267" s="4"/>
      <c r="S267" s="4"/>
      <c r="T267" s="4"/>
      <c r="U267" s="4"/>
      <c r="V267" s="4"/>
      <c r="W267" s="4"/>
    </row>
    <row r="268">
      <c r="A268" s="5">
        <f t="shared" si="11"/>
        <v>263</v>
      </c>
      <c r="B268" s="25" t="s">
        <v>202</v>
      </c>
      <c r="C268" s="7"/>
      <c r="D268" s="6" t="s">
        <v>49</v>
      </c>
      <c r="E268" s="6" t="s">
        <v>761</v>
      </c>
      <c r="F268" s="7"/>
      <c r="G268" s="7"/>
      <c r="H268" s="6" t="s">
        <v>762</v>
      </c>
      <c r="I268" s="7"/>
      <c r="J268" s="7"/>
      <c r="K268" s="7"/>
      <c r="L268" s="4"/>
      <c r="M268" s="4"/>
      <c r="N268" s="4"/>
      <c r="O268" s="4"/>
      <c r="P268" s="4"/>
      <c r="Q268" s="4"/>
      <c r="R268" s="4"/>
      <c r="S268" s="4"/>
      <c r="T268" s="4"/>
      <c r="U268" s="4"/>
      <c r="V268" s="4"/>
      <c r="W268" s="4"/>
    </row>
    <row r="269">
      <c r="A269" s="5">
        <f t="shared" si="11"/>
        <v>264</v>
      </c>
      <c r="B269" s="25" t="s">
        <v>202</v>
      </c>
      <c r="C269" s="6">
        <v>7.700024078E10</v>
      </c>
      <c r="D269" s="6" t="s">
        <v>763</v>
      </c>
      <c r="E269" s="6" t="s">
        <v>764</v>
      </c>
      <c r="F269" s="7"/>
      <c r="G269" s="7"/>
      <c r="H269" s="6" t="s">
        <v>765</v>
      </c>
      <c r="I269" s="7"/>
      <c r="J269" s="7"/>
      <c r="K269" s="7"/>
      <c r="L269" s="4"/>
      <c r="M269" s="4"/>
      <c r="N269" s="4"/>
      <c r="O269" s="4"/>
      <c r="P269" s="4"/>
      <c r="Q269" s="4"/>
      <c r="R269" s="4"/>
      <c r="S269" s="4"/>
      <c r="T269" s="4"/>
      <c r="U269" s="4"/>
      <c r="V269" s="4"/>
      <c r="W269" s="4"/>
    </row>
    <row r="270">
      <c r="A270" s="5">
        <f t="shared" si="11"/>
        <v>265</v>
      </c>
      <c r="B270" s="25" t="s">
        <v>114</v>
      </c>
      <c r="C270" s="6">
        <v>7.7000265005E10</v>
      </c>
      <c r="D270" s="6" t="s">
        <v>13</v>
      </c>
      <c r="E270" s="6" t="s">
        <v>766</v>
      </c>
      <c r="F270" s="7"/>
      <c r="G270" s="7"/>
      <c r="H270" s="7"/>
      <c r="I270" s="7"/>
      <c r="J270" s="7"/>
      <c r="K270" s="7"/>
      <c r="L270" s="4"/>
      <c r="M270" s="4"/>
      <c r="N270" s="4"/>
      <c r="O270" s="4"/>
      <c r="P270" s="4"/>
      <c r="Q270" s="4"/>
      <c r="R270" s="4"/>
      <c r="S270" s="4"/>
      <c r="T270" s="4"/>
      <c r="U270" s="4"/>
      <c r="V270" s="4"/>
      <c r="W270" s="4"/>
    </row>
    <row r="271">
      <c r="A271" s="5">
        <f t="shared" si="11"/>
        <v>266</v>
      </c>
      <c r="B271" s="25" t="s">
        <v>202</v>
      </c>
      <c r="C271" s="7"/>
      <c r="D271" s="7"/>
      <c r="E271" s="65" t="s">
        <v>767</v>
      </c>
      <c r="F271" s="66"/>
      <c r="G271" s="67"/>
      <c r="H271" s="66" t="s">
        <v>768</v>
      </c>
      <c r="I271" s="67" t="s">
        <v>769</v>
      </c>
      <c r="J271" s="7"/>
      <c r="K271" s="7"/>
      <c r="L271" s="4"/>
      <c r="M271" s="4"/>
      <c r="N271" s="4"/>
      <c r="O271" s="4"/>
      <c r="P271" s="4"/>
      <c r="Q271" s="4"/>
      <c r="R271" s="4"/>
      <c r="S271" s="4"/>
      <c r="T271" s="4"/>
      <c r="U271" s="4"/>
      <c r="V271" s="4"/>
      <c r="W271" s="4"/>
    </row>
    <row r="272">
      <c r="A272" s="5">
        <f t="shared" si="11"/>
        <v>267</v>
      </c>
      <c r="B272" s="25" t="s">
        <v>202</v>
      </c>
      <c r="C272" s="7"/>
      <c r="D272" s="7"/>
      <c r="E272" s="65" t="s">
        <v>770</v>
      </c>
      <c r="F272" s="66"/>
      <c r="G272" s="67"/>
      <c r="H272" s="66" t="s">
        <v>771</v>
      </c>
      <c r="I272" s="67" t="s">
        <v>772</v>
      </c>
      <c r="J272" s="7"/>
      <c r="K272" s="7"/>
      <c r="L272" s="4"/>
      <c r="M272" s="4"/>
      <c r="N272" s="4"/>
      <c r="O272" s="4"/>
      <c r="P272" s="4"/>
      <c r="Q272" s="4"/>
      <c r="R272" s="4"/>
      <c r="S272" s="4"/>
      <c r="T272" s="4"/>
      <c r="U272" s="4"/>
      <c r="V272" s="4"/>
      <c r="W272" s="4"/>
    </row>
    <row r="273">
      <c r="A273" s="5">
        <f t="shared" si="11"/>
        <v>268</v>
      </c>
      <c r="B273" s="25" t="s">
        <v>202</v>
      </c>
      <c r="C273" s="6">
        <v>7.7000246552E10</v>
      </c>
      <c r="D273" s="6" t="s">
        <v>13</v>
      </c>
      <c r="E273" s="6" t="s">
        <v>773</v>
      </c>
      <c r="F273" s="7"/>
      <c r="G273" s="7"/>
      <c r="H273" s="6" t="s">
        <v>774</v>
      </c>
      <c r="I273" s="7"/>
      <c r="J273" s="7"/>
      <c r="K273" s="7"/>
      <c r="L273" s="4"/>
      <c r="M273" s="4"/>
      <c r="N273" s="4"/>
      <c r="O273" s="4"/>
      <c r="P273" s="4"/>
      <c r="Q273" s="4"/>
      <c r="R273" s="4"/>
      <c r="S273" s="4"/>
      <c r="T273" s="4"/>
      <c r="U273" s="4"/>
      <c r="V273" s="4"/>
      <c r="W273" s="4"/>
    </row>
    <row r="274">
      <c r="A274" s="5">
        <f t="shared" si="11"/>
        <v>269</v>
      </c>
      <c r="B274" s="25" t="s">
        <v>114</v>
      </c>
      <c r="C274" s="6">
        <v>7.7000261867E10</v>
      </c>
      <c r="D274" s="6" t="s">
        <v>78</v>
      </c>
      <c r="E274" s="6" t="s">
        <v>775</v>
      </c>
      <c r="F274" s="6" t="s">
        <v>776</v>
      </c>
      <c r="G274" s="6" t="s">
        <v>595</v>
      </c>
      <c r="H274" s="27" t="s">
        <v>777</v>
      </c>
      <c r="I274" s="6" t="s">
        <v>778</v>
      </c>
      <c r="J274" s="7"/>
      <c r="K274" s="7"/>
      <c r="L274" s="4"/>
      <c r="M274" s="4"/>
      <c r="N274" s="4"/>
      <c r="O274" s="4"/>
      <c r="P274" s="4"/>
      <c r="Q274" s="4"/>
      <c r="R274" s="4"/>
      <c r="S274" s="4"/>
      <c r="T274" s="4"/>
      <c r="U274" s="4"/>
      <c r="V274" s="4"/>
      <c r="W274" s="4"/>
    </row>
    <row r="275">
      <c r="A275" s="5">
        <f t="shared" si="11"/>
        <v>270</v>
      </c>
      <c r="B275" s="25" t="s">
        <v>114</v>
      </c>
      <c r="C275" s="6">
        <v>7.7000262157E10</v>
      </c>
      <c r="D275" s="6" t="s">
        <v>19</v>
      </c>
      <c r="E275" s="6" t="s">
        <v>779</v>
      </c>
      <c r="F275" s="6" t="s">
        <v>780</v>
      </c>
      <c r="G275" s="6" t="s">
        <v>781</v>
      </c>
      <c r="H275" s="6" t="s">
        <v>782</v>
      </c>
      <c r="I275" s="10" t="s">
        <v>783</v>
      </c>
      <c r="J275" s="7"/>
      <c r="K275" s="7"/>
      <c r="L275" s="4"/>
      <c r="M275" s="4"/>
      <c r="N275" s="4"/>
      <c r="O275" s="4"/>
      <c r="P275" s="4"/>
      <c r="Q275" s="4"/>
      <c r="R275" s="4"/>
      <c r="S275" s="4"/>
      <c r="T275" s="4"/>
      <c r="U275" s="4"/>
      <c r="V275" s="4"/>
      <c r="W275" s="4"/>
    </row>
    <row r="276">
      <c r="A276" s="5">
        <f t="shared" si="11"/>
        <v>271</v>
      </c>
      <c r="B276" s="25" t="s">
        <v>114</v>
      </c>
      <c r="C276" s="6">
        <v>7.7000267932E10</v>
      </c>
      <c r="D276" s="6" t="s">
        <v>43</v>
      </c>
      <c r="E276" s="6" t="s">
        <v>784</v>
      </c>
      <c r="F276" s="6" t="s">
        <v>785</v>
      </c>
      <c r="G276" s="7"/>
      <c r="H276" s="27" t="s">
        <v>786</v>
      </c>
      <c r="I276" s="10" t="s">
        <v>787</v>
      </c>
      <c r="K276" s="7"/>
      <c r="L276" s="4"/>
      <c r="M276" s="4"/>
      <c r="N276" s="4"/>
      <c r="O276" s="4"/>
      <c r="P276" s="4"/>
      <c r="Q276" s="4"/>
      <c r="R276" s="4"/>
      <c r="S276" s="4"/>
      <c r="T276" s="4"/>
      <c r="U276" s="4"/>
      <c r="V276" s="4"/>
      <c r="W276" s="4"/>
    </row>
    <row r="277">
      <c r="A277" s="5">
        <f t="shared" si="11"/>
        <v>272</v>
      </c>
      <c r="B277" s="25" t="s">
        <v>114</v>
      </c>
      <c r="C277" s="6">
        <v>7.7000011349E10</v>
      </c>
      <c r="D277" s="6" t="s">
        <v>49</v>
      </c>
      <c r="E277" s="6" t="s">
        <v>788</v>
      </c>
      <c r="F277" s="7"/>
      <c r="G277" s="7"/>
      <c r="H277" s="7"/>
      <c r="I277" s="7"/>
      <c r="J277" s="6" t="s">
        <v>10</v>
      </c>
      <c r="K277" s="6" t="s">
        <v>10</v>
      </c>
      <c r="L277" s="4"/>
      <c r="M277" s="4"/>
      <c r="N277" s="4"/>
      <c r="O277" s="4"/>
      <c r="P277" s="4"/>
      <c r="Q277" s="4"/>
      <c r="R277" s="4"/>
      <c r="S277" s="4"/>
      <c r="T277" s="4"/>
      <c r="U277" s="4"/>
      <c r="V277" s="4"/>
      <c r="W277" s="4"/>
    </row>
    <row r="278">
      <c r="A278" s="5">
        <f t="shared" si="11"/>
        <v>273</v>
      </c>
      <c r="B278" s="25" t="s">
        <v>114</v>
      </c>
      <c r="C278" s="6">
        <v>7.7000241296E10</v>
      </c>
      <c r="D278" s="6" t="s">
        <v>49</v>
      </c>
      <c r="E278" s="6" t="s">
        <v>789</v>
      </c>
      <c r="F278" s="7"/>
      <c r="G278" s="7"/>
      <c r="H278" s="7"/>
      <c r="I278" s="7"/>
      <c r="J278" s="6" t="s">
        <v>10</v>
      </c>
      <c r="K278" s="6" t="s">
        <v>10</v>
      </c>
      <c r="L278" s="4"/>
      <c r="M278" s="4"/>
      <c r="N278" s="4"/>
      <c r="O278" s="4"/>
      <c r="P278" s="4"/>
      <c r="Q278" s="4"/>
      <c r="R278" s="4"/>
      <c r="S278" s="4"/>
      <c r="T278" s="4"/>
      <c r="U278" s="4"/>
      <c r="V278" s="4"/>
      <c r="W278" s="4"/>
    </row>
    <row r="279">
      <c r="A279" s="5">
        <f t="shared" si="11"/>
        <v>274</v>
      </c>
      <c r="B279" s="68"/>
      <c r="C279" s="7"/>
      <c r="D279" s="7"/>
      <c r="E279" s="7"/>
      <c r="F279" s="7"/>
      <c r="G279" s="7"/>
      <c r="H279" s="7"/>
      <c r="I279" s="7"/>
      <c r="J279" s="7"/>
      <c r="K279" s="7"/>
      <c r="L279" s="4"/>
      <c r="M279" s="4"/>
      <c r="N279" s="4"/>
      <c r="O279" s="4"/>
      <c r="P279" s="4"/>
      <c r="Q279" s="4"/>
      <c r="R279" s="4"/>
      <c r="S279" s="4"/>
      <c r="T279" s="4"/>
      <c r="U279" s="4"/>
      <c r="V279" s="4"/>
      <c r="W279" s="4"/>
    </row>
    <row r="280">
      <c r="A280" s="5">
        <f t="shared" si="11"/>
        <v>275</v>
      </c>
      <c r="B280" s="68"/>
      <c r="C280" s="7"/>
      <c r="D280" s="7"/>
      <c r="E280" s="7"/>
      <c r="F280" s="7"/>
      <c r="G280" s="7"/>
      <c r="H280" s="7"/>
      <c r="I280" s="7"/>
      <c r="J280" s="7"/>
      <c r="K280" s="7"/>
      <c r="L280" s="4"/>
      <c r="M280" s="4"/>
      <c r="N280" s="4"/>
      <c r="O280" s="4"/>
      <c r="P280" s="4"/>
      <c r="Q280" s="4"/>
      <c r="R280" s="4"/>
      <c r="S280" s="4"/>
      <c r="T280" s="4"/>
      <c r="U280" s="4"/>
      <c r="V280" s="4"/>
      <c r="W280" s="4"/>
    </row>
    <row r="281">
      <c r="A281" s="5">
        <f t="shared" si="11"/>
        <v>276</v>
      </c>
      <c r="B281" s="68"/>
      <c r="C281" s="7"/>
      <c r="D281" s="7"/>
      <c r="E281" s="7"/>
      <c r="F281" s="7"/>
      <c r="G281" s="7"/>
      <c r="H281" s="7"/>
      <c r="I281" s="7"/>
      <c r="J281" s="7"/>
      <c r="K281" s="7"/>
      <c r="L281" s="4"/>
      <c r="M281" s="4"/>
      <c r="N281" s="4"/>
      <c r="O281" s="4"/>
      <c r="P281" s="4"/>
      <c r="Q281" s="4"/>
      <c r="R281" s="4"/>
      <c r="S281" s="4"/>
      <c r="T281" s="4"/>
      <c r="U281" s="4"/>
      <c r="V281" s="4"/>
      <c r="W281" s="4"/>
    </row>
    <row r="282">
      <c r="A282" s="5">
        <f t="shared" si="11"/>
        <v>277</v>
      </c>
      <c r="B282" s="68"/>
      <c r="C282" s="7"/>
      <c r="D282" s="7"/>
      <c r="E282" s="7"/>
      <c r="F282" s="7"/>
      <c r="G282" s="7"/>
      <c r="H282" s="7"/>
      <c r="I282" s="7"/>
      <c r="J282" s="7"/>
      <c r="K282" s="7"/>
      <c r="L282" s="4"/>
      <c r="M282" s="4"/>
      <c r="N282" s="4"/>
      <c r="O282" s="4"/>
      <c r="P282" s="4"/>
      <c r="Q282" s="4"/>
      <c r="R282" s="4"/>
      <c r="S282" s="4"/>
      <c r="T282" s="4"/>
      <c r="U282" s="4"/>
      <c r="V282" s="4"/>
      <c r="W282" s="4"/>
    </row>
    <row r="283">
      <c r="A283" s="5">
        <f t="shared" si="11"/>
        <v>278</v>
      </c>
      <c r="B283" s="68"/>
      <c r="C283" s="7"/>
      <c r="D283" s="7"/>
      <c r="E283" s="7"/>
      <c r="F283" s="7"/>
      <c r="G283" s="7"/>
      <c r="H283" s="7"/>
      <c r="I283" s="7"/>
      <c r="J283" s="7"/>
      <c r="K283" s="7"/>
      <c r="L283" s="4"/>
      <c r="M283" s="4"/>
      <c r="N283" s="4"/>
      <c r="O283" s="4"/>
      <c r="P283" s="4"/>
      <c r="Q283" s="4"/>
      <c r="R283" s="4"/>
      <c r="S283" s="4"/>
      <c r="T283" s="4"/>
      <c r="U283" s="4"/>
      <c r="V283" s="4"/>
      <c r="W283" s="4"/>
    </row>
    <row r="284">
      <c r="A284" s="5">
        <f t="shared" si="11"/>
        <v>279</v>
      </c>
      <c r="B284" s="68"/>
      <c r="C284" s="7"/>
      <c r="D284" s="7"/>
      <c r="E284" s="7"/>
      <c r="F284" s="7"/>
      <c r="G284" s="7"/>
      <c r="H284" s="7"/>
      <c r="I284" s="7"/>
      <c r="J284" s="7"/>
      <c r="K284" s="7"/>
      <c r="L284" s="4"/>
      <c r="M284" s="4"/>
      <c r="N284" s="4"/>
      <c r="O284" s="4"/>
      <c r="P284" s="4"/>
      <c r="Q284" s="4"/>
      <c r="R284" s="4"/>
      <c r="S284" s="4"/>
      <c r="T284" s="4"/>
      <c r="U284" s="4"/>
      <c r="V284" s="4"/>
      <c r="W284" s="4"/>
    </row>
    <row r="285">
      <c r="A285" s="5">
        <f t="shared" si="11"/>
        <v>280</v>
      </c>
      <c r="B285" s="68"/>
      <c r="C285" s="7"/>
      <c r="D285" s="7"/>
      <c r="E285" s="7"/>
      <c r="F285" s="7"/>
      <c r="G285" s="7"/>
      <c r="H285" s="7"/>
      <c r="I285" s="7"/>
      <c r="J285" s="7"/>
      <c r="K285" s="7"/>
      <c r="L285" s="4"/>
      <c r="M285" s="4"/>
      <c r="N285" s="4"/>
      <c r="O285" s="4"/>
      <c r="P285" s="4"/>
      <c r="Q285" s="4"/>
      <c r="R285" s="4"/>
      <c r="S285" s="4"/>
      <c r="T285" s="4"/>
      <c r="U285" s="4"/>
      <c r="V285" s="4"/>
      <c r="W285" s="4"/>
    </row>
    <row r="286">
      <c r="A286" s="5">
        <f t="shared" si="11"/>
        <v>281</v>
      </c>
      <c r="B286" s="68"/>
      <c r="C286" s="7"/>
      <c r="D286" s="7"/>
      <c r="E286" s="7"/>
      <c r="F286" s="7"/>
      <c r="G286" s="7"/>
      <c r="H286" s="7"/>
      <c r="I286" s="7"/>
      <c r="J286" s="7"/>
      <c r="K286" s="7"/>
      <c r="L286" s="4"/>
      <c r="M286" s="4"/>
      <c r="N286" s="4"/>
      <c r="O286" s="4"/>
      <c r="P286" s="4"/>
      <c r="Q286" s="4"/>
      <c r="R286" s="4"/>
      <c r="S286" s="4"/>
      <c r="T286" s="4"/>
      <c r="U286" s="4"/>
      <c r="V286" s="4"/>
      <c r="W286" s="4"/>
    </row>
    <row r="287">
      <c r="A287" s="5">
        <f t="shared" si="11"/>
        <v>282</v>
      </c>
      <c r="B287" s="68"/>
      <c r="C287" s="7"/>
      <c r="D287" s="7"/>
      <c r="E287" s="7"/>
      <c r="F287" s="7"/>
      <c r="G287" s="7"/>
      <c r="H287" s="7"/>
      <c r="I287" s="7"/>
      <c r="J287" s="7"/>
      <c r="K287" s="7"/>
      <c r="L287" s="4"/>
      <c r="M287" s="4"/>
      <c r="N287" s="4"/>
      <c r="O287" s="4"/>
      <c r="P287" s="4"/>
      <c r="Q287" s="4"/>
      <c r="R287" s="4"/>
      <c r="S287" s="4"/>
      <c r="T287" s="4"/>
      <c r="U287" s="4"/>
      <c r="V287" s="4"/>
      <c r="W287" s="4"/>
    </row>
    <row r="288">
      <c r="A288" s="5">
        <f t="shared" si="11"/>
        <v>283</v>
      </c>
      <c r="B288" s="68"/>
      <c r="C288" s="7"/>
      <c r="D288" s="7"/>
      <c r="E288" s="7"/>
      <c r="F288" s="7"/>
      <c r="G288" s="7"/>
      <c r="H288" s="7"/>
      <c r="I288" s="7"/>
      <c r="J288" s="7"/>
      <c r="K288" s="7"/>
      <c r="L288" s="4"/>
      <c r="M288" s="4"/>
      <c r="N288" s="4"/>
      <c r="O288" s="4"/>
      <c r="P288" s="4"/>
      <c r="Q288" s="4"/>
      <c r="R288" s="4"/>
      <c r="S288" s="4"/>
      <c r="T288" s="4"/>
      <c r="U288" s="4"/>
      <c r="V288" s="4"/>
      <c r="W288" s="4"/>
    </row>
    <row r="289">
      <c r="A289" s="5">
        <f t="shared" si="11"/>
        <v>284</v>
      </c>
      <c r="B289" s="68"/>
      <c r="C289" s="7"/>
      <c r="D289" s="7"/>
      <c r="E289" s="7"/>
      <c r="F289" s="7"/>
      <c r="G289" s="7"/>
      <c r="H289" s="7"/>
      <c r="I289" s="7"/>
      <c r="J289" s="7"/>
      <c r="K289" s="7"/>
      <c r="L289" s="4"/>
      <c r="M289" s="4"/>
      <c r="N289" s="4"/>
      <c r="O289" s="4"/>
      <c r="P289" s="4"/>
      <c r="Q289" s="4"/>
      <c r="R289" s="4"/>
      <c r="S289" s="4"/>
      <c r="T289" s="4"/>
      <c r="U289" s="4"/>
      <c r="V289" s="4"/>
      <c r="W289" s="4"/>
    </row>
    <row r="290">
      <c r="A290" s="5">
        <f t="shared" si="11"/>
        <v>285</v>
      </c>
      <c r="B290" s="68"/>
      <c r="C290" s="7"/>
      <c r="D290" s="7"/>
      <c r="E290" s="7"/>
      <c r="F290" s="7"/>
      <c r="G290" s="7"/>
      <c r="H290" s="7"/>
      <c r="I290" s="7"/>
      <c r="J290" s="7"/>
      <c r="K290" s="7"/>
      <c r="L290" s="4"/>
      <c r="M290" s="4"/>
      <c r="N290" s="4"/>
      <c r="O290" s="4"/>
      <c r="P290" s="4"/>
      <c r="Q290" s="4"/>
      <c r="R290" s="4"/>
      <c r="S290" s="4"/>
      <c r="T290" s="4"/>
      <c r="U290" s="4"/>
      <c r="V290" s="4"/>
      <c r="W290" s="4"/>
    </row>
    <row r="291">
      <c r="A291" s="5">
        <f t="shared" si="11"/>
        <v>286</v>
      </c>
      <c r="B291" s="68"/>
      <c r="C291" s="7"/>
      <c r="D291" s="7"/>
      <c r="E291" s="7"/>
      <c r="F291" s="7"/>
      <c r="G291" s="7"/>
      <c r="H291" s="7"/>
      <c r="I291" s="7"/>
      <c r="J291" s="7"/>
      <c r="K291" s="7"/>
      <c r="L291" s="4"/>
      <c r="M291" s="4"/>
      <c r="N291" s="4"/>
      <c r="O291" s="4"/>
      <c r="P291" s="4"/>
      <c r="Q291" s="4"/>
      <c r="R291" s="4"/>
      <c r="S291" s="4"/>
      <c r="T291" s="4"/>
      <c r="U291" s="4"/>
      <c r="V291" s="4"/>
      <c r="W291" s="4"/>
    </row>
    <row r="292">
      <c r="A292" s="5">
        <f t="shared" si="11"/>
        <v>287</v>
      </c>
      <c r="B292" s="68"/>
      <c r="C292" s="7"/>
      <c r="D292" s="7"/>
      <c r="E292" s="7"/>
      <c r="F292" s="7"/>
      <c r="G292" s="7"/>
      <c r="H292" s="7"/>
      <c r="I292" s="7"/>
      <c r="J292" s="7"/>
      <c r="K292" s="7"/>
      <c r="L292" s="4"/>
      <c r="M292" s="4"/>
      <c r="N292" s="4"/>
      <c r="O292" s="4"/>
      <c r="P292" s="4"/>
      <c r="Q292" s="4"/>
      <c r="R292" s="4"/>
      <c r="S292" s="4"/>
      <c r="T292" s="4"/>
      <c r="U292" s="4"/>
      <c r="V292" s="4"/>
      <c r="W292" s="4"/>
    </row>
    <row r="293">
      <c r="A293" s="5">
        <f t="shared" si="11"/>
        <v>288</v>
      </c>
      <c r="B293" s="68"/>
      <c r="C293" s="7"/>
      <c r="D293" s="7"/>
      <c r="E293" s="7"/>
      <c r="F293" s="7"/>
      <c r="G293" s="7"/>
      <c r="H293" s="7"/>
      <c r="I293" s="7"/>
      <c r="J293" s="7"/>
      <c r="K293" s="7"/>
      <c r="L293" s="4"/>
      <c r="M293" s="4"/>
      <c r="N293" s="4"/>
      <c r="O293" s="4"/>
      <c r="P293" s="4"/>
      <c r="Q293" s="4"/>
      <c r="R293" s="4"/>
      <c r="S293" s="4"/>
      <c r="T293" s="4"/>
      <c r="U293" s="4"/>
      <c r="V293" s="4"/>
      <c r="W293" s="4"/>
    </row>
    <row r="294">
      <c r="A294" s="5">
        <f t="shared" si="11"/>
        <v>289</v>
      </c>
      <c r="B294" s="68"/>
      <c r="C294" s="7"/>
      <c r="D294" s="7"/>
      <c r="E294" s="7"/>
      <c r="F294" s="7"/>
      <c r="G294" s="7"/>
      <c r="H294" s="7"/>
      <c r="I294" s="7"/>
      <c r="J294" s="7"/>
      <c r="K294" s="7"/>
      <c r="L294" s="4"/>
      <c r="M294" s="4"/>
      <c r="N294" s="4"/>
      <c r="O294" s="4"/>
      <c r="P294" s="4"/>
      <c r="Q294" s="4"/>
      <c r="R294" s="4"/>
      <c r="S294" s="4"/>
      <c r="T294" s="4"/>
      <c r="U294" s="4"/>
      <c r="V294" s="4"/>
      <c r="W294" s="4"/>
    </row>
    <row r="295">
      <c r="A295" s="5">
        <f t="shared" si="11"/>
        <v>290</v>
      </c>
      <c r="B295" s="68"/>
      <c r="C295" s="7"/>
      <c r="D295" s="7"/>
      <c r="E295" s="7"/>
      <c r="F295" s="7"/>
      <c r="G295" s="7"/>
      <c r="H295" s="7"/>
      <c r="I295" s="7"/>
      <c r="J295" s="7"/>
      <c r="K295" s="7"/>
      <c r="L295" s="4"/>
      <c r="M295" s="4"/>
      <c r="N295" s="4"/>
      <c r="O295" s="4"/>
      <c r="P295" s="4"/>
      <c r="Q295" s="4"/>
      <c r="R295" s="4"/>
      <c r="S295" s="4"/>
      <c r="T295" s="4"/>
      <c r="U295" s="4"/>
      <c r="V295" s="4"/>
      <c r="W295" s="4"/>
    </row>
    <row r="296">
      <c r="A296" s="5">
        <f t="shared" si="11"/>
        <v>291</v>
      </c>
      <c r="B296" s="68"/>
      <c r="C296" s="7"/>
      <c r="D296" s="7"/>
      <c r="E296" s="7"/>
      <c r="F296" s="7"/>
      <c r="G296" s="7"/>
      <c r="H296" s="7"/>
      <c r="I296" s="7"/>
      <c r="J296" s="7"/>
      <c r="K296" s="7"/>
      <c r="L296" s="4"/>
      <c r="M296" s="4"/>
      <c r="N296" s="4"/>
      <c r="O296" s="4"/>
      <c r="P296" s="4"/>
      <c r="Q296" s="4"/>
      <c r="R296" s="4"/>
      <c r="S296" s="4"/>
      <c r="T296" s="4"/>
      <c r="U296" s="4"/>
      <c r="V296" s="4"/>
      <c r="W296" s="4"/>
    </row>
    <row r="297">
      <c r="A297" s="5">
        <f t="shared" si="11"/>
        <v>292</v>
      </c>
      <c r="B297" s="68"/>
      <c r="C297" s="7"/>
      <c r="D297" s="7"/>
      <c r="E297" s="7"/>
      <c r="F297" s="7"/>
      <c r="G297" s="7"/>
      <c r="H297" s="7"/>
      <c r="I297" s="7"/>
      <c r="J297" s="7"/>
      <c r="K297" s="7"/>
      <c r="L297" s="4"/>
      <c r="M297" s="4"/>
      <c r="N297" s="4"/>
      <c r="O297" s="4"/>
      <c r="P297" s="4"/>
      <c r="Q297" s="4"/>
      <c r="R297" s="4"/>
      <c r="S297" s="4"/>
      <c r="T297" s="4"/>
      <c r="U297" s="4"/>
      <c r="V297" s="4"/>
      <c r="W297" s="4"/>
    </row>
    <row r="298">
      <c r="A298" s="5">
        <f t="shared" si="11"/>
        <v>293</v>
      </c>
      <c r="B298" s="68"/>
      <c r="C298" s="7"/>
      <c r="D298" s="7"/>
      <c r="E298" s="7"/>
      <c r="F298" s="7"/>
      <c r="G298" s="7"/>
      <c r="H298" s="7"/>
      <c r="I298" s="7"/>
      <c r="J298" s="7"/>
      <c r="K298" s="7"/>
      <c r="L298" s="4"/>
      <c r="M298" s="4"/>
      <c r="N298" s="4"/>
      <c r="O298" s="4"/>
      <c r="P298" s="4"/>
      <c r="Q298" s="4"/>
      <c r="R298" s="4"/>
      <c r="S298" s="4"/>
      <c r="T298" s="4"/>
      <c r="U298" s="4"/>
      <c r="V298" s="4"/>
      <c r="W298" s="4"/>
    </row>
    <row r="299">
      <c r="A299" s="5">
        <f t="shared" si="11"/>
        <v>294</v>
      </c>
      <c r="B299" s="68"/>
      <c r="C299" s="7"/>
      <c r="D299" s="7"/>
      <c r="E299" s="7"/>
      <c r="F299" s="7"/>
      <c r="G299" s="7"/>
      <c r="H299" s="7"/>
      <c r="I299" s="7"/>
      <c r="J299" s="7"/>
      <c r="K299" s="7"/>
      <c r="L299" s="4"/>
      <c r="M299" s="4"/>
      <c r="N299" s="4"/>
      <c r="O299" s="4"/>
      <c r="P299" s="4"/>
      <c r="Q299" s="4"/>
      <c r="R299" s="4"/>
      <c r="S299" s="4"/>
      <c r="T299" s="4"/>
      <c r="U299" s="4"/>
      <c r="V299" s="4"/>
      <c r="W299" s="4"/>
    </row>
    <row r="300">
      <c r="A300" s="5">
        <f t="shared" si="11"/>
        <v>295</v>
      </c>
      <c r="B300" s="68"/>
      <c r="C300" s="7"/>
      <c r="D300" s="7"/>
      <c r="E300" s="7"/>
      <c r="F300" s="7"/>
      <c r="G300" s="7"/>
      <c r="H300" s="7"/>
      <c r="I300" s="7"/>
      <c r="J300" s="7"/>
      <c r="K300" s="7"/>
      <c r="L300" s="4"/>
      <c r="M300" s="4"/>
      <c r="N300" s="4"/>
      <c r="O300" s="4"/>
      <c r="P300" s="4"/>
      <c r="Q300" s="4"/>
      <c r="R300" s="4"/>
      <c r="S300" s="4"/>
      <c r="T300" s="4"/>
      <c r="U300" s="4"/>
      <c r="V300" s="4"/>
      <c r="W300" s="4"/>
    </row>
    <row r="301">
      <c r="A301" s="5">
        <f t="shared" si="11"/>
        <v>296</v>
      </c>
      <c r="B301" s="68"/>
      <c r="C301" s="7"/>
      <c r="D301" s="7"/>
      <c r="E301" s="7"/>
      <c r="F301" s="7"/>
      <c r="G301" s="7"/>
      <c r="H301" s="7"/>
      <c r="I301" s="7"/>
      <c r="J301" s="7"/>
      <c r="K301" s="7"/>
      <c r="L301" s="4"/>
      <c r="M301" s="4"/>
      <c r="N301" s="4"/>
      <c r="O301" s="4"/>
      <c r="P301" s="4"/>
      <c r="Q301" s="4"/>
      <c r="R301" s="4"/>
      <c r="S301" s="4"/>
      <c r="T301" s="4"/>
      <c r="U301" s="4"/>
      <c r="V301" s="4"/>
      <c r="W301" s="4"/>
    </row>
    <row r="302">
      <c r="A302" s="5">
        <f t="shared" si="11"/>
        <v>297</v>
      </c>
      <c r="B302" s="68"/>
      <c r="C302" s="7"/>
      <c r="D302" s="7"/>
      <c r="E302" s="7"/>
      <c r="F302" s="7"/>
      <c r="G302" s="7"/>
      <c r="H302" s="7"/>
      <c r="I302" s="7"/>
      <c r="J302" s="7"/>
      <c r="K302" s="7"/>
      <c r="L302" s="4"/>
      <c r="M302" s="4"/>
      <c r="N302" s="4"/>
      <c r="O302" s="4"/>
      <c r="P302" s="4"/>
      <c r="Q302" s="4"/>
      <c r="R302" s="4"/>
      <c r="S302" s="4"/>
      <c r="T302" s="4"/>
      <c r="U302" s="4"/>
      <c r="V302" s="4"/>
      <c r="W302" s="4"/>
    </row>
    <row r="303">
      <c r="A303" s="5">
        <f t="shared" si="11"/>
        <v>298</v>
      </c>
      <c r="B303" s="68"/>
      <c r="C303" s="7"/>
      <c r="D303" s="7"/>
      <c r="E303" s="7"/>
      <c r="F303" s="7"/>
      <c r="G303" s="7"/>
      <c r="H303" s="7"/>
      <c r="I303" s="7"/>
      <c r="J303" s="7"/>
      <c r="K303" s="7"/>
      <c r="L303" s="4"/>
      <c r="M303" s="4"/>
      <c r="N303" s="4"/>
      <c r="O303" s="4"/>
      <c r="P303" s="4"/>
      <c r="Q303" s="4"/>
      <c r="R303" s="4"/>
      <c r="S303" s="4"/>
      <c r="T303" s="4"/>
      <c r="U303" s="4"/>
      <c r="V303" s="4"/>
      <c r="W303" s="4"/>
    </row>
    <row r="304">
      <c r="A304" s="5">
        <f t="shared" si="11"/>
        <v>299</v>
      </c>
      <c r="B304" s="68"/>
      <c r="C304" s="7"/>
      <c r="D304" s="7"/>
      <c r="E304" s="7"/>
      <c r="F304" s="7"/>
      <c r="G304" s="7"/>
      <c r="H304" s="7"/>
      <c r="I304" s="7"/>
      <c r="J304" s="7"/>
      <c r="K304" s="7"/>
      <c r="L304" s="4"/>
      <c r="M304" s="4"/>
      <c r="N304" s="4"/>
      <c r="O304" s="4"/>
      <c r="P304" s="4"/>
      <c r="Q304" s="4"/>
      <c r="R304" s="4"/>
      <c r="S304" s="4"/>
      <c r="T304" s="4"/>
      <c r="U304" s="4"/>
      <c r="V304" s="4"/>
      <c r="W304" s="4"/>
    </row>
    <row r="305">
      <c r="A305" s="5">
        <f t="shared" si="11"/>
        <v>300</v>
      </c>
      <c r="B305" s="68"/>
      <c r="C305" s="7"/>
      <c r="D305" s="7"/>
      <c r="E305" s="7"/>
      <c r="F305" s="7"/>
      <c r="G305" s="7"/>
      <c r="H305" s="7"/>
      <c r="I305" s="7"/>
      <c r="J305" s="7"/>
      <c r="K305" s="7"/>
      <c r="L305" s="4"/>
      <c r="M305" s="4"/>
      <c r="N305" s="4"/>
      <c r="O305" s="4"/>
      <c r="P305" s="4"/>
      <c r="Q305" s="4"/>
      <c r="R305" s="4"/>
      <c r="S305" s="4"/>
      <c r="T305" s="4"/>
      <c r="U305" s="4"/>
      <c r="V305" s="4"/>
      <c r="W305" s="4"/>
    </row>
    <row r="306">
      <c r="A306" s="5">
        <f t="shared" si="11"/>
        <v>301</v>
      </c>
      <c r="B306" s="68"/>
      <c r="C306" s="7"/>
      <c r="D306" s="7"/>
      <c r="E306" s="7"/>
      <c r="F306" s="7"/>
      <c r="G306" s="7"/>
      <c r="H306" s="7"/>
      <c r="I306" s="7"/>
      <c r="J306" s="7"/>
      <c r="K306" s="7"/>
      <c r="L306" s="4"/>
      <c r="M306" s="4"/>
      <c r="N306" s="4"/>
      <c r="O306" s="4"/>
      <c r="P306" s="4"/>
      <c r="Q306" s="4"/>
      <c r="R306" s="4"/>
      <c r="S306" s="4"/>
      <c r="T306" s="4"/>
      <c r="U306" s="4"/>
      <c r="V306" s="4"/>
      <c r="W306" s="4"/>
    </row>
    <row r="307">
      <c r="A307" s="5">
        <f t="shared" si="11"/>
        <v>302</v>
      </c>
      <c r="B307" s="68"/>
      <c r="C307" s="7"/>
      <c r="D307" s="7"/>
      <c r="E307" s="7"/>
      <c r="F307" s="7"/>
      <c r="G307" s="7"/>
      <c r="H307" s="7"/>
      <c r="I307" s="7"/>
      <c r="J307" s="7"/>
      <c r="K307" s="7"/>
      <c r="L307" s="4"/>
      <c r="M307" s="4"/>
      <c r="N307" s="4"/>
      <c r="O307" s="4"/>
      <c r="P307" s="4"/>
      <c r="Q307" s="4"/>
      <c r="R307" s="4"/>
      <c r="S307" s="4"/>
      <c r="T307" s="4"/>
      <c r="U307" s="4"/>
      <c r="V307" s="4"/>
      <c r="W307" s="4"/>
    </row>
    <row r="308">
      <c r="A308" s="5">
        <f t="shared" si="11"/>
        <v>303</v>
      </c>
      <c r="B308" s="68"/>
      <c r="C308" s="7"/>
      <c r="D308" s="7"/>
      <c r="E308" s="7"/>
      <c r="F308" s="7"/>
      <c r="G308" s="7"/>
      <c r="H308" s="7"/>
      <c r="I308" s="7"/>
      <c r="J308" s="7"/>
      <c r="K308" s="7"/>
      <c r="L308" s="4"/>
      <c r="M308" s="4"/>
      <c r="N308" s="4"/>
      <c r="O308" s="4"/>
      <c r="P308" s="4"/>
      <c r="Q308" s="4"/>
      <c r="R308" s="4"/>
      <c r="S308" s="4"/>
      <c r="T308" s="4"/>
      <c r="U308" s="4"/>
      <c r="V308" s="4"/>
      <c r="W308" s="4"/>
    </row>
    <row r="309">
      <c r="A309" s="5">
        <f t="shared" si="11"/>
        <v>304</v>
      </c>
      <c r="B309" s="68"/>
      <c r="C309" s="7"/>
      <c r="D309" s="7"/>
      <c r="E309" s="7"/>
      <c r="F309" s="7"/>
      <c r="G309" s="7"/>
      <c r="H309" s="7"/>
      <c r="I309" s="7"/>
      <c r="J309" s="7"/>
      <c r="K309" s="7"/>
      <c r="L309" s="4"/>
      <c r="M309" s="4"/>
      <c r="N309" s="4"/>
      <c r="O309" s="4"/>
      <c r="P309" s="4"/>
      <c r="Q309" s="4"/>
      <c r="R309" s="4"/>
      <c r="S309" s="4"/>
      <c r="T309" s="4"/>
      <c r="U309" s="4"/>
      <c r="V309" s="4"/>
      <c r="W309" s="4"/>
    </row>
    <row r="310">
      <c r="A310" s="5">
        <f t="shared" si="11"/>
        <v>305</v>
      </c>
      <c r="B310" s="68"/>
      <c r="C310" s="7"/>
      <c r="D310" s="7"/>
      <c r="E310" s="7"/>
      <c r="F310" s="7"/>
      <c r="G310" s="7"/>
      <c r="H310" s="7"/>
      <c r="I310" s="7"/>
      <c r="J310" s="7"/>
      <c r="K310" s="7"/>
      <c r="L310" s="4"/>
      <c r="M310" s="4"/>
      <c r="N310" s="4"/>
      <c r="O310" s="4"/>
      <c r="P310" s="4"/>
      <c r="Q310" s="4"/>
      <c r="R310" s="4"/>
      <c r="S310" s="4"/>
      <c r="T310" s="4"/>
      <c r="U310" s="4"/>
      <c r="V310" s="4"/>
      <c r="W310" s="4"/>
    </row>
    <row r="311">
      <c r="A311" s="5">
        <f t="shared" si="11"/>
        <v>306</v>
      </c>
      <c r="B311" s="68"/>
      <c r="C311" s="7"/>
      <c r="D311" s="7"/>
      <c r="E311" s="7"/>
      <c r="F311" s="7"/>
      <c r="G311" s="7"/>
      <c r="H311" s="7"/>
      <c r="I311" s="7"/>
      <c r="J311" s="7"/>
      <c r="K311" s="7"/>
      <c r="L311" s="4"/>
      <c r="M311" s="4"/>
      <c r="N311" s="4"/>
      <c r="O311" s="4"/>
      <c r="P311" s="4"/>
      <c r="Q311" s="4"/>
      <c r="R311" s="4"/>
      <c r="S311" s="4"/>
      <c r="T311" s="4"/>
      <c r="U311" s="4"/>
      <c r="V311" s="4"/>
      <c r="W311" s="4"/>
    </row>
    <row r="312">
      <c r="A312" s="5">
        <f t="shared" si="11"/>
        <v>307</v>
      </c>
      <c r="B312" s="68"/>
      <c r="C312" s="7"/>
      <c r="D312" s="7"/>
      <c r="E312" s="7"/>
      <c r="F312" s="7"/>
      <c r="G312" s="7"/>
      <c r="H312" s="7"/>
      <c r="I312" s="7"/>
      <c r="J312" s="7"/>
      <c r="K312" s="7"/>
      <c r="L312" s="4"/>
      <c r="M312" s="4"/>
      <c r="N312" s="4"/>
      <c r="O312" s="4"/>
      <c r="P312" s="4"/>
      <c r="Q312" s="4"/>
      <c r="R312" s="4"/>
      <c r="S312" s="4"/>
      <c r="T312" s="4"/>
      <c r="U312" s="4"/>
      <c r="V312" s="4"/>
      <c r="W312" s="4"/>
    </row>
    <row r="313">
      <c r="A313" s="5">
        <f t="shared" si="11"/>
        <v>308</v>
      </c>
      <c r="B313" s="68"/>
      <c r="C313" s="7"/>
      <c r="D313" s="7"/>
      <c r="E313" s="7"/>
      <c r="F313" s="7"/>
      <c r="G313" s="7"/>
      <c r="H313" s="7"/>
      <c r="I313" s="7"/>
      <c r="J313" s="7"/>
      <c r="K313" s="7"/>
      <c r="L313" s="4"/>
      <c r="M313" s="4"/>
      <c r="N313" s="4"/>
      <c r="O313" s="4"/>
      <c r="P313" s="4"/>
      <c r="Q313" s="4"/>
      <c r="R313" s="4"/>
      <c r="S313" s="4"/>
      <c r="T313" s="4"/>
      <c r="U313" s="4"/>
      <c r="V313" s="4"/>
      <c r="W313" s="4"/>
    </row>
    <row r="314">
      <c r="A314" s="5">
        <f t="shared" si="11"/>
        <v>309</v>
      </c>
      <c r="B314" s="68"/>
      <c r="C314" s="7"/>
      <c r="D314" s="7"/>
      <c r="E314" s="7"/>
      <c r="F314" s="7"/>
      <c r="G314" s="7"/>
      <c r="H314" s="7"/>
      <c r="I314" s="7"/>
      <c r="J314" s="7"/>
      <c r="K314" s="7"/>
      <c r="L314" s="4"/>
      <c r="M314" s="4"/>
      <c r="N314" s="4"/>
      <c r="O314" s="4"/>
      <c r="P314" s="4"/>
      <c r="Q314" s="4"/>
      <c r="R314" s="4"/>
      <c r="S314" s="4"/>
      <c r="T314" s="4"/>
      <c r="U314" s="4"/>
      <c r="V314" s="4"/>
      <c r="W314" s="4"/>
    </row>
    <row r="315">
      <c r="A315" s="5">
        <f t="shared" si="11"/>
        <v>310</v>
      </c>
      <c r="B315" s="68"/>
      <c r="C315" s="7"/>
      <c r="D315" s="7"/>
      <c r="E315" s="7"/>
      <c r="F315" s="7"/>
      <c r="G315" s="7"/>
      <c r="H315" s="7"/>
      <c r="I315" s="7"/>
      <c r="J315" s="7"/>
      <c r="K315" s="7"/>
      <c r="L315" s="4"/>
      <c r="M315" s="4"/>
      <c r="N315" s="4"/>
      <c r="O315" s="4"/>
      <c r="P315" s="4"/>
      <c r="Q315" s="4"/>
      <c r="R315" s="4"/>
      <c r="S315" s="4"/>
      <c r="T315" s="4"/>
      <c r="U315" s="4"/>
      <c r="V315" s="4"/>
      <c r="W315" s="4"/>
    </row>
    <row r="316">
      <c r="A316" s="5">
        <f t="shared" si="11"/>
        <v>311</v>
      </c>
      <c r="B316" s="68"/>
      <c r="C316" s="7"/>
      <c r="D316" s="7"/>
      <c r="E316" s="7"/>
      <c r="F316" s="7"/>
      <c r="G316" s="7"/>
      <c r="H316" s="7"/>
      <c r="I316" s="7"/>
      <c r="J316" s="7"/>
      <c r="K316" s="7"/>
      <c r="L316" s="4"/>
      <c r="M316" s="4"/>
      <c r="N316" s="4"/>
      <c r="O316" s="4"/>
      <c r="P316" s="4"/>
      <c r="Q316" s="4"/>
      <c r="R316" s="4"/>
      <c r="S316" s="4"/>
      <c r="T316" s="4"/>
      <c r="U316" s="4"/>
      <c r="V316" s="4"/>
      <c r="W316" s="4"/>
    </row>
    <row r="317">
      <c r="A317" s="5">
        <f t="shared" si="11"/>
        <v>312</v>
      </c>
      <c r="B317" s="68"/>
      <c r="C317" s="7"/>
      <c r="D317" s="7"/>
      <c r="E317" s="7"/>
      <c r="F317" s="7"/>
      <c r="G317" s="7"/>
      <c r="H317" s="7"/>
      <c r="I317" s="7"/>
      <c r="J317" s="7"/>
      <c r="K317" s="7"/>
      <c r="L317" s="4"/>
      <c r="M317" s="4"/>
      <c r="N317" s="4"/>
      <c r="O317" s="4"/>
      <c r="P317" s="4"/>
      <c r="Q317" s="4"/>
      <c r="R317" s="4"/>
      <c r="S317" s="4"/>
      <c r="T317" s="4"/>
      <c r="U317" s="4"/>
      <c r="V317" s="4"/>
      <c r="W317" s="4"/>
    </row>
    <row r="318">
      <c r="A318" s="5">
        <f t="shared" si="11"/>
        <v>313</v>
      </c>
      <c r="B318" s="68"/>
      <c r="C318" s="7"/>
      <c r="D318" s="7"/>
      <c r="E318" s="7"/>
      <c r="F318" s="7"/>
      <c r="G318" s="7"/>
      <c r="H318" s="7"/>
      <c r="I318" s="7"/>
      <c r="J318" s="7"/>
      <c r="K318" s="7"/>
      <c r="L318" s="4"/>
      <c r="M318" s="4"/>
      <c r="N318" s="4"/>
      <c r="O318" s="4"/>
      <c r="P318" s="4"/>
      <c r="Q318" s="4"/>
      <c r="R318" s="4"/>
      <c r="S318" s="4"/>
      <c r="T318" s="4"/>
      <c r="U318" s="4"/>
      <c r="V318" s="4"/>
      <c r="W318" s="4"/>
    </row>
    <row r="319">
      <c r="A319" s="5">
        <f t="shared" si="11"/>
        <v>314</v>
      </c>
      <c r="B319" s="68"/>
      <c r="C319" s="7"/>
      <c r="D319" s="7"/>
      <c r="E319" s="7"/>
      <c r="F319" s="7"/>
      <c r="G319" s="7"/>
      <c r="H319" s="7"/>
      <c r="I319" s="7"/>
      <c r="J319" s="7"/>
      <c r="K319" s="7"/>
      <c r="L319" s="4"/>
      <c r="M319" s="4"/>
      <c r="N319" s="4"/>
      <c r="O319" s="4"/>
      <c r="P319" s="4"/>
      <c r="Q319" s="4"/>
      <c r="R319" s="4"/>
      <c r="S319" s="4"/>
      <c r="T319" s="4"/>
      <c r="U319" s="4"/>
      <c r="V319" s="4"/>
      <c r="W319" s="4"/>
    </row>
    <row r="320">
      <c r="A320" s="5">
        <f t="shared" si="11"/>
        <v>315</v>
      </c>
      <c r="B320" s="68"/>
      <c r="C320" s="7"/>
      <c r="D320" s="7"/>
      <c r="E320" s="7"/>
      <c r="F320" s="7"/>
      <c r="G320" s="7"/>
      <c r="H320" s="7"/>
      <c r="I320" s="7"/>
      <c r="J320" s="7"/>
      <c r="K320" s="7"/>
      <c r="L320" s="4"/>
      <c r="M320" s="4"/>
      <c r="N320" s="4"/>
      <c r="O320" s="4"/>
      <c r="P320" s="4"/>
      <c r="Q320" s="4"/>
      <c r="R320" s="4"/>
      <c r="S320" s="4"/>
      <c r="T320" s="4"/>
      <c r="U320" s="4"/>
      <c r="V320" s="4"/>
      <c r="W320" s="4"/>
    </row>
    <row r="321">
      <c r="A321" s="5">
        <f t="shared" si="11"/>
        <v>316</v>
      </c>
      <c r="B321" s="68"/>
      <c r="C321" s="7"/>
      <c r="D321" s="7"/>
      <c r="E321" s="7"/>
      <c r="F321" s="7"/>
      <c r="G321" s="7"/>
      <c r="H321" s="7"/>
      <c r="I321" s="7"/>
      <c r="J321" s="7"/>
      <c r="K321" s="7"/>
      <c r="L321" s="4"/>
      <c r="M321" s="4"/>
      <c r="N321" s="4"/>
      <c r="O321" s="4"/>
      <c r="P321" s="4"/>
      <c r="Q321" s="4"/>
      <c r="R321" s="4"/>
      <c r="S321" s="4"/>
      <c r="T321" s="4"/>
      <c r="U321" s="4"/>
      <c r="V321" s="4"/>
      <c r="W321" s="4"/>
    </row>
    <row r="322">
      <c r="A322" s="5">
        <f t="shared" si="11"/>
        <v>317</v>
      </c>
      <c r="B322" s="68"/>
      <c r="C322" s="7"/>
      <c r="D322" s="7"/>
      <c r="E322" s="7"/>
      <c r="F322" s="7"/>
      <c r="G322" s="7"/>
      <c r="H322" s="7"/>
      <c r="I322" s="7"/>
      <c r="J322" s="7"/>
      <c r="K322" s="7"/>
      <c r="L322" s="4"/>
      <c r="M322" s="4"/>
      <c r="N322" s="4"/>
      <c r="O322" s="4"/>
      <c r="P322" s="4"/>
      <c r="Q322" s="4"/>
      <c r="R322" s="4"/>
      <c r="S322" s="4"/>
      <c r="T322" s="4"/>
      <c r="U322" s="4"/>
      <c r="V322" s="4"/>
      <c r="W322" s="4"/>
    </row>
    <row r="323">
      <c r="A323" s="5">
        <f t="shared" si="11"/>
        <v>318</v>
      </c>
      <c r="B323" s="68"/>
      <c r="C323" s="7"/>
      <c r="D323" s="7"/>
      <c r="E323" s="7"/>
      <c r="F323" s="7"/>
      <c r="G323" s="7"/>
      <c r="H323" s="7"/>
      <c r="I323" s="7"/>
      <c r="J323" s="7"/>
      <c r="K323" s="7"/>
      <c r="L323" s="4"/>
      <c r="M323" s="4"/>
      <c r="N323" s="4"/>
      <c r="O323" s="4"/>
      <c r="P323" s="4"/>
      <c r="Q323" s="4"/>
      <c r="R323" s="4"/>
      <c r="S323" s="4"/>
      <c r="T323" s="4"/>
      <c r="U323" s="4"/>
      <c r="V323" s="4"/>
      <c r="W323" s="4"/>
    </row>
    <row r="324">
      <c r="A324" s="5">
        <f t="shared" si="11"/>
        <v>319</v>
      </c>
      <c r="B324" s="68"/>
      <c r="C324" s="7"/>
      <c r="D324" s="7"/>
      <c r="E324" s="7"/>
      <c r="F324" s="7"/>
      <c r="G324" s="7"/>
      <c r="H324" s="7"/>
      <c r="I324" s="7"/>
      <c r="J324" s="7"/>
      <c r="K324" s="7"/>
      <c r="L324" s="4"/>
      <c r="M324" s="4"/>
      <c r="N324" s="4"/>
      <c r="O324" s="4"/>
      <c r="P324" s="4"/>
      <c r="Q324" s="4"/>
      <c r="R324" s="4"/>
      <c r="S324" s="4"/>
      <c r="T324" s="4"/>
      <c r="U324" s="4"/>
      <c r="V324" s="4"/>
      <c r="W324" s="4"/>
    </row>
    <row r="325">
      <c r="A325" s="5">
        <f t="shared" si="11"/>
        <v>320</v>
      </c>
      <c r="B325" s="68"/>
      <c r="C325" s="7"/>
      <c r="D325" s="7"/>
      <c r="E325" s="7"/>
      <c r="F325" s="7"/>
      <c r="G325" s="7"/>
      <c r="H325" s="7"/>
      <c r="I325" s="7"/>
      <c r="J325" s="7"/>
      <c r="K325" s="7"/>
      <c r="L325" s="4"/>
      <c r="M325" s="4"/>
      <c r="N325" s="4"/>
      <c r="O325" s="4"/>
      <c r="P325" s="4"/>
      <c r="Q325" s="4"/>
      <c r="R325" s="4"/>
      <c r="S325" s="4"/>
      <c r="T325" s="4"/>
      <c r="U325" s="4"/>
      <c r="V325" s="4"/>
      <c r="W325" s="4"/>
    </row>
    <row r="326">
      <c r="A326" s="5">
        <f t="shared" si="11"/>
        <v>321</v>
      </c>
      <c r="B326" s="68"/>
      <c r="C326" s="7"/>
      <c r="D326" s="7"/>
      <c r="E326" s="7"/>
      <c r="F326" s="7"/>
      <c r="G326" s="7"/>
      <c r="H326" s="7"/>
      <c r="I326" s="7"/>
      <c r="J326" s="7"/>
      <c r="K326" s="7"/>
      <c r="L326" s="4"/>
      <c r="M326" s="4"/>
      <c r="N326" s="4"/>
      <c r="O326" s="4"/>
      <c r="P326" s="4"/>
      <c r="Q326" s="4"/>
      <c r="R326" s="4"/>
      <c r="S326" s="4"/>
      <c r="T326" s="4"/>
      <c r="U326" s="4"/>
      <c r="V326" s="4"/>
      <c r="W326" s="4"/>
    </row>
    <row r="327">
      <c r="A327" s="5">
        <f t="shared" si="11"/>
        <v>322</v>
      </c>
      <c r="B327" s="68"/>
      <c r="C327" s="7"/>
      <c r="D327" s="7"/>
      <c r="E327" s="7"/>
      <c r="F327" s="7"/>
      <c r="G327" s="7"/>
      <c r="H327" s="7"/>
      <c r="I327" s="7"/>
      <c r="J327" s="7"/>
      <c r="K327" s="7"/>
      <c r="L327" s="4"/>
      <c r="M327" s="4"/>
      <c r="N327" s="4"/>
      <c r="O327" s="4"/>
      <c r="P327" s="4"/>
      <c r="Q327" s="4"/>
      <c r="R327" s="4"/>
      <c r="S327" s="4"/>
      <c r="T327" s="4"/>
      <c r="U327" s="4"/>
      <c r="V327" s="4"/>
      <c r="W327" s="4"/>
    </row>
    <row r="328">
      <c r="A328" s="5">
        <f t="shared" si="11"/>
        <v>323</v>
      </c>
      <c r="B328" s="68"/>
      <c r="C328" s="7"/>
      <c r="D328" s="7"/>
      <c r="E328" s="7"/>
      <c r="F328" s="7"/>
      <c r="G328" s="7"/>
      <c r="H328" s="7"/>
      <c r="I328" s="7"/>
      <c r="J328" s="7"/>
      <c r="K328" s="7"/>
      <c r="L328" s="4"/>
      <c r="M328" s="4"/>
      <c r="N328" s="4"/>
      <c r="O328" s="4"/>
      <c r="P328" s="4"/>
      <c r="Q328" s="4"/>
      <c r="R328" s="4"/>
      <c r="S328" s="4"/>
      <c r="T328" s="4"/>
      <c r="U328" s="4"/>
      <c r="V328" s="4"/>
      <c r="W328" s="4"/>
    </row>
    <row r="329">
      <c r="A329" s="5">
        <f t="shared" si="11"/>
        <v>324</v>
      </c>
      <c r="B329" s="68"/>
      <c r="C329" s="7"/>
      <c r="D329" s="7"/>
      <c r="E329" s="7"/>
      <c r="F329" s="7"/>
      <c r="G329" s="7"/>
      <c r="H329" s="7"/>
      <c r="I329" s="7"/>
      <c r="J329" s="7"/>
      <c r="K329" s="7"/>
      <c r="L329" s="4"/>
      <c r="M329" s="4"/>
      <c r="N329" s="4"/>
      <c r="O329" s="4"/>
      <c r="P329" s="4"/>
      <c r="Q329" s="4"/>
      <c r="R329" s="4"/>
      <c r="S329" s="4"/>
      <c r="T329" s="4"/>
      <c r="U329" s="4"/>
      <c r="V329" s="4"/>
      <c r="W329" s="4"/>
    </row>
    <row r="330">
      <c r="A330" s="5">
        <f t="shared" si="11"/>
        <v>325</v>
      </c>
      <c r="B330" s="68"/>
      <c r="C330" s="7"/>
      <c r="D330" s="7"/>
      <c r="E330" s="7"/>
      <c r="F330" s="7"/>
      <c r="G330" s="7"/>
      <c r="H330" s="7"/>
      <c r="I330" s="7"/>
      <c r="J330" s="7"/>
      <c r="K330" s="7"/>
      <c r="L330" s="4"/>
      <c r="M330" s="4"/>
      <c r="N330" s="4"/>
      <c r="O330" s="4"/>
      <c r="P330" s="4"/>
      <c r="Q330" s="4"/>
      <c r="R330" s="4"/>
      <c r="S330" s="4"/>
      <c r="T330" s="4"/>
      <c r="U330" s="4"/>
      <c r="V330" s="4"/>
      <c r="W330" s="4"/>
    </row>
    <row r="331">
      <c r="A331" s="5">
        <f t="shared" si="11"/>
        <v>326</v>
      </c>
      <c r="B331" s="68"/>
      <c r="C331" s="7"/>
      <c r="D331" s="7"/>
      <c r="E331" s="7"/>
      <c r="F331" s="7"/>
      <c r="G331" s="7"/>
      <c r="H331" s="7"/>
      <c r="I331" s="7"/>
      <c r="J331" s="7"/>
      <c r="K331" s="7"/>
      <c r="L331" s="4"/>
      <c r="M331" s="4"/>
      <c r="N331" s="4"/>
      <c r="O331" s="4"/>
      <c r="P331" s="4"/>
      <c r="Q331" s="4"/>
      <c r="R331" s="4"/>
      <c r="S331" s="4"/>
      <c r="T331" s="4"/>
      <c r="U331" s="4"/>
      <c r="V331" s="4"/>
      <c r="W331" s="4"/>
    </row>
    <row r="332">
      <c r="A332" s="5">
        <f t="shared" si="11"/>
        <v>327</v>
      </c>
      <c r="B332" s="68"/>
      <c r="C332" s="7"/>
      <c r="D332" s="7"/>
      <c r="E332" s="7"/>
      <c r="F332" s="7"/>
      <c r="G332" s="7"/>
      <c r="H332" s="7"/>
      <c r="I332" s="7"/>
      <c r="J332" s="7"/>
      <c r="K332" s="7"/>
      <c r="L332" s="4"/>
      <c r="M332" s="4"/>
      <c r="N332" s="4"/>
      <c r="O332" s="4"/>
      <c r="P332" s="4"/>
      <c r="Q332" s="4"/>
      <c r="R332" s="4"/>
      <c r="S332" s="4"/>
      <c r="T332" s="4"/>
      <c r="U332" s="4"/>
      <c r="V332" s="4"/>
      <c r="W332" s="4"/>
    </row>
    <row r="333">
      <c r="A333" s="5">
        <f t="shared" si="11"/>
        <v>328</v>
      </c>
      <c r="B333" s="68"/>
      <c r="C333" s="7"/>
      <c r="D333" s="7"/>
      <c r="E333" s="7"/>
      <c r="F333" s="7"/>
      <c r="G333" s="7"/>
      <c r="H333" s="7"/>
      <c r="I333" s="7"/>
      <c r="J333" s="7"/>
      <c r="K333" s="7"/>
      <c r="L333" s="4"/>
      <c r="M333" s="4"/>
      <c r="N333" s="4"/>
      <c r="O333" s="4"/>
      <c r="P333" s="4"/>
      <c r="Q333" s="4"/>
      <c r="R333" s="4"/>
      <c r="S333" s="4"/>
      <c r="T333" s="4"/>
      <c r="U333" s="4"/>
      <c r="V333" s="4"/>
      <c r="W333" s="4"/>
    </row>
    <row r="334">
      <c r="A334" s="5">
        <f t="shared" si="11"/>
        <v>329</v>
      </c>
      <c r="B334" s="68"/>
      <c r="C334" s="7"/>
      <c r="D334" s="7"/>
      <c r="E334" s="7"/>
      <c r="F334" s="7"/>
      <c r="G334" s="7"/>
      <c r="H334" s="7"/>
      <c r="I334" s="7"/>
      <c r="J334" s="7"/>
      <c r="K334" s="7"/>
      <c r="L334" s="4"/>
      <c r="M334" s="4"/>
      <c r="N334" s="4"/>
      <c r="O334" s="4"/>
      <c r="P334" s="4"/>
      <c r="Q334" s="4"/>
      <c r="R334" s="4"/>
      <c r="S334" s="4"/>
      <c r="T334" s="4"/>
      <c r="U334" s="4"/>
      <c r="V334" s="4"/>
      <c r="W334" s="4"/>
    </row>
    <row r="335">
      <c r="A335" s="5">
        <f t="shared" si="11"/>
        <v>330</v>
      </c>
      <c r="B335" s="68"/>
      <c r="C335" s="7"/>
      <c r="D335" s="7"/>
      <c r="E335" s="7"/>
      <c r="F335" s="7"/>
      <c r="G335" s="7"/>
      <c r="H335" s="7"/>
      <c r="I335" s="7"/>
      <c r="J335" s="7"/>
      <c r="K335" s="7"/>
      <c r="L335" s="4"/>
      <c r="M335" s="4"/>
      <c r="N335" s="4"/>
      <c r="O335" s="4"/>
      <c r="P335" s="4"/>
      <c r="Q335" s="4"/>
      <c r="R335" s="4"/>
      <c r="S335" s="4"/>
      <c r="T335" s="4"/>
      <c r="U335" s="4"/>
      <c r="V335" s="4"/>
      <c r="W335" s="4"/>
    </row>
    <row r="336">
      <c r="A336" s="5">
        <f t="shared" si="11"/>
        <v>331</v>
      </c>
      <c r="B336" s="68"/>
      <c r="C336" s="7"/>
      <c r="D336" s="7"/>
      <c r="E336" s="7"/>
      <c r="F336" s="7"/>
      <c r="G336" s="7"/>
      <c r="H336" s="7"/>
      <c r="I336" s="7"/>
      <c r="J336" s="7"/>
      <c r="K336" s="7"/>
      <c r="L336" s="4"/>
      <c r="M336" s="4"/>
      <c r="N336" s="4"/>
      <c r="O336" s="4"/>
      <c r="P336" s="4"/>
      <c r="Q336" s="4"/>
      <c r="R336" s="4"/>
      <c r="S336" s="4"/>
      <c r="T336" s="4"/>
      <c r="U336" s="4"/>
      <c r="V336" s="4"/>
      <c r="W336" s="4"/>
    </row>
    <row r="337">
      <c r="A337" s="5">
        <f t="shared" si="11"/>
        <v>332</v>
      </c>
      <c r="B337" s="68"/>
      <c r="C337" s="7"/>
      <c r="D337" s="7"/>
      <c r="E337" s="7"/>
      <c r="F337" s="7"/>
      <c r="G337" s="7"/>
      <c r="H337" s="7"/>
      <c r="I337" s="7"/>
      <c r="J337" s="7"/>
      <c r="K337" s="7"/>
      <c r="L337" s="4"/>
      <c r="M337" s="4"/>
      <c r="N337" s="4"/>
      <c r="O337" s="4"/>
      <c r="P337" s="4"/>
      <c r="Q337" s="4"/>
      <c r="R337" s="4"/>
      <c r="S337" s="4"/>
      <c r="T337" s="4"/>
      <c r="U337" s="4"/>
      <c r="V337" s="4"/>
      <c r="W337" s="4"/>
    </row>
    <row r="338">
      <c r="A338" s="5">
        <f t="shared" si="11"/>
        <v>333</v>
      </c>
      <c r="B338" s="68"/>
      <c r="C338" s="7"/>
      <c r="D338" s="7"/>
      <c r="E338" s="7"/>
      <c r="F338" s="7"/>
      <c r="G338" s="7"/>
      <c r="H338" s="7"/>
      <c r="I338" s="7"/>
      <c r="J338" s="7"/>
      <c r="K338" s="7"/>
      <c r="L338" s="4"/>
      <c r="M338" s="4"/>
      <c r="N338" s="4"/>
      <c r="O338" s="4"/>
      <c r="P338" s="4"/>
      <c r="Q338" s="4"/>
      <c r="R338" s="4"/>
      <c r="S338" s="4"/>
      <c r="T338" s="4"/>
      <c r="U338" s="4"/>
      <c r="V338" s="4"/>
      <c r="W338" s="4"/>
    </row>
    <row r="339">
      <c r="A339" s="5">
        <f t="shared" si="11"/>
        <v>334</v>
      </c>
      <c r="B339" s="68"/>
      <c r="C339" s="7"/>
      <c r="D339" s="7"/>
      <c r="E339" s="7"/>
      <c r="F339" s="7"/>
      <c r="G339" s="7"/>
      <c r="H339" s="7"/>
      <c r="I339" s="7"/>
      <c r="J339" s="7"/>
      <c r="K339" s="7"/>
      <c r="L339" s="4"/>
      <c r="M339" s="4"/>
      <c r="N339" s="4"/>
      <c r="O339" s="4"/>
      <c r="P339" s="4"/>
      <c r="Q339" s="4"/>
      <c r="R339" s="4"/>
      <c r="S339" s="4"/>
      <c r="T339" s="4"/>
      <c r="U339" s="4"/>
      <c r="V339" s="4"/>
      <c r="W339" s="4"/>
    </row>
    <row r="340">
      <c r="A340" s="5">
        <f t="shared" si="11"/>
        <v>335</v>
      </c>
      <c r="B340" s="68"/>
      <c r="C340" s="7"/>
      <c r="D340" s="7"/>
      <c r="E340" s="7"/>
      <c r="F340" s="7"/>
      <c r="G340" s="7"/>
      <c r="H340" s="7"/>
      <c r="I340" s="7"/>
      <c r="J340" s="7"/>
      <c r="K340" s="7"/>
      <c r="L340" s="4"/>
      <c r="M340" s="4"/>
      <c r="N340" s="4"/>
      <c r="O340" s="4"/>
      <c r="P340" s="4"/>
      <c r="Q340" s="4"/>
      <c r="R340" s="4"/>
      <c r="S340" s="4"/>
      <c r="T340" s="4"/>
      <c r="U340" s="4"/>
      <c r="V340" s="4"/>
      <c r="W340" s="4"/>
    </row>
    <row r="341">
      <c r="A341" s="5">
        <f t="shared" si="11"/>
        <v>336</v>
      </c>
      <c r="B341" s="68"/>
      <c r="C341" s="7"/>
      <c r="D341" s="7"/>
      <c r="E341" s="7"/>
      <c r="F341" s="7"/>
      <c r="G341" s="7"/>
      <c r="H341" s="7"/>
      <c r="I341" s="7"/>
      <c r="J341" s="7"/>
      <c r="K341" s="7"/>
      <c r="L341" s="4"/>
      <c r="M341" s="4"/>
      <c r="N341" s="4"/>
      <c r="O341" s="4"/>
      <c r="P341" s="4"/>
      <c r="Q341" s="4"/>
      <c r="R341" s="4"/>
      <c r="S341" s="4"/>
      <c r="T341" s="4"/>
      <c r="U341" s="4"/>
      <c r="V341" s="4"/>
      <c r="W341" s="4"/>
    </row>
    <row r="342">
      <c r="A342" s="5">
        <f t="shared" si="11"/>
        <v>337</v>
      </c>
      <c r="B342" s="68"/>
      <c r="C342" s="7"/>
      <c r="D342" s="7"/>
      <c r="E342" s="7"/>
      <c r="F342" s="7"/>
      <c r="G342" s="7"/>
      <c r="H342" s="7"/>
      <c r="I342" s="7"/>
      <c r="J342" s="7"/>
      <c r="K342" s="7"/>
      <c r="L342" s="4"/>
      <c r="M342" s="4"/>
      <c r="N342" s="4"/>
      <c r="O342" s="4"/>
      <c r="P342" s="4"/>
      <c r="Q342" s="4"/>
      <c r="R342" s="4"/>
      <c r="S342" s="4"/>
      <c r="T342" s="4"/>
      <c r="U342" s="4"/>
      <c r="V342" s="4"/>
      <c r="W342" s="4"/>
    </row>
    <row r="343">
      <c r="A343" s="5">
        <f t="shared" si="11"/>
        <v>338</v>
      </c>
      <c r="B343" s="68"/>
      <c r="C343" s="7"/>
      <c r="D343" s="7"/>
      <c r="E343" s="7"/>
      <c r="F343" s="7"/>
      <c r="G343" s="7"/>
      <c r="H343" s="7"/>
      <c r="I343" s="7"/>
      <c r="J343" s="7"/>
      <c r="K343" s="7"/>
      <c r="L343" s="4"/>
      <c r="M343" s="4"/>
      <c r="N343" s="4"/>
      <c r="O343" s="4"/>
      <c r="P343" s="4"/>
      <c r="Q343" s="4"/>
      <c r="R343" s="4"/>
      <c r="S343" s="4"/>
      <c r="T343" s="4"/>
      <c r="U343" s="4"/>
      <c r="V343" s="4"/>
      <c r="W343" s="4"/>
    </row>
    <row r="344">
      <c r="A344" s="5">
        <f t="shared" si="11"/>
        <v>339</v>
      </c>
      <c r="B344" s="68"/>
      <c r="C344" s="7"/>
      <c r="D344" s="7"/>
      <c r="E344" s="7"/>
      <c r="F344" s="7"/>
      <c r="G344" s="7"/>
      <c r="H344" s="7"/>
      <c r="I344" s="7"/>
      <c r="J344" s="7"/>
      <c r="K344" s="7"/>
      <c r="L344" s="4"/>
      <c r="M344" s="4"/>
      <c r="N344" s="4"/>
      <c r="O344" s="4"/>
      <c r="P344" s="4"/>
      <c r="Q344" s="4"/>
      <c r="R344" s="4"/>
      <c r="S344" s="4"/>
      <c r="T344" s="4"/>
      <c r="U344" s="4"/>
      <c r="V344" s="4"/>
      <c r="W344" s="4"/>
    </row>
    <row r="345">
      <c r="A345" s="5">
        <f t="shared" si="11"/>
        <v>340</v>
      </c>
      <c r="B345" s="68"/>
      <c r="C345" s="7"/>
      <c r="D345" s="7"/>
      <c r="E345" s="7"/>
      <c r="F345" s="7"/>
      <c r="G345" s="7"/>
      <c r="H345" s="7"/>
      <c r="I345" s="7"/>
      <c r="J345" s="7"/>
      <c r="K345" s="7"/>
      <c r="L345" s="4"/>
      <c r="M345" s="4"/>
      <c r="N345" s="4"/>
      <c r="O345" s="4"/>
      <c r="P345" s="4"/>
      <c r="Q345" s="4"/>
      <c r="R345" s="4"/>
      <c r="S345" s="4"/>
      <c r="T345" s="4"/>
      <c r="U345" s="4"/>
      <c r="V345" s="4"/>
      <c r="W345" s="4"/>
    </row>
    <row r="346">
      <c r="A346" s="5">
        <f t="shared" si="11"/>
        <v>341</v>
      </c>
      <c r="B346" s="68"/>
      <c r="C346" s="7"/>
      <c r="D346" s="7"/>
      <c r="E346" s="7"/>
      <c r="F346" s="7"/>
      <c r="G346" s="7"/>
      <c r="H346" s="7"/>
      <c r="I346" s="7"/>
      <c r="J346" s="7"/>
      <c r="K346" s="7"/>
      <c r="L346" s="4"/>
      <c r="M346" s="4"/>
      <c r="N346" s="4"/>
      <c r="O346" s="4"/>
      <c r="P346" s="4"/>
      <c r="Q346" s="4"/>
      <c r="R346" s="4"/>
      <c r="S346" s="4"/>
      <c r="T346" s="4"/>
      <c r="U346" s="4"/>
      <c r="V346" s="4"/>
      <c r="W346" s="4"/>
    </row>
    <row r="347">
      <c r="A347" s="5">
        <f t="shared" si="11"/>
        <v>342</v>
      </c>
      <c r="B347" s="68"/>
      <c r="C347" s="7"/>
      <c r="D347" s="7"/>
      <c r="E347" s="7"/>
      <c r="F347" s="7"/>
      <c r="G347" s="7"/>
      <c r="H347" s="7"/>
      <c r="I347" s="7"/>
      <c r="J347" s="7"/>
      <c r="K347" s="7"/>
      <c r="L347" s="4"/>
      <c r="M347" s="4"/>
      <c r="N347" s="4"/>
      <c r="O347" s="4"/>
      <c r="P347" s="4"/>
      <c r="Q347" s="4"/>
      <c r="R347" s="4"/>
      <c r="S347" s="4"/>
      <c r="T347" s="4"/>
      <c r="U347" s="4"/>
      <c r="V347" s="4"/>
      <c r="W347" s="4"/>
    </row>
    <row r="348">
      <c r="A348" s="5">
        <f t="shared" si="11"/>
        <v>343</v>
      </c>
      <c r="B348" s="68"/>
      <c r="C348" s="7"/>
      <c r="D348" s="7"/>
      <c r="E348" s="7"/>
      <c r="F348" s="7"/>
      <c r="G348" s="7"/>
      <c r="H348" s="7"/>
      <c r="I348" s="7"/>
      <c r="J348" s="7"/>
      <c r="K348" s="7"/>
      <c r="L348" s="4"/>
      <c r="M348" s="4"/>
      <c r="N348" s="4"/>
      <c r="O348" s="4"/>
      <c r="P348" s="4"/>
      <c r="Q348" s="4"/>
      <c r="R348" s="4"/>
      <c r="S348" s="4"/>
      <c r="T348" s="4"/>
      <c r="U348" s="4"/>
      <c r="V348" s="4"/>
      <c r="W348" s="4"/>
    </row>
    <row r="349">
      <c r="A349" s="5">
        <f t="shared" si="11"/>
        <v>344</v>
      </c>
      <c r="B349" s="68"/>
      <c r="C349" s="7"/>
      <c r="D349" s="7"/>
      <c r="E349" s="7"/>
      <c r="F349" s="7"/>
      <c r="G349" s="7"/>
      <c r="H349" s="7"/>
      <c r="I349" s="7"/>
      <c r="J349" s="7"/>
      <c r="K349" s="7"/>
      <c r="L349" s="4"/>
      <c r="M349" s="4"/>
      <c r="N349" s="4"/>
      <c r="O349" s="4"/>
      <c r="P349" s="4"/>
      <c r="Q349" s="4"/>
      <c r="R349" s="4"/>
      <c r="S349" s="4"/>
      <c r="T349" s="4"/>
      <c r="U349" s="4"/>
      <c r="V349" s="4"/>
      <c r="W349" s="4"/>
    </row>
    <row r="350">
      <c r="A350" s="5">
        <f t="shared" si="11"/>
        <v>345</v>
      </c>
      <c r="B350" s="68"/>
      <c r="C350" s="7"/>
      <c r="D350" s="7"/>
      <c r="E350" s="7"/>
      <c r="F350" s="7"/>
      <c r="G350" s="7"/>
      <c r="H350" s="7"/>
      <c r="I350" s="7"/>
      <c r="J350" s="7"/>
      <c r="K350" s="7"/>
      <c r="L350" s="4"/>
      <c r="M350" s="4"/>
      <c r="N350" s="4"/>
      <c r="O350" s="4"/>
      <c r="P350" s="4"/>
      <c r="Q350" s="4"/>
      <c r="R350" s="4"/>
      <c r="S350" s="4"/>
      <c r="T350" s="4"/>
      <c r="U350" s="4"/>
      <c r="V350" s="4"/>
      <c r="W350" s="4"/>
    </row>
    <row r="351">
      <c r="A351" s="5">
        <f t="shared" si="11"/>
        <v>346</v>
      </c>
      <c r="B351" s="68"/>
      <c r="C351" s="7"/>
      <c r="D351" s="7"/>
      <c r="E351" s="7"/>
      <c r="F351" s="7"/>
      <c r="G351" s="7"/>
      <c r="H351" s="7"/>
      <c r="I351" s="7"/>
      <c r="J351" s="7"/>
      <c r="K351" s="7"/>
      <c r="L351" s="4"/>
      <c r="M351" s="4"/>
      <c r="N351" s="4"/>
      <c r="O351" s="4"/>
      <c r="P351" s="4"/>
      <c r="Q351" s="4"/>
      <c r="R351" s="4"/>
      <c r="S351" s="4"/>
      <c r="T351" s="4"/>
      <c r="U351" s="4"/>
      <c r="V351" s="4"/>
      <c r="W351" s="4"/>
    </row>
    <row r="352">
      <c r="A352" s="5">
        <f t="shared" si="11"/>
        <v>347</v>
      </c>
      <c r="B352" s="68"/>
      <c r="C352" s="7"/>
      <c r="D352" s="7"/>
      <c r="E352" s="7"/>
      <c r="F352" s="7"/>
      <c r="G352" s="7"/>
      <c r="H352" s="7"/>
      <c r="I352" s="7"/>
      <c r="J352" s="7"/>
      <c r="K352" s="7"/>
      <c r="L352" s="4"/>
      <c r="M352" s="4"/>
      <c r="N352" s="4"/>
      <c r="O352" s="4"/>
      <c r="P352" s="4"/>
      <c r="Q352" s="4"/>
      <c r="R352" s="4"/>
      <c r="S352" s="4"/>
      <c r="T352" s="4"/>
      <c r="U352" s="4"/>
      <c r="V352" s="4"/>
      <c r="W352" s="4"/>
    </row>
    <row r="353">
      <c r="A353" s="5">
        <f t="shared" si="11"/>
        <v>348</v>
      </c>
      <c r="B353" s="68"/>
      <c r="C353" s="7"/>
      <c r="D353" s="7"/>
      <c r="E353" s="7"/>
      <c r="F353" s="7"/>
      <c r="G353" s="7"/>
      <c r="H353" s="7"/>
      <c r="I353" s="7"/>
      <c r="J353" s="7"/>
      <c r="K353" s="7"/>
      <c r="L353" s="4"/>
      <c r="M353" s="4"/>
      <c r="N353" s="4"/>
      <c r="O353" s="4"/>
      <c r="P353" s="4"/>
      <c r="Q353" s="4"/>
      <c r="R353" s="4"/>
      <c r="S353" s="4"/>
      <c r="T353" s="4"/>
      <c r="U353" s="4"/>
      <c r="V353" s="4"/>
      <c r="W353" s="4"/>
    </row>
    <row r="354">
      <c r="A354" s="5">
        <f t="shared" si="11"/>
        <v>349</v>
      </c>
      <c r="B354" s="68"/>
      <c r="C354" s="7"/>
      <c r="D354" s="7"/>
      <c r="E354" s="7"/>
      <c r="F354" s="7"/>
      <c r="G354" s="7"/>
      <c r="H354" s="7"/>
      <c r="I354" s="7"/>
      <c r="J354" s="7"/>
      <c r="K354" s="7"/>
      <c r="L354" s="4"/>
      <c r="M354" s="4"/>
      <c r="N354" s="4"/>
      <c r="O354" s="4"/>
      <c r="P354" s="4"/>
      <c r="Q354" s="4"/>
      <c r="R354" s="4"/>
      <c r="S354" s="4"/>
      <c r="T354" s="4"/>
      <c r="U354" s="4"/>
      <c r="V354" s="4"/>
      <c r="W354" s="4"/>
    </row>
    <row r="355">
      <c r="A355" s="5">
        <f t="shared" si="11"/>
        <v>350</v>
      </c>
      <c r="B355" s="68"/>
      <c r="C355" s="7"/>
      <c r="D355" s="7"/>
      <c r="E355" s="7"/>
      <c r="F355" s="7"/>
      <c r="G355" s="7"/>
      <c r="H355" s="7"/>
      <c r="I355" s="7"/>
      <c r="J355" s="7"/>
      <c r="K355" s="7"/>
      <c r="L355" s="4"/>
      <c r="M355" s="4"/>
      <c r="N355" s="4"/>
      <c r="O355" s="4"/>
      <c r="P355" s="4"/>
      <c r="Q355" s="4"/>
      <c r="R355" s="4"/>
      <c r="S355" s="4"/>
      <c r="T355" s="4"/>
      <c r="U355" s="4"/>
      <c r="V355" s="4"/>
      <c r="W355" s="4"/>
    </row>
    <row r="356">
      <c r="A356" s="5">
        <f t="shared" si="11"/>
        <v>351</v>
      </c>
      <c r="B356" s="68"/>
      <c r="C356" s="7"/>
      <c r="D356" s="7"/>
      <c r="E356" s="7"/>
      <c r="F356" s="7"/>
      <c r="G356" s="7"/>
      <c r="H356" s="7"/>
      <c r="I356" s="7"/>
      <c r="J356" s="7"/>
      <c r="K356" s="7"/>
      <c r="L356" s="4"/>
      <c r="M356" s="4"/>
      <c r="N356" s="4"/>
      <c r="O356" s="4"/>
      <c r="P356" s="4"/>
      <c r="Q356" s="4"/>
      <c r="R356" s="4"/>
      <c r="S356" s="4"/>
      <c r="T356" s="4"/>
      <c r="U356" s="4"/>
      <c r="V356" s="4"/>
      <c r="W356" s="4"/>
    </row>
    <row r="357">
      <c r="A357" s="5">
        <f t="shared" si="11"/>
        <v>352</v>
      </c>
      <c r="B357" s="68"/>
      <c r="C357" s="7"/>
      <c r="D357" s="7"/>
      <c r="E357" s="7"/>
      <c r="F357" s="7"/>
      <c r="G357" s="7"/>
      <c r="H357" s="7"/>
      <c r="I357" s="7"/>
      <c r="J357" s="7"/>
      <c r="K357" s="7"/>
      <c r="L357" s="4"/>
      <c r="M357" s="4"/>
      <c r="N357" s="4"/>
      <c r="O357" s="4"/>
      <c r="P357" s="4"/>
      <c r="Q357" s="4"/>
      <c r="R357" s="4"/>
      <c r="S357" s="4"/>
      <c r="T357" s="4"/>
      <c r="U357" s="4"/>
      <c r="V357" s="4"/>
      <c r="W357" s="4"/>
    </row>
    <row r="358">
      <c r="A358" s="5">
        <f t="shared" si="11"/>
        <v>353</v>
      </c>
      <c r="B358" s="68"/>
      <c r="C358" s="7"/>
      <c r="D358" s="7"/>
      <c r="E358" s="7"/>
      <c r="F358" s="7"/>
      <c r="G358" s="7"/>
      <c r="H358" s="7"/>
      <c r="I358" s="7"/>
      <c r="J358" s="7"/>
      <c r="K358" s="7"/>
      <c r="L358" s="4"/>
      <c r="M358" s="4"/>
      <c r="N358" s="4"/>
      <c r="O358" s="4"/>
      <c r="P358" s="4"/>
      <c r="Q358" s="4"/>
      <c r="R358" s="4"/>
      <c r="S358" s="4"/>
      <c r="T358" s="4"/>
      <c r="U358" s="4"/>
      <c r="V358" s="4"/>
      <c r="W358" s="4"/>
    </row>
    <row r="359">
      <c r="A359" s="5">
        <f t="shared" si="11"/>
        <v>354</v>
      </c>
      <c r="B359" s="68"/>
      <c r="C359" s="7"/>
      <c r="D359" s="7"/>
      <c r="E359" s="7"/>
      <c r="F359" s="7"/>
      <c r="G359" s="7"/>
      <c r="H359" s="7"/>
      <c r="I359" s="7"/>
      <c r="J359" s="7"/>
      <c r="K359" s="7"/>
      <c r="L359" s="4"/>
      <c r="M359" s="4"/>
      <c r="N359" s="4"/>
      <c r="O359" s="4"/>
      <c r="P359" s="4"/>
      <c r="Q359" s="4"/>
      <c r="R359" s="4"/>
      <c r="S359" s="4"/>
      <c r="T359" s="4"/>
      <c r="U359" s="4"/>
      <c r="V359" s="4"/>
      <c r="W359" s="4"/>
    </row>
    <row r="360">
      <c r="A360" s="5">
        <f t="shared" si="11"/>
        <v>355</v>
      </c>
      <c r="B360" s="68"/>
      <c r="C360" s="7"/>
      <c r="D360" s="7"/>
      <c r="E360" s="7"/>
      <c r="F360" s="7"/>
      <c r="G360" s="7"/>
      <c r="H360" s="7"/>
      <c r="I360" s="7"/>
      <c r="J360" s="7"/>
      <c r="K360" s="7"/>
      <c r="L360" s="4"/>
      <c r="M360" s="4"/>
      <c r="N360" s="4"/>
      <c r="O360" s="4"/>
      <c r="P360" s="4"/>
      <c r="Q360" s="4"/>
      <c r="R360" s="4"/>
      <c r="S360" s="4"/>
      <c r="T360" s="4"/>
      <c r="U360" s="4"/>
      <c r="V360" s="4"/>
      <c r="W360" s="4"/>
    </row>
    <row r="361">
      <c r="A361" s="5">
        <f t="shared" si="11"/>
        <v>356</v>
      </c>
      <c r="B361" s="68"/>
      <c r="C361" s="7"/>
      <c r="D361" s="7"/>
      <c r="E361" s="7"/>
      <c r="F361" s="7"/>
      <c r="G361" s="7"/>
      <c r="H361" s="7"/>
      <c r="I361" s="7"/>
      <c r="J361" s="7"/>
      <c r="K361" s="7"/>
      <c r="L361" s="4"/>
      <c r="M361" s="4"/>
      <c r="N361" s="4"/>
      <c r="O361" s="4"/>
      <c r="P361" s="4"/>
      <c r="Q361" s="4"/>
      <c r="R361" s="4"/>
      <c r="S361" s="4"/>
      <c r="T361" s="4"/>
      <c r="U361" s="4"/>
      <c r="V361" s="4"/>
      <c r="W361" s="4"/>
    </row>
    <row r="362">
      <c r="A362" s="5">
        <f t="shared" si="11"/>
        <v>357</v>
      </c>
      <c r="B362" s="68"/>
      <c r="C362" s="7"/>
      <c r="D362" s="7"/>
      <c r="E362" s="7"/>
      <c r="F362" s="7"/>
      <c r="G362" s="7"/>
      <c r="H362" s="7"/>
      <c r="I362" s="7"/>
      <c r="J362" s="7"/>
      <c r="K362" s="7"/>
      <c r="L362" s="4"/>
      <c r="M362" s="4"/>
      <c r="N362" s="4"/>
      <c r="O362" s="4"/>
      <c r="P362" s="4"/>
      <c r="Q362" s="4"/>
      <c r="R362" s="4"/>
      <c r="S362" s="4"/>
      <c r="T362" s="4"/>
      <c r="U362" s="4"/>
      <c r="V362" s="4"/>
      <c r="W362" s="4"/>
    </row>
    <row r="363">
      <c r="A363" s="5">
        <f t="shared" si="11"/>
        <v>358</v>
      </c>
      <c r="B363" s="68"/>
      <c r="C363" s="7"/>
      <c r="D363" s="7"/>
      <c r="E363" s="7"/>
      <c r="F363" s="7"/>
      <c r="G363" s="7"/>
      <c r="H363" s="7"/>
      <c r="I363" s="7"/>
      <c r="J363" s="7"/>
      <c r="K363" s="7"/>
      <c r="L363" s="4"/>
      <c r="M363" s="4"/>
      <c r="N363" s="4"/>
      <c r="O363" s="4"/>
      <c r="P363" s="4"/>
      <c r="Q363" s="4"/>
      <c r="R363" s="4"/>
      <c r="S363" s="4"/>
      <c r="T363" s="4"/>
      <c r="U363" s="4"/>
      <c r="V363" s="4"/>
      <c r="W363" s="4"/>
    </row>
    <row r="364">
      <c r="A364" s="5">
        <f t="shared" si="11"/>
        <v>359</v>
      </c>
      <c r="B364" s="68"/>
      <c r="C364" s="7"/>
      <c r="D364" s="7"/>
      <c r="E364" s="7"/>
      <c r="F364" s="7"/>
      <c r="G364" s="7"/>
      <c r="H364" s="7"/>
      <c r="I364" s="7"/>
      <c r="J364" s="7"/>
      <c r="K364" s="7"/>
      <c r="L364" s="4"/>
      <c r="M364" s="4"/>
      <c r="N364" s="4"/>
      <c r="O364" s="4"/>
      <c r="P364" s="4"/>
      <c r="Q364" s="4"/>
      <c r="R364" s="4"/>
      <c r="S364" s="4"/>
      <c r="T364" s="4"/>
      <c r="U364" s="4"/>
      <c r="V364" s="4"/>
      <c r="W364" s="4"/>
    </row>
    <row r="365">
      <c r="A365" s="5">
        <f t="shared" si="11"/>
        <v>360</v>
      </c>
      <c r="B365" s="68"/>
      <c r="C365" s="7"/>
      <c r="D365" s="7"/>
      <c r="E365" s="7"/>
      <c r="F365" s="7"/>
      <c r="G365" s="7"/>
      <c r="H365" s="7"/>
      <c r="I365" s="7"/>
      <c r="J365" s="7"/>
      <c r="K365" s="7"/>
      <c r="L365" s="4"/>
      <c r="M365" s="4"/>
      <c r="N365" s="4"/>
      <c r="O365" s="4"/>
      <c r="P365" s="4"/>
      <c r="Q365" s="4"/>
      <c r="R365" s="4"/>
      <c r="S365" s="4"/>
      <c r="T365" s="4"/>
      <c r="U365" s="4"/>
      <c r="V365" s="4"/>
      <c r="W365" s="4"/>
    </row>
    <row r="366">
      <c r="A366" s="5">
        <f t="shared" si="11"/>
        <v>361</v>
      </c>
      <c r="B366" s="68"/>
      <c r="C366" s="7"/>
      <c r="D366" s="7"/>
      <c r="E366" s="7"/>
      <c r="F366" s="7"/>
      <c r="G366" s="7"/>
      <c r="H366" s="7"/>
      <c r="I366" s="7"/>
      <c r="J366" s="7"/>
      <c r="K366" s="7"/>
      <c r="L366" s="4"/>
      <c r="M366" s="4"/>
      <c r="N366" s="4"/>
      <c r="O366" s="4"/>
      <c r="P366" s="4"/>
      <c r="Q366" s="4"/>
      <c r="R366" s="4"/>
      <c r="S366" s="4"/>
      <c r="T366" s="4"/>
      <c r="U366" s="4"/>
      <c r="V366" s="4"/>
      <c r="W366" s="4"/>
    </row>
    <row r="367">
      <c r="A367" s="5">
        <f t="shared" si="11"/>
        <v>362</v>
      </c>
      <c r="B367" s="68"/>
      <c r="C367" s="7"/>
      <c r="D367" s="7"/>
      <c r="E367" s="7"/>
      <c r="F367" s="7"/>
      <c r="G367" s="7"/>
      <c r="H367" s="7"/>
      <c r="I367" s="7"/>
      <c r="J367" s="7"/>
      <c r="K367" s="7"/>
      <c r="L367" s="4"/>
      <c r="M367" s="4"/>
      <c r="N367" s="4"/>
      <c r="O367" s="4"/>
      <c r="P367" s="4"/>
      <c r="Q367" s="4"/>
      <c r="R367" s="4"/>
      <c r="S367" s="4"/>
      <c r="T367" s="4"/>
      <c r="U367" s="4"/>
      <c r="V367" s="4"/>
      <c r="W367" s="4"/>
    </row>
    <row r="368">
      <c r="A368" s="5">
        <f t="shared" si="11"/>
        <v>363</v>
      </c>
      <c r="B368" s="68"/>
      <c r="C368" s="7"/>
      <c r="D368" s="7"/>
      <c r="E368" s="7"/>
      <c r="F368" s="7"/>
      <c r="G368" s="7"/>
      <c r="H368" s="7"/>
      <c r="I368" s="7"/>
      <c r="J368" s="7"/>
      <c r="K368" s="7"/>
      <c r="L368" s="4"/>
      <c r="M368" s="4"/>
      <c r="N368" s="4"/>
      <c r="O368" s="4"/>
      <c r="P368" s="4"/>
      <c r="Q368" s="4"/>
      <c r="R368" s="4"/>
      <c r="S368" s="4"/>
      <c r="T368" s="4"/>
      <c r="U368" s="4"/>
      <c r="V368" s="4"/>
      <c r="W368" s="4"/>
    </row>
    <row r="369">
      <c r="A369" s="5">
        <f t="shared" si="11"/>
        <v>364</v>
      </c>
      <c r="B369" s="68"/>
      <c r="C369" s="7"/>
      <c r="D369" s="7"/>
      <c r="E369" s="7"/>
      <c r="F369" s="7"/>
      <c r="G369" s="7"/>
      <c r="H369" s="7"/>
      <c r="I369" s="7"/>
      <c r="J369" s="7"/>
      <c r="K369" s="7"/>
      <c r="L369" s="4"/>
      <c r="M369" s="4"/>
      <c r="N369" s="4"/>
      <c r="O369" s="4"/>
      <c r="P369" s="4"/>
      <c r="Q369" s="4"/>
      <c r="R369" s="4"/>
      <c r="S369" s="4"/>
      <c r="T369" s="4"/>
      <c r="U369" s="4"/>
      <c r="V369" s="4"/>
      <c r="W369" s="4"/>
    </row>
    <row r="370">
      <c r="A370" s="5">
        <f t="shared" si="11"/>
        <v>365</v>
      </c>
      <c r="B370" s="68"/>
      <c r="C370" s="7"/>
      <c r="D370" s="7"/>
      <c r="E370" s="7"/>
      <c r="F370" s="7"/>
      <c r="G370" s="7"/>
      <c r="H370" s="7"/>
      <c r="I370" s="7"/>
      <c r="J370" s="7"/>
      <c r="K370" s="7"/>
      <c r="L370" s="4"/>
      <c r="M370" s="4"/>
      <c r="N370" s="4"/>
      <c r="O370" s="4"/>
      <c r="P370" s="4"/>
      <c r="Q370" s="4"/>
      <c r="R370" s="4"/>
      <c r="S370" s="4"/>
      <c r="T370" s="4"/>
      <c r="U370" s="4"/>
      <c r="V370" s="4"/>
      <c r="W370" s="4"/>
    </row>
    <row r="371">
      <c r="A371" s="5">
        <f t="shared" si="11"/>
        <v>366</v>
      </c>
      <c r="B371" s="68"/>
      <c r="C371" s="7"/>
      <c r="D371" s="7"/>
      <c r="E371" s="7"/>
      <c r="F371" s="7"/>
      <c r="G371" s="7"/>
      <c r="H371" s="7"/>
      <c r="I371" s="7"/>
      <c r="J371" s="7"/>
      <c r="K371" s="7"/>
      <c r="L371" s="4"/>
      <c r="M371" s="4"/>
      <c r="N371" s="4"/>
      <c r="O371" s="4"/>
      <c r="P371" s="4"/>
      <c r="Q371" s="4"/>
      <c r="R371" s="4"/>
      <c r="S371" s="4"/>
      <c r="T371" s="4"/>
      <c r="U371" s="4"/>
      <c r="V371" s="4"/>
      <c r="W371" s="4"/>
    </row>
    <row r="372">
      <c r="A372" s="5">
        <f t="shared" si="11"/>
        <v>367</v>
      </c>
      <c r="B372" s="68"/>
      <c r="C372" s="7"/>
      <c r="D372" s="7"/>
      <c r="E372" s="7"/>
      <c r="F372" s="7"/>
      <c r="G372" s="7"/>
      <c r="H372" s="7"/>
      <c r="I372" s="7"/>
      <c r="J372" s="7"/>
      <c r="K372" s="7"/>
      <c r="L372" s="4"/>
      <c r="M372" s="4"/>
      <c r="N372" s="4"/>
      <c r="O372" s="4"/>
      <c r="P372" s="4"/>
      <c r="Q372" s="4"/>
      <c r="R372" s="4"/>
      <c r="S372" s="4"/>
      <c r="T372" s="4"/>
      <c r="U372" s="4"/>
      <c r="V372" s="4"/>
      <c r="W372" s="4"/>
    </row>
    <row r="373">
      <c r="A373" s="5">
        <f t="shared" si="11"/>
        <v>368</v>
      </c>
      <c r="B373" s="68"/>
      <c r="C373" s="7"/>
      <c r="D373" s="7"/>
      <c r="E373" s="7"/>
      <c r="F373" s="7"/>
      <c r="G373" s="7"/>
      <c r="H373" s="7"/>
      <c r="I373" s="7"/>
      <c r="J373" s="7"/>
      <c r="K373" s="7"/>
      <c r="L373" s="4"/>
      <c r="M373" s="4"/>
      <c r="N373" s="4"/>
      <c r="O373" s="4"/>
      <c r="P373" s="4"/>
      <c r="Q373" s="4"/>
      <c r="R373" s="4"/>
      <c r="S373" s="4"/>
      <c r="T373" s="4"/>
      <c r="U373" s="4"/>
      <c r="V373" s="4"/>
      <c r="W373" s="4"/>
    </row>
    <row r="374">
      <c r="A374" s="5">
        <f t="shared" si="11"/>
        <v>369</v>
      </c>
      <c r="B374" s="68"/>
      <c r="C374" s="7"/>
      <c r="D374" s="7"/>
      <c r="E374" s="7"/>
      <c r="F374" s="7"/>
      <c r="G374" s="7"/>
      <c r="H374" s="7"/>
      <c r="I374" s="7"/>
      <c r="J374" s="7"/>
      <c r="K374" s="7"/>
      <c r="L374" s="4"/>
      <c r="M374" s="4"/>
      <c r="N374" s="4"/>
      <c r="O374" s="4"/>
      <c r="P374" s="4"/>
      <c r="Q374" s="4"/>
      <c r="R374" s="4"/>
      <c r="S374" s="4"/>
      <c r="T374" s="4"/>
      <c r="U374" s="4"/>
      <c r="V374" s="4"/>
      <c r="W374" s="4"/>
    </row>
    <row r="375">
      <c r="A375" s="5">
        <f t="shared" si="11"/>
        <v>370</v>
      </c>
      <c r="B375" s="68"/>
      <c r="C375" s="7"/>
      <c r="D375" s="7"/>
      <c r="E375" s="7"/>
      <c r="F375" s="7"/>
      <c r="G375" s="7"/>
      <c r="H375" s="7"/>
      <c r="I375" s="7"/>
      <c r="J375" s="7"/>
      <c r="K375" s="7"/>
      <c r="L375" s="4"/>
      <c r="M375" s="4"/>
      <c r="N375" s="4"/>
      <c r="O375" s="4"/>
      <c r="P375" s="4"/>
      <c r="Q375" s="4"/>
      <c r="R375" s="4"/>
      <c r="S375" s="4"/>
      <c r="T375" s="4"/>
      <c r="U375" s="4"/>
      <c r="V375" s="4"/>
      <c r="W375" s="4"/>
    </row>
    <row r="376">
      <c r="A376" s="5">
        <f t="shared" si="11"/>
        <v>371</v>
      </c>
      <c r="B376" s="68"/>
      <c r="C376" s="7"/>
      <c r="D376" s="7"/>
      <c r="E376" s="7"/>
      <c r="F376" s="7"/>
      <c r="G376" s="7"/>
      <c r="H376" s="7"/>
      <c r="I376" s="7"/>
      <c r="J376" s="7"/>
      <c r="K376" s="7"/>
      <c r="L376" s="4"/>
      <c r="M376" s="4"/>
      <c r="N376" s="4"/>
      <c r="O376" s="4"/>
      <c r="P376" s="4"/>
      <c r="Q376" s="4"/>
      <c r="R376" s="4"/>
      <c r="S376" s="4"/>
      <c r="T376" s="4"/>
      <c r="U376" s="4"/>
      <c r="V376" s="4"/>
      <c r="W376" s="4"/>
    </row>
    <row r="377">
      <c r="A377" s="5">
        <f t="shared" si="11"/>
        <v>372</v>
      </c>
      <c r="B377" s="68"/>
      <c r="C377" s="7"/>
      <c r="D377" s="7"/>
      <c r="E377" s="7"/>
      <c r="F377" s="7"/>
      <c r="G377" s="7"/>
      <c r="H377" s="7"/>
      <c r="I377" s="7"/>
      <c r="J377" s="7"/>
      <c r="K377" s="7"/>
      <c r="L377" s="4"/>
      <c r="M377" s="4"/>
      <c r="N377" s="4"/>
      <c r="O377" s="4"/>
      <c r="P377" s="4"/>
      <c r="Q377" s="4"/>
      <c r="R377" s="4"/>
      <c r="S377" s="4"/>
      <c r="T377" s="4"/>
      <c r="U377" s="4"/>
      <c r="V377" s="4"/>
      <c r="W377" s="4"/>
    </row>
    <row r="378">
      <c r="A378" s="5">
        <f t="shared" si="11"/>
        <v>373</v>
      </c>
      <c r="B378" s="68"/>
      <c r="C378" s="7"/>
      <c r="D378" s="7"/>
      <c r="E378" s="7"/>
      <c r="F378" s="7"/>
      <c r="G378" s="7"/>
      <c r="H378" s="7"/>
      <c r="I378" s="7"/>
      <c r="J378" s="7"/>
      <c r="K378" s="7"/>
      <c r="L378" s="4"/>
      <c r="M378" s="4"/>
      <c r="N378" s="4"/>
      <c r="O378" s="4"/>
      <c r="P378" s="4"/>
      <c r="Q378" s="4"/>
      <c r="R378" s="4"/>
      <c r="S378" s="4"/>
      <c r="T378" s="4"/>
      <c r="U378" s="4"/>
      <c r="V378" s="4"/>
      <c r="W378" s="4"/>
    </row>
    <row r="379">
      <c r="A379" s="5">
        <f t="shared" si="11"/>
        <v>374</v>
      </c>
      <c r="B379" s="68"/>
      <c r="C379" s="7"/>
      <c r="D379" s="7"/>
      <c r="E379" s="7"/>
      <c r="F379" s="7"/>
      <c r="G379" s="7"/>
      <c r="H379" s="7"/>
      <c r="I379" s="7"/>
      <c r="J379" s="7"/>
      <c r="K379" s="7"/>
      <c r="L379" s="4"/>
      <c r="M379" s="4"/>
      <c r="N379" s="4"/>
      <c r="O379" s="4"/>
      <c r="P379" s="4"/>
      <c r="Q379" s="4"/>
      <c r="R379" s="4"/>
      <c r="S379" s="4"/>
      <c r="T379" s="4"/>
      <c r="U379" s="4"/>
      <c r="V379" s="4"/>
      <c r="W379" s="4"/>
    </row>
    <row r="380">
      <c r="A380" s="5">
        <f t="shared" si="11"/>
        <v>375</v>
      </c>
      <c r="B380" s="68"/>
      <c r="C380" s="7"/>
      <c r="D380" s="7"/>
      <c r="E380" s="7"/>
      <c r="F380" s="7"/>
      <c r="G380" s="7"/>
      <c r="H380" s="7"/>
      <c r="I380" s="7"/>
      <c r="J380" s="7"/>
      <c r="K380" s="7"/>
      <c r="L380" s="4"/>
      <c r="M380" s="4"/>
      <c r="N380" s="4"/>
      <c r="O380" s="4"/>
      <c r="P380" s="4"/>
      <c r="Q380" s="4"/>
      <c r="R380" s="4"/>
      <c r="S380" s="4"/>
      <c r="T380" s="4"/>
      <c r="U380" s="4"/>
      <c r="V380" s="4"/>
      <c r="W380" s="4"/>
    </row>
    <row r="381">
      <c r="A381" s="5">
        <f t="shared" si="11"/>
        <v>376</v>
      </c>
      <c r="B381" s="68"/>
      <c r="C381" s="7"/>
      <c r="D381" s="7"/>
      <c r="E381" s="7"/>
      <c r="F381" s="7"/>
      <c r="G381" s="7"/>
      <c r="H381" s="7"/>
      <c r="I381" s="7"/>
      <c r="J381" s="7"/>
      <c r="K381" s="7"/>
      <c r="L381" s="4"/>
      <c r="M381" s="4"/>
      <c r="N381" s="4"/>
      <c r="O381" s="4"/>
      <c r="P381" s="4"/>
      <c r="Q381" s="4"/>
      <c r="R381" s="4"/>
      <c r="S381" s="4"/>
      <c r="T381" s="4"/>
      <c r="U381" s="4"/>
      <c r="V381" s="4"/>
      <c r="W381" s="4"/>
    </row>
    <row r="382">
      <c r="A382" s="5">
        <f t="shared" si="11"/>
        <v>377</v>
      </c>
      <c r="B382" s="68"/>
      <c r="C382" s="7"/>
      <c r="D382" s="7"/>
      <c r="E382" s="7"/>
      <c r="F382" s="7"/>
      <c r="G382" s="7"/>
      <c r="H382" s="7"/>
      <c r="I382" s="7"/>
      <c r="J382" s="7"/>
      <c r="K382" s="7"/>
      <c r="L382" s="4"/>
      <c r="M382" s="4"/>
      <c r="N382" s="4"/>
      <c r="O382" s="4"/>
      <c r="P382" s="4"/>
      <c r="Q382" s="4"/>
      <c r="R382" s="4"/>
      <c r="S382" s="4"/>
      <c r="T382" s="4"/>
      <c r="U382" s="4"/>
      <c r="V382" s="4"/>
      <c r="W382" s="4"/>
    </row>
    <row r="383">
      <c r="A383" s="5">
        <f t="shared" si="11"/>
        <v>378</v>
      </c>
      <c r="B383" s="68"/>
      <c r="C383" s="7"/>
      <c r="D383" s="7"/>
      <c r="E383" s="7"/>
      <c r="F383" s="7"/>
      <c r="G383" s="7"/>
      <c r="H383" s="7"/>
      <c r="I383" s="7"/>
      <c r="J383" s="7"/>
      <c r="K383" s="7"/>
      <c r="L383" s="4"/>
      <c r="M383" s="4"/>
      <c r="N383" s="4"/>
      <c r="O383" s="4"/>
      <c r="P383" s="4"/>
      <c r="Q383" s="4"/>
      <c r="R383" s="4"/>
      <c r="S383" s="4"/>
      <c r="T383" s="4"/>
      <c r="U383" s="4"/>
      <c r="V383" s="4"/>
      <c r="W383" s="4"/>
    </row>
    <row r="384">
      <c r="A384" s="5">
        <f t="shared" si="11"/>
        <v>379</v>
      </c>
      <c r="B384" s="68"/>
      <c r="C384" s="7"/>
      <c r="D384" s="7"/>
      <c r="E384" s="7"/>
      <c r="F384" s="7"/>
      <c r="G384" s="7"/>
      <c r="H384" s="7"/>
      <c r="I384" s="7"/>
      <c r="J384" s="7"/>
      <c r="K384" s="7"/>
      <c r="L384" s="4"/>
      <c r="M384" s="4"/>
      <c r="N384" s="4"/>
      <c r="O384" s="4"/>
      <c r="P384" s="4"/>
      <c r="Q384" s="4"/>
      <c r="R384" s="4"/>
      <c r="S384" s="4"/>
      <c r="T384" s="4"/>
      <c r="U384" s="4"/>
      <c r="V384" s="4"/>
      <c r="W384" s="4"/>
    </row>
    <row r="385">
      <c r="A385" s="5">
        <f t="shared" si="11"/>
        <v>380</v>
      </c>
      <c r="B385" s="68"/>
      <c r="C385" s="7"/>
      <c r="D385" s="7"/>
      <c r="E385" s="7"/>
      <c r="F385" s="7"/>
      <c r="G385" s="7"/>
      <c r="H385" s="7"/>
      <c r="I385" s="7"/>
      <c r="J385" s="7"/>
      <c r="K385" s="7"/>
      <c r="L385" s="4"/>
      <c r="M385" s="4"/>
      <c r="N385" s="4"/>
      <c r="O385" s="4"/>
      <c r="P385" s="4"/>
      <c r="Q385" s="4"/>
      <c r="R385" s="4"/>
      <c r="S385" s="4"/>
      <c r="T385" s="4"/>
      <c r="U385" s="4"/>
      <c r="V385" s="4"/>
      <c r="W385" s="4"/>
    </row>
    <row r="386">
      <c r="A386" s="5">
        <f t="shared" si="11"/>
        <v>381</v>
      </c>
      <c r="B386" s="68"/>
      <c r="C386" s="7"/>
      <c r="D386" s="7"/>
      <c r="E386" s="7"/>
      <c r="F386" s="7"/>
      <c r="G386" s="7"/>
      <c r="H386" s="7"/>
      <c r="I386" s="7"/>
      <c r="J386" s="7"/>
      <c r="K386" s="7"/>
      <c r="L386" s="4"/>
      <c r="M386" s="4"/>
      <c r="N386" s="4"/>
      <c r="O386" s="4"/>
      <c r="P386" s="4"/>
      <c r="Q386" s="4"/>
      <c r="R386" s="4"/>
      <c r="S386" s="4"/>
      <c r="T386" s="4"/>
      <c r="U386" s="4"/>
      <c r="V386" s="4"/>
      <c r="W386" s="4"/>
    </row>
    <row r="387">
      <c r="A387" s="5">
        <f t="shared" si="11"/>
        <v>382</v>
      </c>
      <c r="B387" s="68"/>
      <c r="C387" s="7"/>
      <c r="D387" s="7"/>
      <c r="E387" s="7"/>
      <c r="F387" s="7"/>
      <c r="G387" s="7"/>
      <c r="H387" s="7"/>
      <c r="I387" s="7"/>
      <c r="J387" s="7"/>
      <c r="K387" s="7"/>
      <c r="L387" s="4"/>
      <c r="M387" s="4"/>
      <c r="N387" s="4"/>
      <c r="O387" s="4"/>
      <c r="P387" s="4"/>
      <c r="Q387" s="4"/>
      <c r="R387" s="4"/>
      <c r="S387" s="4"/>
      <c r="T387" s="4"/>
      <c r="U387" s="4"/>
      <c r="V387" s="4"/>
      <c r="W387" s="4"/>
    </row>
    <row r="388">
      <c r="A388" s="5">
        <f t="shared" si="11"/>
        <v>383</v>
      </c>
      <c r="B388" s="68"/>
      <c r="C388" s="7"/>
      <c r="D388" s="7"/>
      <c r="E388" s="7"/>
      <c r="F388" s="7"/>
      <c r="G388" s="7"/>
      <c r="H388" s="7"/>
      <c r="I388" s="7"/>
      <c r="J388" s="7"/>
      <c r="K388" s="7"/>
      <c r="L388" s="4"/>
      <c r="M388" s="4"/>
      <c r="N388" s="4"/>
      <c r="O388" s="4"/>
      <c r="P388" s="4"/>
      <c r="Q388" s="4"/>
      <c r="R388" s="4"/>
      <c r="S388" s="4"/>
      <c r="T388" s="4"/>
      <c r="U388" s="4"/>
      <c r="V388" s="4"/>
      <c r="W388" s="4"/>
    </row>
    <row r="389">
      <c r="A389" s="5">
        <f t="shared" si="11"/>
        <v>384</v>
      </c>
      <c r="B389" s="68"/>
      <c r="C389" s="7"/>
      <c r="D389" s="7"/>
      <c r="E389" s="7"/>
      <c r="F389" s="7"/>
      <c r="G389" s="7"/>
      <c r="H389" s="7"/>
      <c r="I389" s="7"/>
      <c r="J389" s="7"/>
      <c r="K389" s="7"/>
      <c r="L389" s="4"/>
      <c r="M389" s="4"/>
      <c r="N389" s="4"/>
      <c r="O389" s="4"/>
      <c r="P389" s="4"/>
      <c r="Q389" s="4"/>
      <c r="R389" s="4"/>
      <c r="S389" s="4"/>
      <c r="T389" s="4"/>
      <c r="U389" s="4"/>
      <c r="V389" s="4"/>
      <c r="W389" s="4"/>
    </row>
    <row r="390">
      <c r="A390" s="5">
        <f t="shared" si="11"/>
        <v>385</v>
      </c>
      <c r="B390" s="68"/>
      <c r="C390" s="7"/>
      <c r="D390" s="7"/>
      <c r="E390" s="7"/>
      <c r="F390" s="7"/>
      <c r="G390" s="7"/>
      <c r="H390" s="7"/>
      <c r="I390" s="7"/>
      <c r="J390" s="7"/>
      <c r="K390" s="7"/>
      <c r="L390" s="4"/>
      <c r="M390" s="4"/>
      <c r="N390" s="4"/>
      <c r="O390" s="4"/>
      <c r="P390" s="4"/>
      <c r="Q390" s="4"/>
      <c r="R390" s="4"/>
      <c r="S390" s="4"/>
      <c r="T390" s="4"/>
      <c r="U390" s="4"/>
      <c r="V390" s="4"/>
      <c r="W390" s="4"/>
    </row>
    <row r="391">
      <c r="A391" s="5">
        <f t="shared" si="11"/>
        <v>386</v>
      </c>
      <c r="B391" s="68"/>
      <c r="C391" s="7"/>
      <c r="D391" s="7"/>
      <c r="E391" s="7"/>
      <c r="F391" s="7"/>
      <c r="G391" s="7"/>
      <c r="H391" s="7"/>
      <c r="I391" s="7"/>
      <c r="J391" s="7"/>
      <c r="K391" s="7"/>
      <c r="L391" s="4"/>
      <c r="M391" s="4"/>
      <c r="N391" s="4"/>
      <c r="O391" s="4"/>
      <c r="P391" s="4"/>
      <c r="Q391" s="4"/>
      <c r="R391" s="4"/>
      <c r="S391" s="4"/>
      <c r="T391" s="4"/>
      <c r="U391" s="4"/>
      <c r="V391" s="4"/>
      <c r="W391" s="4"/>
    </row>
    <row r="392">
      <c r="A392" s="5">
        <f t="shared" si="11"/>
        <v>387</v>
      </c>
      <c r="B392" s="68"/>
      <c r="C392" s="7"/>
      <c r="D392" s="7"/>
      <c r="E392" s="7"/>
      <c r="F392" s="7"/>
      <c r="G392" s="7"/>
      <c r="H392" s="7"/>
      <c r="I392" s="7"/>
      <c r="J392" s="7"/>
      <c r="K392" s="7"/>
      <c r="L392" s="4"/>
      <c r="M392" s="4"/>
      <c r="N392" s="4"/>
      <c r="O392" s="4"/>
      <c r="P392" s="4"/>
      <c r="Q392" s="4"/>
      <c r="R392" s="4"/>
      <c r="S392" s="4"/>
      <c r="T392" s="4"/>
      <c r="U392" s="4"/>
      <c r="V392" s="4"/>
      <c r="W392" s="4"/>
    </row>
    <row r="393">
      <c r="A393" s="5">
        <f t="shared" si="11"/>
        <v>388</v>
      </c>
      <c r="B393" s="68"/>
      <c r="C393" s="7"/>
      <c r="D393" s="7"/>
      <c r="E393" s="7"/>
      <c r="F393" s="7"/>
      <c r="G393" s="7"/>
      <c r="H393" s="7"/>
      <c r="I393" s="7"/>
      <c r="J393" s="7"/>
      <c r="K393" s="7"/>
      <c r="L393" s="4"/>
      <c r="M393" s="4"/>
      <c r="N393" s="4"/>
      <c r="O393" s="4"/>
      <c r="P393" s="4"/>
      <c r="Q393" s="4"/>
      <c r="R393" s="4"/>
      <c r="S393" s="4"/>
      <c r="T393" s="4"/>
      <c r="U393" s="4"/>
      <c r="V393" s="4"/>
      <c r="W393" s="4"/>
    </row>
    <row r="394">
      <c r="A394" s="5">
        <f t="shared" si="11"/>
        <v>389</v>
      </c>
      <c r="B394" s="68"/>
      <c r="C394" s="7"/>
      <c r="D394" s="7"/>
      <c r="E394" s="7"/>
      <c r="F394" s="7"/>
      <c r="G394" s="7"/>
      <c r="H394" s="7"/>
      <c r="I394" s="7"/>
      <c r="J394" s="7"/>
      <c r="K394" s="7"/>
      <c r="L394" s="4"/>
      <c r="M394" s="4"/>
      <c r="N394" s="4"/>
      <c r="O394" s="4"/>
      <c r="P394" s="4"/>
      <c r="Q394" s="4"/>
      <c r="R394" s="4"/>
      <c r="S394" s="4"/>
      <c r="T394" s="4"/>
      <c r="U394" s="4"/>
      <c r="V394" s="4"/>
      <c r="W394" s="4"/>
    </row>
    <row r="395">
      <c r="A395" s="5">
        <f t="shared" si="11"/>
        <v>390</v>
      </c>
      <c r="B395" s="68"/>
      <c r="C395" s="7"/>
      <c r="D395" s="7"/>
      <c r="E395" s="7"/>
      <c r="F395" s="7"/>
      <c r="G395" s="7"/>
      <c r="H395" s="7"/>
      <c r="I395" s="7"/>
      <c r="J395" s="7"/>
      <c r="K395" s="7"/>
      <c r="L395" s="4"/>
      <c r="M395" s="4"/>
      <c r="N395" s="4"/>
      <c r="O395" s="4"/>
      <c r="P395" s="4"/>
      <c r="Q395" s="4"/>
      <c r="R395" s="4"/>
      <c r="S395" s="4"/>
      <c r="T395" s="4"/>
      <c r="U395" s="4"/>
      <c r="V395" s="4"/>
      <c r="W395" s="4"/>
    </row>
    <row r="396">
      <c r="A396" s="5">
        <f t="shared" si="11"/>
        <v>391</v>
      </c>
      <c r="B396" s="68"/>
      <c r="C396" s="7"/>
      <c r="D396" s="7"/>
      <c r="E396" s="7"/>
      <c r="F396" s="7"/>
      <c r="G396" s="7"/>
      <c r="H396" s="7"/>
      <c r="I396" s="7"/>
      <c r="J396" s="7"/>
      <c r="K396" s="7"/>
      <c r="L396" s="4"/>
      <c r="M396" s="4"/>
      <c r="N396" s="4"/>
      <c r="O396" s="4"/>
      <c r="P396" s="4"/>
      <c r="Q396" s="4"/>
      <c r="R396" s="4"/>
      <c r="S396" s="4"/>
      <c r="T396" s="4"/>
      <c r="U396" s="4"/>
      <c r="V396" s="4"/>
      <c r="W396" s="4"/>
    </row>
    <row r="397">
      <c r="A397" s="5">
        <f t="shared" si="11"/>
        <v>392</v>
      </c>
      <c r="B397" s="68"/>
      <c r="C397" s="7"/>
      <c r="D397" s="7"/>
      <c r="E397" s="7"/>
      <c r="F397" s="7"/>
      <c r="G397" s="7"/>
      <c r="H397" s="7"/>
      <c r="I397" s="7"/>
      <c r="J397" s="7"/>
      <c r="K397" s="7"/>
      <c r="L397" s="4"/>
      <c r="M397" s="4"/>
      <c r="N397" s="4"/>
      <c r="O397" s="4"/>
      <c r="P397" s="4"/>
      <c r="Q397" s="4"/>
      <c r="R397" s="4"/>
      <c r="S397" s="4"/>
      <c r="T397" s="4"/>
      <c r="U397" s="4"/>
      <c r="V397" s="4"/>
      <c r="W397" s="4"/>
    </row>
    <row r="398">
      <c r="A398" s="5">
        <f t="shared" si="11"/>
        <v>393</v>
      </c>
      <c r="B398" s="68"/>
      <c r="C398" s="7"/>
      <c r="D398" s="7"/>
      <c r="E398" s="7"/>
      <c r="F398" s="7"/>
      <c r="G398" s="7"/>
      <c r="H398" s="7"/>
      <c r="I398" s="7"/>
      <c r="J398" s="7"/>
      <c r="K398" s="7"/>
      <c r="L398" s="4"/>
      <c r="M398" s="4"/>
      <c r="N398" s="4"/>
      <c r="O398" s="4"/>
      <c r="P398" s="4"/>
      <c r="Q398" s="4"/>
      <c r="R398" s="4"/>
      <c r="S398" s="4"/>
      <c r="T398" s="4"/>
      <c r="U398" s="4"/>
      <c r="V398" s="4"/>
      <c r="W398" s="4"/>
    </row>
    <row r="399">
      <c r="A399" s="5">
        <f t="shared" si="11"/>
        <v>394</v>
      </c>
      <c r="B399" s="68"/>
      <c r="C399" s="7"/>
      <c r="D399" s="7"/>
      <c r="E399" s="7"/>
      <c r="F399" s="7"/>
      <c r="G399" s="7"/>
      <c r="H399" s="7"/>
      <c r="I399" s="7"/>
      <c r="J399" s="7"/>
      <c r="K399" s="7"/>
      <c r="L399" s="4"/>
      <c r="M399" s="4"/>
      <c r="N399" s="4"/>
      <c r="O399" s="4"/>
      <c r="P399" s="4"/>
      <c r="Q399" s="4"/>
      <c r="R399" s="4"/>
      <c r="S399" s="4"/>
      <c r="T399" s="4"/>
      <c r="U399" s="4"/>
      <c r="V399" s="4"/>
      <c r="W399" s="4"/>
    </row>
    <row r="400">
      <c r="A400" s="5">
        <f t="shared" si="11"/>
        <v>395</v>
      </c>
      <c r="B400" s="68"/>
      <c r="C400" s="7"/>
      <c r="D400" s="7"/>
      <c r="E400" s="7"/>
      <c r="F400" s="7"/>
      <c r="G400" s="7"/>
      <c r="H400" s="7"/>
      <c r="I400" s="7"/>
      <c r="J400" s="7"/>
      <c r="K400" s="7"/>
      <c r="L400" s="4"/>
      <c r="M400" s="4"/>
      <c r="N400" s="4"/>
      <c r="O400" s="4"/>
      <c r="P400" s="4"/>
      <c r="Q400" s="4"/>
      <c r="R400" s="4"/>
      <c r="S400" s="4"/>
      <c r="T400" s="4"/>
      <c r="U400" s="4"/>
      <c r="V400" s="4"/>
      <c r="W400" s="4"/>
    </row>
    <row r="401">
      <c r="A401" s="5">
        <f t="shared" si="11"/>
        <v>396</v>
      </c>
      <c r="B401" s="68"/>
      <c r="C401" s="7"/>
      <c r="D401" s="7"/>
      <c r="E401" s="7"/>
      <c r="F401" s="7"/>
      <c r="G401" s="7"/>
      <c r="H401" s="7"/>
      <c r="I401" s="7"/>
      <c r="J401" s="7"/>
      <c r="K401" s="7"/>
      <c r="L401" s="4"/>
      <c r="M401" s="4"/>
      <c r="N401" s="4"/>
      <c r="O401" s="4"/>
      <c r="P401" s="4"/>
      <c r="Q401" s="4"/>
      <c r="R401" s="4"/>
      <c r="S401" s="4"/>
      <c r="T401" s="4"/>
      <c r="U401" s="4"/>
      <c r="V401" s="4"/>
      <c r="W401" s="4"/>
    </row>
    <row r="402">
      <c r="A402" s="5">
        <f t="shared" si="11"/>
        <v>397</v>
      </c>
      <c r="B402" s="68"/>
      <c r="C402" s="7"/>
      <c r="D402" s="7"/>
      <c r="E402" s="7"/>
      <c r="F402" s="7"/>
      <c r="G402" s="7"/>
      <c r="H402" s="7"/>
      <c r="I402" s="7"/>
      <c r="J402" s="7"/>
      <c r="K402" s="7"/>
      <c r="L402" s="4"/>
      <c r="M402" s="4"/>
      <c r="N402" s="4"/>
      <c r="O402" s="4"/>
      <c r="P402" s="4"/>
      <c r="Q402" s="4"/>
      <c r="R402" s="4"/>
      <c r="S402" s="4"/>
      <c r="T402" s="4"/>
      <c r="U402" s="4"/>
      <c r="V402" s="4"/>
      <c r="W402" s="4"/>
    </row>
    <row r="403">
      <c r="A403" s="5">
        <f t="shared" si="11"/>
        <v>398</v>
      </c>
      <c r="B403" s="68"/>
      <c r="C403" s="7"/>
      <c r="D403" s="7"/>
      <c r="E403" s="7"/>
      <c r="F403" s="7"/>
      <c r="G403" s="7"/>
      <c r="H403" s="7"/>
      <c r="I403" s="7"/>
      <c r="J403" s="7"/>
      <c r="K403" s="7"/>
      <c r="L403" s="4"/>
      <c r="M403" s="4"/>
      <c r="N403" s="4"/>
      <c r="O403" s="4"/>
      <c r="P403" s="4"/>
      <c r="Q403" s="4"/>
      <c r="R403" s="4"/>
      <c r="S403" s="4"/>
      <c r="T403" s="4"/>
      <c r="U403" s="4"/>
      <c r="V403" s="4"/>
      <c r="W403" s="4"/>
    </row>
    <row r="404">
      <c r="A404" s="5">
        <f t="shared" si="11"/>
        <v>399</v>
      </c>
      <c r="B404" s="68"/>
      <c r="C404" s="7"/>
      <c r="D404" s="7"/>
      <c r="E404" s="7"/>
      <c r="F404" s="7"/>
      <c r="G404" s="7"/>
      <c r="H404" s="7"/>
      <c r="I404" s="7"/>
      <c r="J404" s="7"/>
      <c r="K404" s="7"/>
      <c r="L404" s="4"/>
      <c r="M404" s="4"/>
      <c r="N404" s="4"/>
      <c r="O404" s="4"/>
      <c r="P404" s="4"/>
      <c r="Q404" s="4"/>
      <c r="R404" s="4"/>
      <c r="S404" s="4"/>
      <c r="T404" s="4"/>
      <c r="U404" s="4"/>
      <c r="V404" s="4"/>
      <c r="W404" s="4"/>
    </row>
    <row r="405">
      <c r="A405" s="5">
        <f t="shared" si="11"/>
        <v>400</v>
      </c>
      <c r="B405" s="68"/>
      <c r="C405" s="7"/>
      <c r="D405" s="7"/>
      <c r="E405" s="7"/>
      <c r="F405" s="7"/>
      <c r="G405" s="7"/>
      <c r="H405" s="7"/>
      <c r="I405" s="7"/>
      <c r="J405" s="7"/>
      <c r="K405" s="7"/>
      <c r="L405" s="4"/>
      <c r="M405" s="4"/>
      <c r="N405" s="4"/>
      <c r="O405" s="4"/>
      <c r="P405" s="4"/>
      <c r="Q405" s="4"/>
      <c r="R405" s="4"/>
      <c r="S405" s="4"/>
      <c r="T405" s="4"/>
      <c r="U405" s="4"/>
      <c r="V405" s="4"/>
      <c r="W405" s="4"/>
    </row>
    <row r="406">
      <c r="A406" s="5">
        <f t="shared" si="11"/>
        <v>401</v>
      </c>
      <c r="B406" s="68"/>
      <c r="C406" s="7"/>
      <c r="D406" s="7"/>
      <c r="E406" s="7"/>
      <c r="F406" s="7"/>
      <c r="G406" s="7"/>
      <c r="H406" s="7"/>
      <c r="I406" s="7"/>
      <c r="J406" s="7"/>
      <c r="K406" s="7"/>
      <c r="L406" s="4"/>
      <c r="M406" s="4"/>
      <c r="N406" s="4"/>
      <c r="O406" s="4"/>
      <c r="P406" s="4"/>
      <c r="Q406" s="4"/>
      <c r="R406" s="4"/>
      <c r="S406" s="4"/>
      <c r="T406" s="4"/>
      <c r="U406" s="4"/>
      <c r="V406" s="4"/>
      <c r="W406" s="4"/>
    </row>
    <row r="407">
      <c r="A407" s="5">
        <f t="shared" si="11"/>
        <v>402</v>
      </c>
      <c r="B407" s="68"/>
      <c r="C407" s="7"/>
      <c r="D407" s="7"/>
      <c r="E407" s="7"/>
      <c r="F407" s="7"/>
      <c r="G407" s="7"/>
      <c r="H407" s="7"/>
      <c r="I407" s="7"/>
      <c r="J407" s="7"/>
      <c r="K407" s="7"/>
      <c r="L407" s="4"/>
      <c r="M407" s="4"/>
      <c r="N407" s="4"/>
      <c r="O407" s="4"/>
      <c r="P407" s="4"/>
      <c r="Q407" s="4"/>
      <c r="R407" s="4"/>
      <c r="S407" s="4"/>
      <c r="T407" s="4"/>
      <c r="U407" s="4"/>
      <c r="V407" s="4"/>
      <c r="W407" s="4"/>
    </row>
    <row r="408">
      <c r="A408" s="5">
        <f t="shared" si="11"/>
        <v>403</v>
      </c>
      <c r="B408" s="68"/>
      <c r="C408" s="7"/>
      <c r="D408" s="7"/>
      <c r="E408" s="7"/>
      <c r="F408" s="7"/>
      <c r="G408" s="7"/>
      <c r="H408" s="7"/>
      <c r="I408" s="7"/>
      <c r="J408" s="7"/>
      <c r="K408" s="7"/>
      <c r="L408" s="4"/>
      <c r="M408" s="4"/>
      <c r="N408" s="4"/>
      <c r="O408" s="4"/>
      <c r="P408" s="4"/>
      <c r="Q408" s="4"/>
      <c r="R408" s="4"/>
      <c r="S408" s="4"/>
      <c r="T408" s="4"/>
      <c r="U408" s="4"/>
      <c r="V408" s="4"/>
      <c r="W408" s="4"/>
    </row>
    <row r="409">
      <c r="A409" s="5">
        <f t="shared" si="11"/>
        <v>404</v>
      </c>
      <c r="B409" s="68"/>
      <c r="C409" s="7"/>
      <c r="D409" s="7"/>
      <c r="E409" s="7"/>
      <c r="F409" s="7"/>
      <c r="G409" s="7"/>
      <c r="H409" s="7"/>
      <c r="I409" s="7"/>
      <c r="J409" s="7"/>
      <c r="K409" s="7"/>
      <c r="L409" s="4"/>
      <c r="M409" s="4"/>
      <c r="N409" s="4"/>
      <c r="O409" s="4"/>
      <c r="P409" s="4"/>
      <c r="Q409" s="4"/>
      <c r="R409" s="4"/>
      <c r="S409" s="4"/>
      <c r="T409" s="4"/>
      <c r="U409" s="4"/>
      <c r="V409" s="4"/>
      <c r="W409" s="4"/>
    </row>
    <row r="410">
      <c r="A410" s="5">
        <f t="shared" si="11"/>
        <v>405</v>
      </c>
      <c r="B410" s="68"/>
      <c r="C410" s="7"/>
      <c r="D410" s="7"/>
      <c r="E410" s="7"/>
      <c r="F410" s="7"/>
      <c r="G410" s="7"/>
      <c r="H410" s="7"/>
      <c r="I410" s="7"/>
      <c r="J410" s="7"/>
      <c r="K410" s="7"/>
      <c r="L410" s="4"/>
      <c r="M410" s="4"/>
      <c r="N410" s="4"/>
      <c r="O410" s="4"/>
      <c r="P410" s="4"/>
      <c r="Q410" s="4"/>
      <c r="R410" s="4"/>
      <c r="S410" s="4"/>
      <c r="T410" s="4"/>
      <c r="U410" s="4"/>
      <c r="V410" s="4"/>
      <c r="W410" s="4"/>
    </row>
    <row r="411">
      <c r="A411" s="5">
        <f t="shared" si="11"/>
        <v>406</v>
      </c>
      <c r="B411" s="68"/>
      <c r="C411" s="7"/>
      <c r="D411" s="7"/>
      <c r="E411" s="7"/>
      <c r="F411" s="7"/>
      <c r="G411" s="7"/>
      <c r="H411" s="7"/>
      <c r="I411" s="7"/>
      <c r="J411" s="7"/>
      <c r="K411" s="7"/>
      <c r="L411" s="4"/>
      <c r="M411" s="4"/>
      <c r="N411" s="4"/>
      <c r="O411" s="4"/>
      <c r="P411" s="4"/>
      <c r="Q411" s="4"/>
      <c r="R411" s="4"/>
      <c r="S411" s="4"/>
      <c r="T411" s="4"/>
      <c r="U411" s="4"/>
      <c r="V411" s="4"/>
      <c r="W411" s="4"/>
    </row>
    <row r="412">
      <c r="A412" s="5">
        <f t="shared" si="11"/>
        <v>407</v>
      </c>
      <c r="B412" s="68"/>
      <c r="C412" s="7"/>
      <c r="D412" s="7"/>
      <c r="E412" s="7"/>
      <c r="F412" s="7"/>
      <c r="G412" s="7"/>
      <c r="H412" s="7"/>
      <c r="I412" s="7"/>
      <c r="J412" s="7"/>
      <c r="K412" s="7"/>
      <c r="L412" s="4"/>
      <c r="M412" s="4"/>
      <c r="N412" s="4"/>
      <c r="O412" s="4"/>
      <c r="P412" s="4"/>
      <c r="Q412" s="4"/>
      <c r="R412" s="4"/>
      <c r="S412" s="4"/>
      <c r="T412" s="4"/>
      <c r="U412" s="4"/>
      <c r="V412" s="4"/>
      <c r="W412" s="4"/>
    </row>
    <row r="413">
      <c r="A413" s="5">
        <f t="shared" si="11"/>
        <v>408</v>
      </c>
      <c r="B413" s="68"/>
      <c r="C413" s="7"/>
      <c r="D413" s="7"/>
      <c r="E413" s="7"/>
      <c r="F413" s="7"/>
      <c r="G413" s="7"/>
      <c r="H413" s="7"/>
      <c r="I413" s="7"/>
      <c r="J413" s="7"/>
      <c r="K413" s="7"/>
      <c r="L413" s="4"/>
      <c r="M413" s="4"/>
      <c r="N413" s="4"/>
      <c r="O413" s="4"/>
      <c r="P413" s="4"/>
      <c r="Q413" s="4"/>
      <c r="R413" s="4"/>
      <c r="S413" s="4"/>
      <c r="T413" s="4"/>
      <c r="U413" s="4"/>
      <c r="V413" s="4"/>
      <c r="W413" s="4"/>
    </row>
    <row r="414">
      <c r="A414" s="5">
        <f t="shared" si="11"/>
        <v>409</v>
      </c>
      <c r="B414" s="68"/>
      <c r="C414" s="7"/>
      <c r="D414" s="7"/>
      <c r="E414" s="7"/>
      <c r="F414" s="7"/>
      <c r="G414" s="7"/>
      <c r="H414" s="7"/>
      <c r="I414" s="7"/>
      <c r="J414" s="7"/>
      <c r="K414" s="7"/>
      <c r="L414" s="4"/>
      <c r="M414" s="4"/>
      <c r="N414" s="4"/>
      <c r="O414" s="4"/>
      <c r="P414" s="4"/>
      <c r="Q414" s="4"/>
      <c r="R414" s="4"/>
      <c r="S414" s="4"/>
      <c r="T414" s="4"/>
      <c r="U414" s="4"/>
      <c r="V414" s="4"/>
      <c r="W414" s="4"/>
    </row>
    <row r="415">
      <c r="A415" s="5">
        <f t="shared" si="11"/>
        <v>410</v>
      </c>
      <c r="B415" s="68"/>
      <c r="C415" s="7"/>
      <c r="D415" s="7"/>
      <c r="E415" s="7"/>
      <c r="F415" s="7"/>
      <c r="G415" s="7"/>
      <c r="H415" s="7"/>
      <c r="I415" s="7"/>
      <c r="J415" s="7"/>
      <c r="K415" s="7"/>
      <c r="L415" s="4"/>
      <c r="M415" s="4"/>
      <c r="N415" s="4"/>
      <c r="O415" s="4"/>
      <c r="P415" s="4"/>
      <c r="Q415" s="4"/>
      <c r="R415" s="4"/>
      <c r="S415" s="4"/>
      <c r="T415" s="4"/>
      <c r="U415" s="4"/>
      <c r="V415" s="4"/>
      <c r="W415" s="4"/>
    </row>
    <row r="416">
      <c r="A416" s="5">
        <f t="shared" si="11"/>
        <v>411</v>
      </c>
      <c r="B416" s="68"/>
      <c r="C416" s="7"/>
      <c r="D416" s="7"/>
      <c r="E416" s="7"/>
      <c r="F416" s="7"/>
      <c r="G416" s="7"/>
      <c r="H416" s="7"/>
      <c r="I416" s="7"/>
      <c r="J416" s="7"/>
      <c r="K416" s="7"/>
      <c r="L416" s="4"/>
      <c r="M416" s="4"/>
      <c r="N416" s="4"/>
      <c r="O416" s="4"/>
      <c r="P416" s="4"/>
      <c r="Q416" s="4"/>
      <c r="R416" s="4"/>
      <c r="S416" s="4"/>
      <c r="T416" s="4"/>
      <c r="U416" s="4"/>
      <c r="V416" s="4"/>
      <c r="W416" s="4"/>
    </row>
    <row r="417">
      <c r="A417" s="5">
        <f t="shared" si="11"/>
        <v>412</v>
      </c>
      <c r="B417" s="68"/>
      <c r="C417" s="7"/>
      <c r="D417" s="7"/>
      <c r="E417" s="7"/>
      <c r="F417" s="7"/>
      <c r="G417" s="7"/>
      <c r="H417" s="7"/>
      <c r="I417" s="7"/>
      <c r="J417" s="7"/>
      <c r="K417" s="7"/>
      <c r="L417" s="4"/>
      <c r="M417" s="4"/>
      <c r="N417" s="4"/>
      <c r="O417" s="4"/>
      <c r="P417" s="4"/>
      <c r="Q417" s="4"/>
      <c r="R417" s="4"/>
      <c r="S417" s="4"/>
      <c r="T417" s="4"/>
      <c r="U417" s="4"/>
      <c r="V417" s="4"/>
      <c r="W417" s="4"/>
    </row>
    <row r="418">
      <c r="A418" s="5">
        <f t="shared" si="11"/>
        <v>413</v>
      </c>
      <c r="B418" s="68"/>
      <c r="C418" s="7"/>
      <c r="D418" s="7"/>
      <c r="E418" s="7"/>
      <c r="F418" s="7"/>
      <c r="G418" s="7"/>
      <c r="H418" s="7"/>
      <c r="I418" s="7"/>
      <c r="J418" s="7"/>
      <c r="K418" s="7"/>
      <c r="L418" s="4"/>
      <c r="M418" s="4"/>
      <c r="N418" s="4"/>
      <c r="O418" s="4"/>
      <c r="P418" s="4"/>
      <c r="Q418" s="4"/>
      <c r="R418" s="4"/>
      <c r="S418" s="4"/>
      <c r="T418" s="4"/>
      <c r="U418" s="4"/>
      <c r="V418" s="4"/>
      <c r="W418" s="4"/>
    </row>
    <row r="419">
      <c r="A419" s="5">
        <f t="shared" si="11"/>
        <v>414</v>
      </c>
      <c r="B419" s="68"/>
      <c r="C419" s="7"/>
      <c r="D419" s="7"/>
      <c r="E419" s="7"/>
      <c r="F419" s="7"/>
      <c r="G419" s="7"/>
      <c r="H419" s="7"/>
      <c r="I419" s="7"/>
      <c r="J419" s="7"/>
      <c r="K419" s="7"/>
      <c r="L419" s="4"/>
      <c r="M419" s="4"/>
      <c r="N419" s="4"/>
      <c r="O419" s="4"/>
      <c r="P419" s="4"/>
      <c r="Q419" s="4"/>
      <c r="R419" s="4"/>
      <c r="S419" s="4"/>
      <c r="T419" s="4"/>
      <c r="U419" s="4"/>
      <c r="V419" s="4"/>
      <c r="W419" s="4"/>
    </row>
    <row r="420">
      <c r="A420" s="5">
        <f t="shared" si="11"/>
        <v>415</v>
      </c>
      <c r="B420" s="68"/>
      <c r="C420" s="7"/>
      <c r="D420" s="7"/>
      <c r="E420" s="7"/>
      <c r="F420" s="7"/>
      <c r="G420" s="7"/>
      <c r="H420" s="7"/>
      <c r="I420" s="7"/>
      <c r="J420" s="7"/>
      <c r="K420" s="7"/>
      <c r="L420" s="4"/>
      <c r="M420" s="4"/>
      <c r="N420" s="4"/>
      <c r="O420" s="4"/>
      <c r="P420" s="4"/>
      <c r="Q420" s="4"/>
      <c r="R420" s="4"/>
      <c r="S420" s="4"/>
      <c r="T420" s="4"/>
      <c r="U420" s="4"/>
      <c r="V420" s="4"/>
      <c r="W420" s="4"/>
    </row>
    <row r="421">
      <c r="A421" s="5">
        <f t="shared" si="11"/>
        <v>416</v>
      </c>
      <c r="B421" s="68"/>
      <c r="C421" s="7"/>
      <c r="D421" s="7"/>
      <c r="E421" s="7"/>
      <c r="F421" s="7"/>
      <c r="G421" s="7"/>
      <c r="H421" s="7"/>
      <c r="I421" s="7"/>
      <c r="J421" s="7"/>
      <c r="K421" s="7"/>
      <c r="L421" s="4"/>
      <c r="M421" s="4"/>
      <c r="N421" s="4"/>
      <c r="O421" s="4"/>
      <c r="P421" s="4"/>
      <c r="Q421" s="4"/>
      <c r="R421" s="4"/>
      <c r="S421" s="4"/>
      <c r="T421" s="4"/>
      <c r="U421" s="4"/>
      <c r="V421" s="4"/>
      <c r="W421" s="4"/>
    </row>
    <row r="422">
      <c r="A422" s="5">
        <f t="shared" si="11"/>
        <v>417</v>
      </c>
      <c r="B422" s="68"/>
      <c r="C422" s="7"/>
      <c r="D422" s="7"/>
      <c r="E422" s="7"/>
      <c r="F422" s="7"/>
      <c r="G422" s="7"/>
      <c r="H422" s="7"/>
      <c r="I422" s="7"/>
      <c r="J422" s="7"/>
      <c r="K422" s="7"/>
      <c r="L422" s="4"/>
      <c r="M422" s="4"/>
      <c r="N422" s="4"/>
      <c r="O422" s="4"/>
      <c r="P422" s="4"/>
      <c r="Q422" s="4"/>
      <c r="R422" s="4"/>
      <c r="S422" s="4"/>
      <c r="T422" s="4"/>
      <c r="U422" s="4"/>
      <c r="V422" s="4"/>
      <c r="W422" s="4"/>
    </row>
    <row r="423">
      <c r="A423" s="5">
        <f t="shared" si="11"/>
        <v>418</v>
      </c>
      <c r="B423" s="68"/>
      <c r="C423" s="7"/>
      <c r="D423" s="7"/>
      <c r="E423" s="7"/>
      <c r="F423" s="7"/>
      <c r="G423" s="7"/>
      <c r="H423" s="7"/>
      <c r="I423" s="7"/>
      <c r="J423" s="7"/>
      <c r="K423" s="7"/>
      <c r="L423" s="4"/>
      <c r="M423" s="4"/>
      <c r="N423" s="4"/>
      <c r="O423" s="4"/>
      <c r="P423" s="4"/>
      <c r="Q423" s="4"/>
      <c r="R423" s="4"/>
      <c r="S423" s="4"/>
      <c r="T423" s="4"/>
      <c r="U423" s="4"/>
      <c r="V423" s="4"/>
      <c r="W423" s="4"/>
    </row>
    <row r="424">
      <c r="A424" s="5">
        <f t="shared" si="11"/>
        <v>419</v>
      </c>
      <c r="B424" s="68"/>
      <c r="C424" s="7"/>
      <c r="D424" s="7"/>
      <c r="E424" s="7"/>
      <c r="F424" s="7"/>
      <c r="G424" s="7"/>
      <c r="H424" s="7"/>
      <c r="I424" s="7"/>
      <c r="J424" s="7"/>
      <c r="K424" s="7"/>
      <c r="L424" s="4"/>
      <c r="M424" s="4"/>
      <c r="N424" s="4"/>
      <c r="O424" s="4"/>
      <c r="P424" s="4"/>
      <c r="Q424" s="4"/>
      <c r="R424" s="4"/>
      <c r="S424" s="4"/>
      <c r="T424" s="4"/>
      <c r="U424" s="4"/>
      <c r="V424" s="4"/>
      <c r="W424" s="4"/>
    </row>
    <row r="425">
      <c r="A425" s="5">
        <f t="shared" si="11"/>
        <v>420</v>
      </c>
      <c r="B425" s="68"/>
      <c r="C425" s="7"/>
      <c r="D425" s="7"/>
      <c r="E425" s="7"/>
      <c r="F425" s="7"/>
      <c r="G425" s="7"/>
      <c r="H425" s="7"/>
      <c r="I425" s="7"/>
      <c r="J425" s="7"/>
      <c r="K425" s="7"/>
      <c r="L425" s="4"/>
      <c r="M425" s="4"/>
      <c r="N425" s="4"/>
      <c r="O425" s="4"/>
      <c r="P425" s="4"/>
      <c r="Q425" s="4"/>
      <c r="R425" s="4"/>
      <c r="S425" s="4"/>
      <c r="T425" s="4"/>
      <c r="U425" s="4"/>
      <c r="V425" s="4"/>
      <c r="W425" s="4"/>
    </row>
    <row r="426">
      <c r="A426" s="5">
        <f t="shared" si="11"/>
        <v>421</v>
      </c>
      <c r="B426" s="68"/>
      <c r="C426" s="7"/>
      <c r="D426" s="7"/>
      <c r="E426" s="7"/>
      <c r="F426" s="7"/>
      <c r="G426" s="7"/>
      <c r="H426" s="7"/>
      <c r="I426" s="7"/>
      <c r="J426" s="7"/>
      <c r="K426" s="7"/>
      <c r="L426" s="4"/>
      <c r="M426" s="4"/>
      <c r="N426" s="4"/>
      <c r="O426" s="4"/>
      <c r="P426" s="4"/>
      <c r="Q426" s="4"/>
      <c r="R426" s="4"/>
      <c r="S426" s="4"/>
      <c r="T426" s="4"/>
      <c r="U426" s="4"/>
      <c r="V426" s="4"/>
      <c r="W426" s="4"/>
    </row>
    <row r="427">
      <c r="A427" s="5">
        <f t="shared" si="11"/>
        <v>422</v>
      </c>
      <c r="B427" s="68"/>
      <c r="C427" s="7"/>
      <c r="D427" s="7"/>
      <c r="E427" s="7"/>
      <c r="F427" s="7"/>
      <c r="G427" s="7"/>
      <c r="H427" s="7"/>
      <c r="I427" s="7"/>
      <c r="J427" s="7"/>
      <c r="K427" s="7"/>
      <c r="L427" s="4"/>
      <c r="M427" s="4"/>
      <c r="N427" s="4"/>
      <c r="O427" s="4"/>
      <c r="P427" s="4"/>
      <c r="Q427" s="4"/>
      <c r="R427" s="4"/>
      <c r="S427" s="4"/>
      <c r="T427" s="4"/>
      <c r="U427" s="4"/>
      <c r="V427" s="4"/>
      <c r="W427" s="4"/>
    </row>
    <row r="428">
      <c r="A428" s="5">
        <f t="shared" si="11"/>
        <v>423</v>
      </c>
      <c r="B428" s="68"/>
      <c r="C428" s="7"/>
      <c r="D428" s="7"/>
      <c r="E428" s="7"/>
      <c r="F428" s="7"/>
      <c r="G428" s="7"/>
      <c r="H428" s="7"/>
      <c r="I428" s="7"/>
      <c r="J428" s="7"/>
      <c r="K428" s="7"/>
      <c r="L428" s="4"/>
      <c r="M428" s="4"/>
      <c r="N428" s="4"/>
      <c r="O428" s="4"/>
      <c r="P428" s="4"/>
      <c r="Q428" s="4"/>
      <c r="R428" s="4"/>
      <c r="S428" s="4"/>
      <c r="T428" s="4"/>
      <c r="U428" s="4"/>
      <c r="V428" s="4"/>
      <c r="W428" s="4"/>
    </row>
    <row r="429">
      <c r="A429" s="5">
        <f t="shared" si="11"/>
        <v>424</v>
      </c>
      <c r="B429" s="68"/>
      <c r="C429" s="7"/>
      <c r="D429" s="7"/>
      <c r="E429" s="7"/>
      <c r="F429" s="7"/>
      <c r="G429" s="7"/>
      <c r="H429" s="7"/>
      <c r="I429" s="7"/>
      <c r="J429" s="7"/>
      <c r="K429" s="7"/>
      <c r="L429" s="4"/>
      <c r="M429" s="4"/>
      <c r="N429" s="4"/>
      <c r="O429" s="4"/>
      <c r="P429" s="4"/>
      <c r="Q429" s="4"/>
      <c r="R429" s="4"/>
      <c r="S429" s="4"/>
      <c r="T429" s="4"/>
      <c r="U429" s="4"/>
      <c r="V429" s="4"/>
      <c r="W429" s="4"/>
    </row>
    <row r="430">
      <c r="A430" s="5">
        <f t="shared" si="11"/>
        <v>425</v>
      </c>
      <c r="B430" s="68"/>
      <c r="C430" s="7"/>
      <c r="D430" s="7"/>
      <c r="E430" s="7"/>
      <c r="F430" s="7"/>
      <c r="G430" s="7"/>
      <c r="H430" s="7"/>
      <c r="I430" s="7"/>
      <c r="J430" s="7"/>
      <c r="K430" s="7"/>
      <c r="L430" s="4"/>
      <c r="M430" s="4"/>
      <c r="N430" s="4"/>
      <c r="O430" s="4"/>
      <c r="P430" s="4"/>
      <c r="Q430" s="4"/>
      <c r="R430" s="4"/>
      <c r="S430" s="4"/>
      <c r="T430" s="4"/>
      <c r="U430" s="4"/>
      <c r="V430" s="4"/>
      <c r="W430" s="4"/>
    </row>
    <row r="431">
      <c r="A431" s="5">
        <f t="shared" si="11"/>
        <v>426</v>
      </c>
      <c r="B431" s="68"/>
      <c r="C431" s="7"/>
      <c r="D431" s="7"/>
      <c r="E431" s="7"/>
      <c r="F431" s="7"/>
      <c r="G431" s="7"/>
      <c r="H431" s="7"/>
      <c r="I431" s="7"/>
      <c r="J431" s="7"/>
      <c r="K431" s="7"/>
      <c r="L431" s="4"/>
      <c r="M431" s="4"/>
      <c r="N431" s="4"/>
      <c r="O431" s="4"/>
      <c r="P431" s="4"/>
      <c r="Q431" s="4"/>
      <c r="R431" s="4"/>
      <c r="S431" s="4"/>
      <c r="T431" s="4"/>
      <c r="U431" s="4"/>
      <c r="V431" s="4"/>
      <c r="W431" s="4"/>
    </row>
    <row r="432">
      <c r="A432" s="5">
        <f t="shared" si="11"/>
        <v>427</v>
      </c>
      <c r="B432" s="68"/>
      <c r="C432" s="7"/>
      <c r="D432" s="7"/>
      <c r="E432" s="7"/>
      <c r="F432" s="7"/>
      <c r="G432" s="7"/>
      <c r="H432" s="7"/>
      <c r="I432" s="7"/>
      <c r="J432" s="7"/>
      <c r="K432" s="7"/>
      <c r="L432" s="4"/>
      <c r="M432" s="4"/>
      <c r="N432" s="4"/>
      <c r="O432" s="4"/>
      <c r="P432" s="4"/>
      <c r="Q432" s="4"/>
      <c r="R432" s="4"/>
      <c r="S432" s="4"/>
      <c r="T432" s="4"/>
      <c r="U432" s="4"/>
      <c r="V432" s="4"/>
      <c r="W432" s="4"/>
    </row>
    <row r="433">
      <c r="A433" s="5">
        <f t="shared" si="11"/>
        <v>428</v>
      </c>
      <c r="B433" s="68"/>
      <c r="C433" s="7"/>
      <c r="D433" s="7"/>
      <c r="E433" s="7"/>
      <c r="F433" s="7"/>
      <c r="G433" s="7"/>
      <c r="H433" s="7"/>
      <c r="I433" s="7"/>
      <c r="J433" s="7"/>
      <c r="K433" s="7"/>
      <c r="L433" s="4"/>
      <c r="M433" s="4"/>
      <c r="N433" s="4"/>
      <c r="O433" s="4"/>
      <c r="P433" s="4"/>
      <c r="Q433" s="4"/>
      <c r="R433" s="4"/>
      <c r="S433" s="4"/>
      <c r="T433" s="4"/>
      <c r="U433" s="4"/>
      <c r="V433" s="4"/>
      <c r="W433" s="4"/>
    </row>
    <row r="434">
      <c r="A434" s="5">
        <f t="shared" si="11"/>
        <v>429</v>
      </c>
      <c r="B434" s="68"/>
      <c r="C434" s="7"/>
      <c r="D434" s="7"/>
      <c r="E434" s="7"/>
      <c r="F434" s="7"/>
      <c r="G434" s="7"/>
      <c r="H434" s="7"/>
      <c r="I434" s="7"/>
      <c r="J434" s="7"/>
      <c r="K434" s="7"/>
      <c r="L434" s="4"/>
      <c r="M434" s="4"/>
      <c r="N434" s="4"/>
      <c r="O434" s="4"/>
      <c r="P434" s="4"/>
      <c r="Q434" s="4"/>
      <c r="R434" s="4"/>
      <c r="S434" s="4"/>
      <c r="T434" s="4"/>
      <c r="U434" s="4"/>
      <c r="V434" s="4"/>
      <c r="W434" s="4"/>
    </row>
    <row r="435">
      <c r="A435" s="5">
        <f t="shared" si="11"/>
        <v>430</v>
      </c>
      <c r="B435" s="68"/>
      <c r="C435" s="7"/>
      <c r="D435" s="7"/>
      <c r="E435" s="7"/>
      <c r="F435" s="7"/>
      <c r="G435" s="7"/>
      <c r="H435" s="7"/>
      <c r="I435" s="7"/>
      <c r="J435" s="7"/>
      <c r="K435" s="7"/>
      <c r="L435" s="4"/>
      <c r="M435" s="4"/>
      <c r="N435" s="4"/>
      <c r="O435" s="4"/>
      <c r="P435" s="4"/>
      <c r="Q435" s="4"/>
      <c r="R435" s="4"/>
      <c r="S435" s="4"/>
      <c r="T435" s="4"/>
      <c r="U435" s="4"/>
      <c r="V435" s="4"/>
      <c r="W435" s="4"/>
    </row>
    <row r="436">
      <c r="A436" s="5">
        <f t="shared" si="11"/>
        <v>431</v>
      </c>
      <c r="B436" s="68"/>
      <c r="C436" s="7"/>
      <c r="D436" s="7"/>
      <c r="E436" s="7"/>
      <c r="F436" s="7"/>
      <c r="G436" s="7"/>
      <c r="H436" s="7"/>
      <c r="I436" s="7"/>
      <c r="J436" s="7"/>
      <c r="K436" s="7"/>
      <c r="L436" s="4"/>
      <c r="M436" s="4"/>
      <c r="N436" s="4"/>
      <c r="O436" s="4"/>
      <c r="P436" s="4"/>
      <c r="Q436" s="4"/>
      <c r="R436" s="4"/>
      <c r="S436" s="4"/>
      <c r="T436" s="4"/>
      <c r="U436" s="4"/>
      <c r="V436" s="4"/>
      <c r="W436" s="4"/>
    </row>
    <row r="437">
      <c r="A437" s="5">
        <f t="shared" si="11"/>
        <v>432</v>
      </c>
      <c r="B437" s="68"/>
      <c r="C437" s="7"/>
      <c r="D437" s="7"/>
      <c r="E437" s="7"/>
      <c r="F437" s="7"/>
      <c r="G437" s="7"/>
      <c r="H437" s="7"/>
      <c r="I437" s="7"/>
      <c r="J437" s="7"/>
      <c r="K437" s="7"/>
      <c r="L437" s="4"/>
      <c r="M437" s="4"/>
      <c r="N437" s="4"/>
      <c r="O437" s="4"/>
      <c r="P437" s="4"/>
      <c r="Q437" s="4"/>
      <c r="R437" s="4"/>
      <c r="S437" s="4"/>
      <c r="T437" s="4"/>
      <c r="U437" s="4"/>
      <c r="V437" s="4"/>
      <c r="W437" s="4"/>
    </row>
    <row r="438">
      <c r="A438" s="5">
        <f t="shared" si="11"/>
        <v>433</v>
      </c>
      <c r="B438" s="68"/>
      <c r="C438" s="7"/>
      <c r="D438" s="7"/>
      <c r="E438" s="7"/>
      <c r="F438" s="7"/>
      <c r="G438" s="7"/>
      <c r="H438" s="7"/>
      <c r="I438" s="7"/>
      <c r="J438" s="7"/>
      <c r="K438" s="7"/>
      <c r="L438" s="4"/>
      <c r="M438" s="4"/>
      <c r="N438" s="4"/>
      <c r="O438" s="4"/>
      <c r="P438" s="4"/>
      <c r="Q438" s="4"/>
      <c r="R438" s="4"/>
      <c r="S438" s="4"/>
      <c r="T438" s="4"/>
      <c r="U438" s="4"/>
      <c r="V438" s="4"/>
      <c r="W438" s="4"/>
    </row>
    <row r="439">
      <c r="A439" s="5">
        <f t="shared" si="11"/>
        <v>434</v>
      </c>
      <c r="B439" s="68"/>
      <c r="C439" s="7"/>
      <c r="D439" s="7"/>
      <c r="E439" s="7"/>
      <c r="F439" s="7"/>
      <c r="G439" s="7"/>
      <c r="H439" s="7"/>
      <c r="I439" s="7"/>
      <c r="J439" s="7"/>
      <c r="K439" s="7"/>
      <c r="L439" s="4"/>
      <c r="M439" s="4"/>
      <c r="N439" s="4"/>
      <c r="O439" s="4"/>
      <c r="P439" s="4"/>
      <c r="Q439" s="4"/>
      <c r="R439" s="4"/>
      <c r="S439" s="4"/>
      <c r="T439" s="4"/>
      <c r="U439" s="4"/>
      <c r="V439" s="4"/>
      <c r="W439" s="4"/>
    </row>
    <row r="440">
      <c r="A440" s="5">
        <f t="shared" si="11"/>
        <v>435</v>
      </c>
      <c r="B440" s="68"/>
      <c r="C440" s="7"/>
      <c r="D440" s="7"/>
      <c r="E440" s="7"/>
      <c r="F440" s="7"/>
      <c r="G440" s="7"/>
      <c r="H440" s="7"/>
      <c r="I440" s="7"/>
      <c r="J440" s="7"/>
      <c r="K440" s="7"/>
      <c r="L440" s="4"/>
      <c r="M440" s="4"/>
      <c r="N440" s="4"/>
      <c r="O440" s="4"/>
      <c r="P440" s="4"/>
      <c r="Q440" s="4"/>
      <c r="R440" s="4"/>
      <c r="S440" s="4"/>
      <c r="T440" s="4"/>
      <c r="U440" s="4"/>
      <c r="V440" s="4"/>
      <c r="W440" s="4"/>
    </row>
    <row r="441">
      <c r="A441" s="5">
        <f t="shared" si="11"/>
        <v>436</v>
      </c>
      <c r="B441" s="68"/>
      <c r="C441" s="7"/>
      <c r="D441" s="7"/>
      <c r="E441" s="7"/>
      <c r="F441" s="7"/>
      <c r="G441" s="7"/>
      <c r="H441" s="7"/>
      <c r="I441" s="7"/>
      <c r="J441" s="7"/>
      <c r="K441" s="7"/>
      <c r="L441" s="4"/>
      <c r="M441" s="4"/>
      <c r="N441" s="4"/>
      <c r="O441" s="4"/>
      <c r="P441" s="4"/>
      <c r="Q441" s="4"/>
      <c r="R441" s="4"/>
      <c r="S441" s="4"/>
      <c r="T441" s="4"/>
      <c r="U441" s="4"/>
      <c r="V441" s="4"/>
      <c r="W441" s="4"/>
    </row>
    <row r="442">
      <c r="A442" s="5">
        <f t="shared" si="11"/>
        <v>437</v>
      </c>
      <c r="B442" s="68"/>
      <c r="C442" s="7"/>
      <c r="D442" s="7"/>
      <c r="E442" s="7"/>
      <c r="F442" s="7"/>
      <c r="G442" s="7"/>
      <c r="H442" s="7"/>
      <c r="I442" s="7"/>
      <c r="J442" s="7"/>
      <c r="K442" s="7"/>
      <c r="L442" s="4"/>
      <c r="M442" s="4"/>
      <c r="N442" s="4"/>
      <c r="O442" s="4"/>
      <c r="P442" s="4"/>
      <c r="Q442" s="4"/>
      <c r="R442" s="4"/>
      <c r="S442" s="4"/>
      <c r="T442" s="4"/>
      <c r="U442" s="4"/>
      <c r="V442" s="4"/>
      <c r="W442" s="4"/>
    </row>
    <row r="443">
      <c r="A443" s="5">
        <f t="shared" si="11"/>
        <v>438</v>
      </c>
      <c r="B443" s="68"/>
      <c r="C443" s="7"/>
      <c r="D443" s="7"/>
      <c r="E443" s="7"/>
      <c r="F443" s="7"/>
      <c r="G443" s="7"/>
      <c r="H443" s="7"/>
      <c r="I443" s="7"/>
      <c r="J443" s="7"/>
      <c r="K443" s="7"/>
      <c r="L443" s="4"/>
      <c r="M443" s="4"/>
      <c r="N443" s="4"/>
      <c r="O443" s="4"/>
      <c r="P443" s="4"/>
      <c r="Q443" s="4"/>
      <c r="R443" s="4"/>
      <c r="S443" s="4"/>
      <c r="T443" s="4"/>
      <c r="U443" s="4"/>
      <c r="V443" s="4"/>
      <c r="W443" s="4"/>
    </row>
    <row r="444">
      <c r="A444" s="5">
        <f t="shared" si="11"/>
        <v>439</v>
      </c>
      <c r="B444" s="68"/>
      <c r="C444" s="7"/>
      <c r="D444" s="7"/>
      <c r="E444" s="7"/>
      <c r="F444" s="7"/>
      <c r="G444" s="7"/>
      <c r="H444" s="7"/>
      <c r="I444" s="7"/>
      <c r="J444" s="7"/>
      <c r="K444" s="7"/>
      <c r="L444" s="4"/>
      <c r="M444" s="4"/>
      <c r="N444" s="4"/>
      <c r="O444" s="4"/>
      <c r="P444" s="4"/>
      <c r="Q444" s="4"/>
      <c r="R444" s="4"/>
      <c r="S444" s="4"/>
      <c r="T444" s="4"/>
      <c r="U444" s="4"/>
      <c r="V444" s="4"/>
      <c r="W444" s="4"/>
    </row>
    <row r="445">
      <c r="A445" s="5">
        <f t="shared" si="11"/>
        <v>440</v>
      </c>
      <c r="B445" s="68"/>
      <c r="C445" s="7"/>
      <c r="D445" s="7"/>
      <c r="E445" s="7"/>
      <c r="F445" s="7"/>
      <c r="G445" s="7"/>
      <c r="H445" s="7"/>
      <c r="I445" s="7"/>
      <c r="J445" s="7"/>
      <c r="K445" s="7"/>
      <c r="L445" s="4"/>
      <c r="M445" s="4"/>
      <c r="N445" s="4"/>
      <c r="O445" s="4"/>
      <c r="P445" s="4"/>
      <c r="Q445" s="4"/>
      <c r="R445" s="4"/>
      <c r="S445" s="4"/>
      <c r="T445" s="4"/>
      <c r="U445" s="4"/>
      <c r="V445" s="4"/>
      <c r="W445" s="4"/>
    </row>
    <row r="446">
      <c r="A446" s="5">
        <f t="shared" si="11"/>
        <v>441</v>
      </c>
      <c r="B446" s="68"/>
      <c r="C446" s="7"/>
      <c r="D446" s="7"/>
      <c r="E446" s="7"/>
      <c r="F446" s="7"/>
      <c r="G446" s="7"/>
      <c r="H446" s="7"/>
      <c r="I446" s="7"/>
      <c r="J446" s="7"/>
      <c r="K446" s="7"/>
      <c r="L446" s="4"/>
      <c r="M446" s="4"/>
      <c r="N446" s="4"/>
      <c r="O446" s="4"/>
      <c r="P446" s="4"/>
      <c r="Q446" s="4"/>
      <c r="R446" s="4"/>
      <c r="S446" s="4"/>
      <c r="T446" s="4"/>
      <c r="U446" s="4"/>
      <c r="V446" s="4"/>
      <c r="W446" s="4"/>
    </row>
    <row r="447">
      <c r="A447" s="5">
        <f t="shared" si="11"/>
        <v>442</v>
      </c>
      <c r="B447" s="68"/>
      <c r="C447" s="7"/>
      <c r="D447" s="7"/>
      <c r="E447" s="7"/>
      <c r="F447" s="7"/>
      <c r="G447" s="7"/>
      <c r="H447" s="7"/>
      <c r="I447" s="7"/>
      <c r="J447" s="7"/>
      <c r="K447" s="7"/>
      <c r="L447" s="4"/>
      <c r="M447" s="4"/>
      <c r="N447" s="4"/>
      <c r="O447" s="4"/>
      <c r="P447" s="4"/>
      <c r="Q447" s="4"/>
      <c r="R447" s="4"/>
      <c r="S447" s="4"/>
      <c r="T447" s="4"/>
      <c r="U447" s="4"/>
      <c r="V447" s="4"/>
      <c r="W447" s="4"/>
    </row>
    <row r="448">
      <c r="A448" s="5">
        <f t="shared" si="11"/>
        <v>443</v>
      </c>
      <c r="B448" s="68"/>
      <c r="C448" s="7"/>
      <c r="D448" s="7"/>
      <c r="E448" s="7"/>
      <c r="F448" s="7"/>
      <c r="G448" s="7"/>
      <c r="H448" s="7"/>
      <c r="I448" s="7"/>
      <c r="J448" s="7"/>
      <c r="K448" s="7"/>
      <c r="L448" s="4"/>
      <c r="M448" s="4"/>
      <c r="N448" s="4"/>
      <c r="O448" s="4"/>
      <c r="P448" s="4"/>
      <c r="Q448" s="4"/>
      <c r="R448" s="4"/>
      <c r="S448" s="4"/>
      <c r="T448" s="4"/>
      <c r="U448" s="4"/>
      <c r="V448" s="4"/>
      <c r="W448" s="4"/>
    </row>
    <row r="449">
      <c r="A449" s="5">
        <f t="shared" si="11"/>
        <v>444</v>
      </c>
      <c r="B449" s="68"/>
      <c r="C449" s="7"/>
      <c r="D449" s="7"/>
      <c r="E449" s="7"/>
      <c r="F449" s="7"/>
      <c r="G449" s="7"/>
      <c r="H449" s="7"/>
      <c r="I449" s="7"/>
      <c r="J449" s="7"/>
      <c r="K449" s="7"/>
      <c r="L449" s="4"/>
      <c r="M449" s="4"/>
      <c r="N449" s="4"/>
      <c r="O449" s="4"/>
      <c r="P449" s="4"/>
      <c r="Q449" s="4"/>
      <c r="R449" s="4"/>
      <c r="S449" s="4"/>
      <c r="T449" s="4"/>
      <c r="U449" s="4"/>
      <c r="V449" s="4"/>
      <c r="W449" s="4"/>
    </row>
    <row r="450">
      <c r="A450" s="5">
        <f t="shared" si="11"/>
        <v>445</v>
      </c>
      <c r="B450" s="68"/>
      <c r="C450" s="7"/>
      <c r="D450" s="7"/>
      <c r="E450" s="7"/>
      <c r="F450" s="7"/>
      <c r="G450" s="7"/>
      <c r="H450" s="7"/>
      <c r="I450" s="7"/>
      <c r="J450" s="7"/>
      <c r="K450" s="7"/>
      <c r="L450" s="4"/>
      <c r="M450" s="4"/>
      <c r="N450" s="4"/>
      <c r="O450" s="4"/>
      <c r="P450" s="4"/>
      <c r="Q450" s="4"/>
      <c r="R450" s="4"/>
      <c r="S450" s="4"/>
      <c r="T450" s="4"/>
      <c r="U450" s="4"/>
      <c r="V450" s="4"/>
      <c r="W450" s="4"/>
    </row>
    <row r="451">
      <c r="A451" s="5">
        <f t="shared" si="11"/>
        <v>446</v>
      </c>
      <c r="B451" s="68"/>
      <c r="C451" s="7"/>
      <c r="D451" s="7"/>
      <c r="E451" s="7"/>
      <c r="F451" s="7"/>
      <c r="G451" s="7"/>
      <c r="H451" s="7"/>
      <c r="I451" s="7"/>
      <c r="J451" s="7"/>
      <c r="K451" s="7"/>
      <c r="L451" s="4"/>
      <c r="M451" s="4"/>
      <c r="N451" s="4"/>
      <c r="O451" s="4"/>
      <c r="P451" s="4"/>
      <c r="Q451" s="4"/>
      <c r="R451" s="4"/>
      <c r="S451" s="4"/>
      <c r="T451" s="4"/>
      <c r="U451" s="4"/>
      <c r="V451" s="4"/>
      <c r="W451" s="4"/>
    </row>
    <row r="452">
      <c r="A452" s="5">
        <f t="shared" si="11"/>
        <v>447</v>
      </c>
      <c r="B452" s="68"/>
      <c r="C452" s="7"/>
      <c r="D452" s="7"/>
      <c r="E452" s="7"/>
      <c r="F452" s="7"/>
      <c r="G452" s="7"/>
      <c r="H452" s="7"/>
      <c r="I452" s="7"/>
      <c r="J452" s="7"/>
      <c r="K452" s="7"/>
      <c r="L452" s="4"/>
      <c r="M452" s="4"/>
      <c r="N452" s="4"/>
      <c r="O452" s="4"/>
      <c r="P452" s="4"/>
      <c r="Q452" s="4"/>
      <c r="R452" s="4"/>
      <c r="S452" s="4"/>
      <c r="T452" s="4"/>
      <c r="U452" s="4"/>
      <c r="V452" s="4"/>
      <c r="W452" s="4"/>
    </row>
    <row r="453">
      <c r="A453" s="5">
        <f t="shared" si="11"/>
        <v>448</v>
      </c>
      <c r="B453" s="68"/>
      <c r="C453" s="7"/>
      <c r="D453" s="7"/>
      <c r="E453" s="7"/>
      <c r="F453" s="7"/>
      <c r="G453" s="7"/>
      <c r="H453" s="7"/>
      <c r="I453" s="7"/>
      <c r="J453" s="7"/>
      <c r="K453" s="7"/>
      <c r="L453" s="4"/>
      <c r="M453" s="4"/>
      <c r="N453" s="4"/>
      <c r="O453" s="4"/>
      <c r="P453" s="4"/>
      <c r="Q453" s="4"/>
      <c r="R453" s="4"/>
      <c r="S453" s="4"/>
      <c r="T453" s="4"/>
      <c r="U453" s="4"/>
      <c r="V453" s="4"/>
      <c r="W453" s="4"/>
    </row>
    <row r="454">
      <c r="A454" s="5">
        <f t="shared" si="11"/>
        <v>449</v>
      </c>
      <c r="B454" s="68"/>
      <c r="C454" s="7"/>
      <c r="D454" s="7"/>
      <c r="E454" s="7"/>
      <c r="F454" s="7"/>
      <c r="G454" s="7"/>
      <c r="H454" s="7"/>
      <c r="I454" s="7"/>
      <c r="J454" s="7"/>
      <c r="K454" s="7"/>
      <c r="L454" s="4"/>
      <c r="M454" s="4"/>
      <c r="N454" s="4"/>
      <c r="O454" s="4"/>
      <c r="P454" s="4"/>
      <c r="Q454" s="4"/>
      <c r="R454" s="4"/>
      <c r="S454" s="4"/>
      <c r="T454" s="4"/>
      <c r="U454" s="4"/>
      <c r="V454" s="4"/>
      <c r="W454" s="4"/>
    </row>
    <row r="455">
      <c r="A455" s="5">
        <f t="shared" si="11"/>
        <v>450</v>
      </c>
      <c r="B455" s="68"/>
      <c r="C455" s="7"/>
      <c r="D455" s="7"/>
      <c r="E455" s="7"/>
      <c r="F455" s="7"/>
      <c r="G455" s="7"/>
      <c r="H455" s="7"/>
      <c r="I455" s="7"/>
      <c r="J455" s="7"/>
      <c r="K455" s="7"/>
      <c r="L455" s="4"/>
      <c r="M455" s="4"/>
      <c r="N455" s="4"/>
      <c r="O455" s="4"/>
      <c r="P455" s="4"/>
      <c r="Q455" s="4"/>
      <c r="R455" s="4"/>
      <c r="S455" s="4"/>
      <c r="T455" s="4"/>
      <c r="U455" s="4"/>
      <c r="V455" s="4"/>
      <c r="W455" s="4"/>
    </row>
    <row r="456">
      <c r="A456" s="5">
        <f t="shared" si="11"/>
        <v>451</v>
      </c>
      <c r="B456" s="68"/>
      <c r="C456" s="7"/>
      <c r="D456" s="7"/>
      <c r="E456" s="7"/>
      <c r="F456" s="7"/>
      <c r="G456" s="7"/>
      <c r="H456" s="7"/>
      <c r="I456" s="7"/>
      <c r="J456" s="7"/>
      <c r="K456" s="7"/>
      <c r="L456" s="4"/>
      <c r="M456" s="4"/>
      <c r="N456" s="4"/>
      <c r="O456" s="4"/>
      <c r="P456" s="4"/>
      <c r="Q456" s="4"/>
      <c r="R456" s="4"/>
      <c r="S456" s="4"/>
      <c r="T456" s="4"/>
      <c r="U456" s="4"/>
      <c r="V456" s="4"/>
      <c r="W456" s="4"/>
    </row>
    <row r="457">
      <c r="A457" s="5">
        <f t="shared" si="11"/>
        <v>452</v>
      </c>
      <c r="B457" s="68"/>
      <c r="C457" s="7"/>
      <c r="D457" s="7"/>
      <c r="E457" s="7"/>
      <c r="F457" s="7"/>
      <c r="G457" s="7"/>
      <c r="H457" s="7"/>
      <c r="I457" s="7"/>
      <c r="J457" s="7"/>
      <c r="K457" s="7"/>
      <c r="L457" s="4"/>
      <c r="M457" s="4"/>
      <c r="N457" s="4"/>
      <c r="O457" s="4"/>
      <c r="P457" s="4"/>
      <c r="Q457" s="4"/>
      <c r="R457" s="4"/>
      <c r="S457" s="4"/>
      <c r="T457" s="4"/>
      <c r="U457" s="4"/>
      <c r="V457" s="4"/>
      <c r="W457" s="4"/>
    </row>
    <row r="458">
      <c r="A458" s="5">
        <f t="shared" si="11"/>
        <v>453</v>
      </c>
      <c r="B458" s="68"/>
      <c r="C458" s="7"/>
      <c r="D458" s="7"/>
      <c r="E458" s="7"/>
      <c r="F458" s="7"/>
      <c r="G458" s="7"/>
      <c r="H458" s="7"/>
      <c r="I458" s="7"/>
      <c r="J458" s="7"/>
      <c r="K458" s="7"/>
      <c r="L458" s="4"/>
      <c r="M458" s="4"/>
      <c r="N458" s="4"/>
      <c r="O458" s="4"/>
      <c r="P458" s="4"/>
      <c r="Q458" s="4"/>
      <c r="R458" s="4"/>
      <c r="S458" s="4"/>
      <c r="T458" s="4"/>
      <c r="U458" s="4"/>
      <c r="V458" s="4"/>
      <c r="W458" s="4"/>
    </row>
    <row r="459">
      <c r="A459" s="5">
        <f t="shared" si="11"/>
        <v>454</v>
      </c>
      <c r="B459" s="68"/>
      <c r="C459" s="7"/>
      <c r="D459" s="7"/>
      <c r="E459" s="7"/>
      <c r="F459" s="7"/>
      <c r="G459" s="7"/>
      <c r="H459" s="7"/>
      <c r="I459" s="7"/>
      <c r="J459" s="7"/>
      <c r="K459" s="7"/>
      <c r="L459" s="4"/>
      <c r="M459" s="4"/>
      <c r="N459" s="4"/>
      <c r="O459" s="4"/>
      <c r="P459" s="4"/>
      <c r="Q459" s="4"/>
      <c r="R459" s="4"/>
      <c r="S459" s="4"/>
      <c r="T459" s="4"/>
      <c r="U459" s="4"/>
      <c r="V459" s="4"/>
      <c r="W459" s="4"/>
    </row>
    <row r="460">
      <c r="A460" s="5">
        <f t="shared" si="11"/>
        <v>455</v>
      </c>
      <c r="B460" s="68"/>
      <c r="C460" s="7"/>
      <c r="D460" s="7"/>
      <c r="E460" s="7"/>
      <c r="F460" s="7"/>
      <c r="G460" s="7"/>
      <c r="H460" s="7"/>
      <c r="I460" s="7"/>
      <c r="J460" s="7"/>
      <c r="K460" s="7"/>
      <c r="L460" s="4"/>
      <c r="M460" s="4"/>
      <c r="N460" s="4"/>
      <c r="O460" s="4"/>
      <c r="P460" s="4"/>
      <c r="Q460" s="4"/>
      <c r="R460" s="4"/>
      <c r="S460" s="4"/>
      <c r="T460" s="4"/>
      <c r="U460" s="4"/>
      <c r="V460" s="4"/>
      <c r="W460" s="4"/>
    </row>
    <row r="461">
      <c r="A461" s="5">
        <f t="shared" si="11"/>
        <v>456</v>
      </c>
      <c r="B461" s="68"/>
      <c r="C461" s="7"/>
      <c r="D461" s="7"/>
      <c r="E461" s="7"/>
      <c r="F461" s="7"/>
      <c r="G461" s="7"/>
      <c r="H461" s="7"/>
      <c r="I461" s="7"/>
      <c r="J461" s="7"/>
      <c r="K461" s="7"/>
      <c r="L461" s="4"/>
      <c r="M461" s="4"/>
      <c r="N461" s="4"/>
      <c r="O461" s="4"/>
      <c r="P461" s="4"/>
      <c r="Q461" s="4"/>
      <c r="R461" s="4"/>
      <c r="S461" s="4"/>
      <c r="T461" s="4"/>
      <c r="U461" s="4"/>
      <c r="V461" s="4"/>
      <c r="W461" s="4"/>
    </row>
    <row r="462">
      <c r="A462" s="5">
        <f t="shared" si="11"/>
        <v>457</v>
      </c>
      <c r="B462" s="68"/>
      <c r="C462" s="7"/>
      <c r="D462" s="7"/>
      <c r="E462" s="7"/>
      <c r="F462" s="7"/>
      <c r="G462" s="7"/>
      <c r="H462" s="7"/>
      <c r="I462" s="7"/>
      <c r="J462" s="7"/>
      <c r="K462" s="7"/>
      <c r="L462" s="4"/>
      <c r="M462" s="4"/>
      <c r="N462" s="4"/>
      <c r="O462" s="4"/>
      <c r="P462" s="4"/>
      <c r="Q462" s="4"/>
      <c r="R462" s="4"/>
      <c r="S462" s="4"/>
      <c r="T462" s="4"/>
      <c r="U462" s="4"/>
      <c r="V462" s="4"/>
      <c r="W462" s="4"/>
    </row>
    <row r="463">
      <c r="A463" s="5">
        <f t="shared" si="11"/>
        <v>458</v>
      </c>
      <c r="B463" s="68"/>
      <c r="C463" s="7"/>
      <c r="D463" s="7"/>
      <c r="E463" s="7"/>
      <c r="F463" s="7"/>
      <c r="G463" s="7"/>
      <c r="H463" s="7"/>
      <c r="I463" s="7"/>
      <c r="J463" s="7"/>
      <c r="K463" s="7"/>
      <c r="L463" s="4"/>
      <c r="M463" s="4"/>
      <c r="N463" s="4"/>
      <c r="O463" s="4"/>
      <c r="P463" s="4"/>
      <c r="Q463" s="4"/>
      <c r="R463" s="4"/>
      <c r="S463" s="4"/>
      <c r="T463" s="4"/>
      <c r="U463" s="4"/>
      <c r="V463" s="4"/>
      <c r="W463" s="4"/>
    </row>
    <row r="464">
      <c r="A464" s="5">
        <f t="shared" si="11"/>
        <v>459</v>
      </c>
      <c r="B464" s="68"/>
      <c r="C464" s="7"/>
      <c r="D464" s="7"/>
      <c r="E464" s="7"/>
      <c r="F464" s="7"/>
      <c r="G464" s="7"/>
      <c r="H464" s="7"/>
      <c r="I464" s="7"/>
      <c r="J464" s="7"/>
      <c r="K464" s="7"/>
      <c r="L464" s="4"/>
      <c r="M464" s="4"/>
      <c r="N464" s="4"/>
      <c r="O464" s="4"/>
      <c r="P464" s="4"/>
      <c r="Q464" s="4"/>
      <c r="R464" s="4"/>
      <c r="S464" s="4"/>
      <c r="T464" s="4"/>
      <c r="U464" s="4"/>
      <c r="V464" s="4"/>
      <c r="W464" s="4"/>
    </row>
    <row r="465">
      <c r="A465" s="5">
        <f t="shared" si="11"/>
        <v>460</v>
      </c>
      <c r="B465" s="68"/>
      <c r="C465" s="7"/>
      <c r="D465" s="7"/>
      <c r="E465" s="7"/>
      <c r="F465" s="7"/>
      <c r="G465" s="7"/>
      <c r="H465" s="7"/>
      <c r="I465" s="7"/>
      <c r="J465" s="7"/>
      <c r="K465" s="7"/>
      <c r="L465" s="4"/>
      <c r="M465" s="4"/>
      <c r="N465" s="4"/>
      <c r="O465" s="4"/>
      <c r="P465" s="4"/>
      <c r="Q465" s="4"/>
      <c r="R465" s="4"/>
      <c r="S465" s="4"/>
      <c r="T465" s="4"/>
      <c r="U465" s="4"/>
      <c r="V465" s="4"/>
      <c r="W465" s="4"/>
    </row>
    <row r="466">
      <c r="A466" s="5">
        <f t="shared" si="11"/>
        <v>461</v>
      </c>
      <c r="B466" s="68"/>
      <c r="C466" s="7"/>
      <c r="D466" s="7"/>
      <c r="E466" s="7"/>
      <c r="F466" s="7"/>
      <c r="G466" s="7"/>
      <c r="H466" s="7"/>
      <c r="I466" s="7"/>
      <c r="J466" s="7"/>
      <c r="K466" s="7"/>
      <c r="L466" s="4"/>
      <c r="M466" s="4"/>
      <c r="N466" s="4"/>
      <c r="O466" s="4"/>
      <c r="P466" s="4"/>
      <c r="Q466" s="4"/>
      <c r="R466" s="4"/>
      <c r="S466" s="4"/>
      <c r="T466" s="4"/>
      <c r="U466" s="4"/>
      <c r="V466" s="4"/>
      <c r="W466" s="4"/>
    </row>
    <row r="467">
      <c r="A467" s="5">
        <f t="shared" si="11"/>
        <v>462</v>
      </c>
      <c r="B467" s="68"/>
      <c r="C467" s="7"/>
      <c r="D467" s="7"/>
      <c r="E467" s="7"/>
      <c r="F467" s="7"/>
      <c r="G467" s="7"/>
      <c r="H467" s="7"/>
      <c r="I467" s="7"/>
      <c r="J467" s="7"/>
      <c r="K467" s="7"/>
      <c r="L467" s="4"/>
      <c r="M467" s="4"/>
      <c r="N467" s="4"/>
      <c r="O467" s="4"/>
      <c r="P467" s="4"/>
      <c r="Q467" s="4"/>
      <c r="R467" s="4"/>
      <c r="S467" s="4"/>
      <c r="T467" s="4"/>
      <c r="U467" s="4"/>
      <c r="V467" s="4"/>
      <c r="W467" s="4"/>
    </row>
    <row r="468">
      <c r="A468" s="5">
        <f t="shared" si="11"/>
        <v>463</v>
      </c>
      <c r="B468" s="68"/>
      <c r="C468" s="7"/>
      <c r="D468" s="7"/>
      <c r="E468" s="7"/>
      <c r="F468" s="7"/>
      <c r="G468" s="7"/>
      <c r="H468" s="7"/>
      <c r="I468" s="7"/>
      <c r="J468" s="7"/>
      <c r="K468" s="7"/>
      <c r="L468" s="4"/>
      <c r="M468" s="4"/>
      <c r="N468" s="4"/>
      <c r="O468" s="4"/>
      <c r="P468" s="4"/>
      <c r="Q468" s="4"/>
      <c r="R468" s="4"/>
      <c r="S468" s="4"/>
      <c r="T468" s="4"/>
      <c r="U468" s="4"/>
      <c r="V468" s="4"/>
      <c r="W468" s="4"/>
    </row>
    <row r="469">
      <c r="A469" s="5">
        <f t="shared" si="11"/>
        <v>464</v>
      </c>
      <c r="B469" s="68"/>
      <c r="C469" s="7"/>
      <c r="D469" s="7"/>
      <c r="E469" s="7"/>
      <c r="F469" s="7"/>
      <c r="G469" s="7"/>
      <c r="H469" s="7"/>
      <c r="I469" s="7"/>
      <c r="J469" s="7"/>
      <c r="K469" s="7"/>
      <c r="L469" s="4"/>
      <c r="M469" s="4"/>
      <c r="N469" s="4"/>
      <c r="O469" s="4"/>
      <c r="P469" s="4"/>
      <c r="Q469" s="4"/>
      <c r="R469" s="4"/>
      <c r="S469" s="4"/>
      <c r="T469" s="4"/>
      <c r="U469" s="4"/>
      <c r="V469" s="4"/>
      <c r="W469" s="4"/>
    </row>
    <row r="470">
      <c r="A470" s="5">
        <f t="shared" si="11"/>
        <v>465</v>
      </c>
      <c r="B470" s="68"/>
      <c r="C470" s="7"/>
      <c r="D470" s="7"/>
      <c r="E470" s="7"/>
      <c r="F470" s="7"/>
      <c r="G470" s="7"/>
      <c r="H470" s="7"/>
      <c r="I470" s="7"/>
      <c r="J470" s="7"/>
      <c r="K470" s="7"/>
      <c r="L470" s="4"/>
      <c r="M470" s="4"/>
      <c r="N470" s="4"/>
      <c r="O470" s="4"/>
      <c r="P470" s="4"/>
      <c r="Q470" s="4"/>
      <c r="R470" s="4"/>
      <c r="S470" s="4"/>
      <c r="T470" s="4"/>
      <c r="U470" s="4"/>
      <c r="V470" s="4"/>
      <c r="W470" s="4"/>
    </row>
    <row r="471">
      <c r="A471" s="5">
        <f t="shared" si="11"/>
        <v>466</v>
      </c>
      <c r="B471" s="68"/>
      <c r="C471" s="7"/>
      <c r="D471" s="7"/>
      <c r="E471" s="7"/>
      <c r="F471" s="7"/>
      <c r="G471" s="7"/>
      <c r="H471" s="7"/>
      <c r="I471" s="7"/>
      <c r="J471" s="7"/>
      <c r="K471" s="7"/>
      <c r="L471" s="4"/>
      <c r="M471" s="4"/>
      <c r="N471" s="4"/>
      <c r="O471" s="4"/>
      <c r="P471" s="4"/>
      <c r="Q471" s="4"/>
      <c r="R471" s="4"/>
      <c r="S471" s="4"/>
      <c r="T471" s="4"/>
      <c r="U471" s="4"/>
      <c r="V471" s="4"/>
      <c r="W471" s="4"/>
    </row>
    <row r="472">
      <c r="A472" s="5">
        <f t="shared" si="11"/>
        <v>467</v>
      </c>
      <c r="B472" s="68"/>
      <c r="C472" s="7"/>
      <c r="D472" s="7"/>
      <c r="E472" s="7"/>
      <c r="F472" s="7"/>
      <c r="G472" s="7"/>
      <c r="H472" s="7"/>
      <c r="I472" s="7"/>
      <c r="J472" s="7"/>
      <c r="K472" s="7"/>
      <c r="L472" s="4"/>
      <c r="M472" s="4"/>
      <c r="N472" s="4"/>
      <c r="O472" s="4"/>
      <c r="P472" s="4"/>
      <c r="Q472" s="4"/>
      <c r="R472" s="4"/>
      <c r="S472" s="4"/>
      <c r="T472" s="4"/>
      <c r="U472" s="4"/>
      <c r="V472" s="4"/>
      <c r="W472" s="4"/>
    </row>
    <row r="473">
      <c r="A473" s="5">
        <f t="shared" si="11"/>
        <v>468</v>
      </c>
      <c r="B473" s="68"/>
      <c r="C473" s="7"/>
      <c r="D473" s="7"/>
      <c r="E473" s="7"/>
      <c r="F473" s="7"/>
      <c r="G473" s="7"/>
      <c r="H473" s="7"/>
      <c r="I473" s="7"/>
      <c r="J473" s="7"/>
      <c r="K473" s="7"/>
      <c r="L473" s="4"/>
      <c r="M473" s="4"/>
      <c r="N473" s="4"/>
      <c r="O473" s="4"/>
      <c r="P473" s="4"/>
      <c r="Q473" s="4"/>
      <c r="R473" s="4"/>
      <c r="S473" s="4"/>
      <c r="T473" s="4"/>
      <c r="U473" s="4"/>
      <c r="V473" s="4"/>
      <c r="W473" s="4"/>
    </row>
    <row r="474">
      <c r="A474" s="5">
        <f t="shared" si="11"/>
        <v>469</v>
      </c>
      <c r="B474" s="68"/>
      <c r="C474" s="7"/>
      <c r="D474" s="7"/>
      <c r="E474" s="7"/>
      <c r="F474" s="7"/>
      <c r="G474" s="7"/>
      <c r="H474" s="7"/>
      <c r="I474" s="7"/>
      <c r="J474" s="7"/>
      <c r="K474" s="7"/>
      <c r="L474" s="4"/>
      <c r="M474" s="4"/>
      <c r="N474" s="4"/>
      <c r="O474" s="4"/>
      <c r="P474" s="4"/>
      <c r="Q474" s="4"/>
      <c r="R474" s="4"/>
      <c r="S474" s="4"/>
      <c r="T474" s="4"/>
      <c r="U474" s="4"/>
      <c r="V474" s="4"/>
      <c r="W474" s="4"/>
    </row>
    <row r="475">
      <c r="A475" s="5">
        <f t="shared" si="11"/>
        <v>470</v>
      </c>
      <c r="B475" s="68"/>
      <c r="C475" s="7"/>
      <c r="D475" s="7"/>
      <c r="E475" s="7"/>
      <c r="F475" s="7"/>
      <c r="G475" s="7"/>
      <c r="H475" s="7"/>
      <c r="I475" s="7"/>
      <c r="J475" s="7"/>
      <c r="K475" s="7"/>
      <c r="L475" s="4"/>
      <c r="M475" s="4"/>
      <c r="N475" s="4"/>
      <c r="O475" s="4"/>
      <c r="P475" s="4"/>
      <c r="Q475" s="4"/>
      <c r="R475" s="4"/>
      <c r="S475" s="4"/>
      <c r="T475" s="4"/>
      <c r="U475" s="4"/>
      <c r="V475" s="4"/>
      <c r="W475" s="4"/>
    </row>
    <row r="476">
      <c r="A476" s="5">
        <f t="shared" si="11"/>
        <v>471</v>
      </c>
      <c r="B476" s="68"/>
      <c r="C476" s="7"/>
      <c r="D476" s="7"/>
      <c r="E476" s="7"/>
      <c r="F476" s="7"/>
      <c r="G476" s="7"/>
      <c r="H476" s="7"/>
      <c r="I476" s="7"/>
      <c r="J476" s="7"/>
      <c r="K476" s="7"/>
      <c r="L476" s="4"/>
      <c r="M476" s="4"/>
      <c r="N476" s="4"/>
      <c r="O476" s="4"/>
      <c r="P476" s="4"/>
      <c r="Q476" s="4"/>
      <c r="R476" s="4"/>
      <c r="S476" s="4"/>
      <c r="T476" s="4"/>
      <c r="U476" s="4"/>
      <c r="V476" s="4"/>
      <c r="W476" s="4"/>
    </row>
    <row r="477">
      <c r="A477" s="5">
        <f t="shared" si="11"/>
        <v>472</v>
      </c>
      <c r="B477" s="68"/>
      <c r="C477" s="7"/>
      <c r="D477" s="7"/>
      <c r="E477" s="7"/>
      <c r="F477" s="7"/>
      <c r="G477" s="7"/>
      <c r="H477" s="7"/>
      <c r="I477" s="7"/>
      <c r="J477" s="7"/>
      <c r="K477" s="7"/>
      <c r="L477" s="4"/>
      <c r="M477" s="4"/>
      <c r="N477" s="4"/>
      <c r="O477" s="4"/>
      <c r="P477" s="4"/>
      <c r="Q477" s="4"/>
      <c r="R477" s="4"/>
      <c r="S477" s="4"/>
      <c r="T477" s="4"/>
      <c r="U477" s="4"/>
      <c r="V477" s="4"/>
      <c r="W477" s="4"/>
    </row>
    <row r="478">
      <c r="A478" s="5">
        <f t="shared" si="11"/>
        <v>473</v>
      </c>
      <c r="B478" s="68"/>
      <c r="C478" s="7"/>
      <c r="D478" s="7"/>
      <c r="E478" s="7"/>
      <c r="F478" s="7"/>
      <c r="G478" s="7"/>
      <c r="H478" s="7"/>
      <c r="I478" s="7"/>
      <c r="J478" s="7"/>
      <c r="K478" s="7"/>
      <c r="L478" s="4"/>
      <c r="M478" s="4"/>
      <c r="N478" s="4"/>
      <c r="O478" s="4"/>
      <c r="P478" s="4"/>
      <c r="Q478" s="4"/>
      <c r="R478" s="4"/>
      <c r="S478" s="4"/>
      <c r="T478" s="4"/>
      <c r="U478" s="4"/>
      <c r="V478" s="4"/>
      <c r="W478" s="4"/>
    </row>
    <row r="479">
      <c r="A479" s="5">
        <f t="shared" si="11"/>
        <v>474</v>
      </c>
      <c r="B479" s="68"/>
      <c r="C479" s="7"/>
      <c r="D479" s="7"/>
      <c r="E479" s="7"/>
      <c r="F479" s="7"/>
      <c r="G479" s="7"/>
      <c r="H479" s="7"/>
      <c r="I479" s="7"/>
      <c r="J479" s="7"/>
      <c r="K479" s="7"/>
      <c r="L479" s="4"/>
      <c r="M479" s="4"/>
      <c r="N479" s="4"/>
      <c r="O479" s="4"/>
      <c r="P479" s="4"/>
      <c r="Q479" s="4"/>
      <c r="R479" s="4"/>
      <c r="S479" s="4"/>
      <c r="T479" s="4"/>
      <c r="U479" s="4"/>
      <c r="V479" s="4"/>
      <c r="W479" s="4"/>
    </row>
    <row r="480">
      <c r="A480" s="5">
        <f t="shared" si="11"/>
        <v>475</v>
      </c>
      <c r="B480" s="68"/>
      <c r="C480" s="7"/>
      <c r="D480" s="7"/>
      <c r="E480" s="7"/>
      <c r="F480" s="7"/>
      <c r="G480" s="7"/>
      <c r="H480" s="7"/>
      <c r="I480" s="7"/>
      <c r="J480" s="7"/>
      <c r="K480" s="7"/>
      <c r="L480" s="4"/>
      <c r="M480" s="4"/>
      <c r="N480" s="4"/>
      <c r="O480" s="4"/>
      <c r="P480" s="4"/>
      <c r="Q480" s="4"/>
      <c r="R480" s="4"/>
      <c r="S480" s="4"/>
      <c r="T480" s="4"/>
      <c r="U480" s="4"/>
      <c r="V480" s="4"/>
      <c r="W480" s="4"/>
    </row>
    <row r="481">
      <c r="A481" s="5">
        <f t="shared" si="11"/>
        <v>476</v>
      </c>
      <c r="B481" s="68"/>
      <c r="C481" s="7"/>
      <c r="D481" s="7"/>
      <c r="E481" s="7"/>
      <c r="F481" s="7"/>
      <c r="G481" s="7"/>
      <c r="H481" s="7"/>
      <c r="I481" s="7"/>
      <c r="J481" s="7"/>
      <c r="K481" s="7"/>
      <c r="L481" s="4"/>
      <c r="M481" s="4"/>
      <c r="N481" s="4"/>
      <c r="O481" s="4"/>
      <c r="P481" s="4"/>
      <c r="Q481" s="4"/>
      <c r="R481" s="4"/>
      <c r="S481" s="4"/>
      <c r="T481" s="4"/>
      <c r="U481" s="4"/>
      <c r="V481" s="4"/>
      <c r="W481" s="4"/>
    </row>
    <row r="482">
      <c r="A482" s="5">
        <f t="shared" si="11"/>
        <v>477</v>
      </c>
      <c r="B482" s="68"/>
      <c r="C482" s="7"/>
      <c r="D482" s="7"/>
      <c r="E482" s="7"/>
      <c r="F482" s="7"/>
      <c r="G482" s="7"/>
      <c r="H482" s="7"/>
      <c r="I482" s="7"/>
      <c r="J482" s="7"/>
      <c r="K482" s="7"/>
      <c r="L482" s="4"/>
      <c r="M482" s="4"/>
      <c r="N482" s="4"/>
      <c r="O482" s="4"/>
      <c r="P482" s="4"/>
      <c r="Q482" s="4"/>
      <c r="R482" s="4"/>
      <c r="S482" s="4"/>
      <c r="T482" s="4"/>
      <c r="U482" s="4"/>
      <c r="V482" s="4"/>
      <c r="W482" s="4"/>
    </row>
    <row r="483">
      <c r="A483" s="5">
        <f t="shared" si="11"/>
        <v>478</v>
      </c>
      <c r="B483" s="68"/>
      <c r="C483" s="7"/>
      <c r="D483" s="7"/>
      <c r="E483" s="7"/>
      <c r="F483" s="7"/>
      <c r="G483" s="7"/>
      <c r="H483" s="7"/>
      <c r="I483" s="7"/>
      <c r="J483" s="7"/>
      <c r="K483" s="7"/>
      <c r="L483" s="4"/>
      <c r="M483" s="4"/>
      <c r="N483" s="4"/>
      <c r="O483" s="4"/>
      <c r="P483" s="4"/>
      <c r="Q483" s="4"/>
      <c r="R483" s="4"/>
      <c r="S483" s="4"/>
      <c r="T483" s="4"/>
      <c r="U483" s="4"/>
      <c r="V483" s="4"/>
      <c r="W483" s="4"/>
    </row>
    <row r="484">
      <c r="A484" s="5">
        <f t="shared" si="11"/>
        <v>479</v>
      </c>
      <c r="B484" s="68"/>
      <c r="C484" s="7"/>
      <c r="D484" s="7"/>
      <c r="E484" s="7"/>
      <c r="F484" s="7"/>
      <c r="G484" s="7"/>
      <c r="H484" s="7"/>
      <c r="I484" s="7"/>
      <c r="J484" s="7"/>
      <c r="K484" s="7"/>
      <c r="L484" s="4"/>
      <c r="M484" s="4"/>
      <c r="N484" s="4"/>
      <c r="O484" s="4"/>
      <c r="P484" s="4"/>
      <c r="Q484" s="4"/>
      <c r="R484" s="4"/>
      <c r="S484" s="4"/>
      <c r="T484" s="4"/>
      <c r="U484" s="4"/>
      <c r="V484" s="4"/>
      <c r="W484" s="4"/>
    </row>
    <row r="485">
      <c r="A485" s="5">
        <f t="shared" si="11"/>
        <v>480</v>
      </c>
      <c r="B485" s="68"/>
      <c r="C485" s="7"/>
      <c r="D485" s="7"/>
      <c r="E485" s="7"/>
      <c r="F485" s="7"/>
      <c r="G485" s="7"/>
      <c r="H485" s="7"/>
      <c r="I485" s="7"/>
      <c r="J485" s="7"/>
      <c r="K485" s="7"/>
      <c r="L485" s="4"/>
      <c r="M485" s="4"/>
      <c r="N485" s="4"/>
      <c r="O485" s="4"/>
      <c r="P485" s="4"/>
      <c r="Q485" s="4"/>
      <c r="R485" s="4"/>
      <c r="S485" s="4"/>
      <c r="T485" s="4"/>
      <c r="U485" s="4"/>
      <c r="V485" s="4"/>
      <c r="W485" s="4"/>
    </row>
    <row r="486">
      <c r="A486" s="5">
        <f t="shared" si="11"/>
        <v>481</v>
      </c>
      <c r="B486" s="68"/>
      <c r="C486" s="7"/>
      <c r="D486" s="7"/>
      <c r="E486" s="7"/>
      <c r="F486" s="7"/>
      <c r="G486" s="7"/>
      <c r="H486" s="7"/>
      <c r="I486" s="7"/>
      <c r="J486" s="7"/>
      <c r="K486" s="7"/>
      <c r="L486" s="4"/>
      <c r="M486" s="4"/>
      <c r="N486" s="4"/>
      <c r="O486" s="4"/>
      <c r="P486" s="4"/>
      <c r="Q486" s="4"/>
      <c r="R486" s="4"/>
      <c r="S486" s="4"/>
      <c r="T486" s="4"/>
      <c r="U486" s="4"/>
      <c r="V486" s="4"/>
      <c r="W486" s="4"/>
    </row>
    <row r="487">
      <c r="A487" s="5">
        <f t="shared" si="11"/>
        <v>482</v>
      </c>
      <c r="B487" s="68"/>
      <c r="C487" s="7"/>
      <c r="D487" s="7"/>
      <c r="E487" s="7"/>
      <c r="F487" s="7"/>
      <c r="G487" s="7"/>
      <c r="H487" s="7"/>
      <c r="I487" s="7"/>
      <c r="J487" s="7"/>
      <c r="K487" s="7"/>
      <c r="L487" s="4"/>
      <c r="M487" s="4"/>
      <c r="N487" s="4"/>
      <c r="O487" s="4"/>
      <c r="P487" s="4"/>
      <c r="Q487" s="4"/>
      <c r="R487" s="4"/>
      <c r="S487" s="4"/>
      <c r="T487" s="4"/>
      <c r="U487" s="4"/>
      <c r="V487" s="4"/>
      <c r="W487" s="4"/>
    </row>
    <row r="488">
      <c r="A488" s="5">
        <f t="shared" si="11"/>
        <v>483</v>
      </c>
      <c r="B488" s="68"/>
      <c r="C488" s="7"/>
      <c r="D488" s="7"/>
      <c r="E488" s="7"/>
      <c r="F488" s="7"/>
      <c r="G488" s="7"/>
      <c r="H488" s="7"/>
      <c r="I488" s="7"/>
      <c r="J488" s="7"/>
      <c r="K488" s="7"/>
      <c r="L488" s="4"/>
      <c r="M488" s="4"/>
      <c r="N488" s="4"/>
      <c r="O488" s="4"/>
      <c r="P488" s="4"/>
      <c r="Q488" s="4"/>
      <c r="R488" s="4"/>
      <c r="S488" s="4"/>
      <c r="T488" s="4"/>
      <c r="U488" s="4"/>
      <c r="V488" s="4"/>
      <c r="W488" s="4"/>
    </row>
    <row r="489">
      <c r="A489" s="5">
        <f t="shared" si="11"/>
        <v>484</v>
      </c>
      <c r="B489" s="68"/>
      <c r="C489" s="7"/>
      <c r="D489" s="7"/>
      <c r="E489" s="7"/>
      <c r="F489" s="7"/>
      <c r="G489" s="7"/>
      <c r="H489" s="7"/>
      <c r="I489" s="7"/>
      <c r="J489" s="7"/>
      <c r="K489" s="7"/>
      <c r="L489" s="4"/>
      <c r="M489" s="4"/>
      <c r="N489" s="4"/>
      <c r="O489" s="4"/>
      <c r="P489" s="4"/>
      <c r="Q489" s="4"/>
      <c r="R489" s="4"/>
      <c r="S489" s="4"/>
      <c r="T489" s="4"/>
      <c r="U489" s="4"/>
      <c r="V489" s="4"/>
      <c r="W489" s="4"/>
    </row>
    <row r="490">
      <c r="A490" s="5">
        <f t="shared" si="11"/>
        <v>485</v>
      </c>
      <c r="B490" s="68"/>
      <c r="C490" s="7"/>
      <c r="D490" s="7"/>
      <c r="E490" s="7"/>
      <c r="F490" s="7"/>
      <c r="G490" s="7"/>
      <c r="H490" s="7"/>
      <c r="I490" s="7"/>
      <c r="J490" s="7"/>
      <c r="K490" s="7"/>
      <c r="L490" s="4"/>
      <c r="M490" s="4"/>
      <c r="N490" s="4"/>
      <c r="O490" s="4"/>
      <c r="P490" s="4"/>
      <c r="Q490" s="4"/>
      <c r="R490" s="4"/>
      <c r="S490" s="4"/>
      <c r="T490" s="4"/>
      <c r="U490" s="4"/>
      <c r="V490" s="4"/>
      <c r="W490" s="4"/>
    </row>
    <row r="491">
      <c r="A491" s="5">
        <f t="shared" si="11"/>
        <v>486</v>
      </c>
      <c r="B491" s="68"/>
      <c r="C491" s="7"/>
      <c r="D491" s="7"/>
      <c r="E491" s="7"/>
      <c r="F491" s="7"/>
      <c r="G491" s="7"/>
      <c r="H491" s="7"/>
      <c r="I491" s="7"/>
      <c r="J491" s="7"/>
      <c r="K491" s="7"/>
      <c r="L491" s="4"/>
      <c r="M491" s="4"/>
      <c r="N491" s="4"/>
      <c r="O491" s="4"/>
      <c r="P491" s="4"/>
      <c r="Q491" s="4"/>
      <c r="R491" s="4"/>
      <c r="S491" s="4"/>
      <c r="T491" s="4"/>
      <c r="U491" s="4"/>
      <c r="V491" s="4"/>
      <c r="W491" s="4"/>
    </row>
    <row r="492">
      <c r="A492" s="5">
        <f t="shared" si="11"/>
        <v>487</v>
      </c>
      <c r="B492" s="68"/>
      <c r="C492" s="7"/>
      <c r="D492" s="7"/>
      <c r="E492" s="7"/>
      <c r="F492" s="7"/>
      <c r="G492" s="7"/>
      <c r="H492" s="7"/>
      <c r="I492" s="7"/>
      <c r="J492" s="7"/>
      <c r="K492" s="7"/>
      <c r="L492" s="4"/>
      <c r="M492" s="4"/>
      <c r="N492" s="4"/>
      <c r="O492" s="4"/>
      <c r="P492" s="4"/>
      <c r="Q492" s="4"/>
      <c r="R492" s="4"/>
      <c r="S492" s="4"/>
      <c r="T492" s="4"/>
      <c r="U492" s="4"/>
      <c r="V492" s="4"/>
      <c r="W492" s="4"/>
    </row>
    <row r="493">
      <c r="A493" s="5">
        <f t="shared" si="11"/>
        <v>488</v>
      </c>
      <c r="B493" s="68"/>
      <c r="C493" s="7"/>
      <c r="D493" s="7"/>
      <c r="E493" s="7"/>
      <c r="F493" s="7"/>
      <c r="G493" s="7"/>
      <c r="H493" s="7"/>
      <c r="I493" s="7"/>
      <c r="J493" s="7"/>
      <c r="K493" s="7"/>
      <c r="L493" s="4"/>
      <c r="M493" s="4"/>
      <c r="N493" s="4"/>
      <c r="O493" s="4"/>
      <c r="P493" s="4"/>
      <c r="Q493" s="4"/>
      <c r="R493" s="4"/>
      <c r="S493" s="4"/>
      <c r="T493" s="4"/>
      <c r="U493" s="4"/>
      <c r="V493" s="4"/>
      <c r="W493" s="4"/>
    </row>
    <row r="494">
      <c r="A494" s="5">
        <f t="shared" si="11"/>
        <v>489</v>
      </c>
      <c r="B494" s="68"/>
      <c r="C494" s="7"/>
      <c r="D494" s="7"/>
      <c r="E494" s="7"/>
      <c r="F494" s="7"/>
      <c r="G494" s="7"/>
      <c r="H494" s="7"/>
      <c r="I494" s="7"/>
      <c r="J494" s="7"/>
      <c r="K494" s="7"/>
      <c r="L494" s="4"/>
      <c r="M494" s="4"/>
      <c r="N494" s="4"/>
      <c r="O494" s="4"/>
      <c r="P494" s="4"/>
      <c r="Q494" s="4"/>
      <c r="R494" s="4"/>
      <c r="S494" s="4"/>
      <c r="T494" s="4"/>
      <c r="U494" s="4"/>
      <c r="V494" s="4"/>
      <c r="W494" s="4"/>
    </row>
    <row r="495">
      <c r="A495" s="5">
        <f t="shared" si="11"/>
        <v>490</v>
      </c>
      <c r="B495" s="68"/>
      <c r="C495" s="7"/>
      <c r="D495" s="7"/>
      <c r="E495" s="7"/>
      <c r="F495" s="7"/>
      <c r="G495" s="7"/>
      <c r="H495" s="7"/>
      <c r="I495" s="7"/>
      <c r="J495" s="7"/>
      <c r="K495" s="7"/>
      <c r="L495" s="4"/>
      <c r="M495" s="4"/>
      <c r="N495" s="4"/>
      <c r="O495" s="4"/>
      <c r="P495" s="4"/>
      <c r="Q495" s="4"/>
      <c r="R495" s="4"/>
      <c r="S495" s="4"/>
      <c r="T495" s="4"/>
      <c r="U495" s="4"/>
      <c r="V495" s="4"/>
      <c r="W495" s="4"/>
    </row>
    <row r="496">
      <c r="A496" s="5">
        <f t="shared" si="11"/>
        <v>491</v>
      </c>
      <c r="B496" s="68"/>
      <c r="C496" s="7"/>
      <c r="D496" s="7"/>
      <c r="E496" s="7"/>
      <c r="F496" s="7"/>
      <c r="G496" s="7"/>
      <c r="H496" s="7"/>
      <c r="I496" s="7"/>
      <c r="J496" s="7"/>
      <c r="K496" s="7"/>
      <c r="L496" s="4"/>
      <c r="M496" s="4"/>
      <c r="N496" s="4"/>
      <c r="O496" s="4"/>
      <c r="P496" s="4"/>
      <c r="Q496" s="4"/>
      <c r="R496" s="4"/>
      <c r="S496" s="4"/>
      <c r="T496" s="4"/>
      <c r="U496" s="4"/>
      <c r="V496" s="4"/>
      <c r="W496" s="4"/>
    </row>
    <row r="497">
      <c r="A497" s="5">
        <f t="shared" si="11"/>
        <v>492</v>
      </c>
      <c r="B497" s="68"/>
      <c r="C497" s="7"/>
      <c r="D497" s="7"/>
      <c r="E497" s="7"/>
      <c r="F497" s="7"/>
      <c r="G497" s="7"/>
      <c r="H497" s="7"/>
      <c r="I497" s="7"/>
      <c r="J497" s="7"/>
      <c r="K497" s="7"/>
      <c r="L497" s="4"/>
      <c r="M497" s="4"/>
      <c r="N497" s="4"/>
      <c r="O497" s="4"/>
      <c r="P497" s="4"/>
      <c r="Q497" s="4"/>
      <c r="R497" s="4"/>
      <c r="S497" s="4"/>
      <c r="T497" s="4"/>
      <c r="U497" s="4"/>
      <c r="V497" s="4"/>
      <c r="W497" s="4"/>
    </row>
    <row r="498">
      <c r="A498" s="5">
        <f t="shared" si="11"/>
        <v>493</v>
      </c>
      <c r="B498" s="68"/>
      <c r="C498" s="7"/>
      <c r="D498" s="7"/>
      <c r="E498" s="7"/>
      <c r="F498" s="7"/>
      <c r="G498" s="7"/>
      <c r="H498" s="7"/>
      <c r="I498" s="7"/>
      <c r="J498" s="7"/>
      <c r="K498" s="7"/>
      <c r="L498" s="4"/>
      <c r="M498" s="4"/>
      <c r="N498" s="4"/>
      <c r="O498" s="4"/>
      <c r="P498" s="4"/>
      <c r="Q498" s="4"/>
      <c r="R498" s="4"/>
      <c r="S498" s="4"/>
      <c r="T498" s="4"/>
      <c r="U498" s="4"/>
      <c r="V498" s="4"/>
      <c r="W498" s="4"/>
    </row>
    <row r="499">
      <c r="A499" s="5">
        <f t="shared" si="11"/>
        <v>494</v>
      </c>
      <c r="B499" s="68"/>
      <c r="C499" s="7"/>
      <c r="D499" s="7"/>
      <c r="E499" s="7"/>
      <c r="F499" s="7"/>
      <c r="G499" s="7"/>
      <c r="H499" s="7"/>
      <c r="I499" s="7"/>
      <c r="J499" s="7"/>
      <c r="K499" s="7"/>
      <c r="L499" s="4"/>
      <c r="M499" s="4"/>
      <c r="N499" s="4"/>
      <c r="O499" s="4"/>
      <c r="P499" s="4"/>
      <c r="Q499" s="4"/>
      <c r="R499" s="4"/>
      <c r="S499" s="4"/>
      <c r="T499" s="4"/>
      <c r="U499" s="4"/>
      <c r="V499" s="4"/>
      <c r="W499" s="4"/>
    </row>
    <row r="500">
      <c r="A500" s="5">
        <f t="shared" si="11"/>
        <v>495</v>
      </c>
      <c r="B500" s="68"/>
      <c r="C500" s="7"/>
      <c r="D500" s="7"/>
      <c r="E500" s="7"/>
      <c r="F500" s="7"/>
      <c r="G500" s="7"/>
      <c r="H500" s="7"/>
      <c r="I500" s="7"/>
      <c r="J500" s="7"/>
      <c r="K500" s="7"/>
      <c r="L500" s="4"/>
      <c r="M500" s="4"/>
      <c r="N500" s="4"/>
      <c r="O500" s="4"/>
      <c r="P500" s="4"/>
      <c r="Q500" s="4"/>
      <c r="R500" s="4"/>
      <c r="S500" s="4"/>
      <c r="T500" s="4"/>
      <c r="U500" s="4"/>
      <c r="V500" s="4"/>
      <c r="W500" s="4"/>
    </row>
    <row r="501">
      <c r="A501" s="5">
        <f t="shared" si="11"/>
        <v>496</v>
      </c>
      <c r="B501" s="68"/>
      <c r="C501" s="7"/>
      <c r="D501" s="7"/>
      <c r="E501" s="7"/>
      <c r="F501" s="7"/>
      <c r="G501" s="7"/>
      <c r="H501" s="7"/>
      <c r="I501" s="7"/>
      <c r="J501" s="7"/>
      <c r="K501" s="7"/>
      <c r="L501" s="4"/>
      <c r="M501" s="4"/>
      <c r="N501" s="4"/>
      <c r="O501" s="4"/>
      <c r="P501" s="4"/>
      <c r="Q501" s="4"/>
      <c r="R501" s="4"/>
      <c r="S501" s="4"/>
      <c r="T501" s="4"/>
      <c r="U501" s="4"/>
      <c r="V501" s="4"/>
      <c r="W501" s="4"/>
    </row>
    <row r="502">
      <c r="A502" s="5">
        <f t="shared" si="11"/>
        <v>497</v>
      </c>
      <c r="B502" s="68"/>
      <c r="C502" s="7"/>
      <c r="D502" s="7"/>
      <c r="E502" s="7"/>
      <c r="F502" s="7"/>
      <c r="G502" s="7"/>
      <c r="H502" s="7"/>
      <c r="I502" s="7"/>
      <c r="J502" s="7"/>
      <c r="K502" s="7"/>
      <c r="L502" s="4"/>
      <c r="M502" s="4"/>
      <c r="N502" s="4"/>
      <c r="O502" s="4"/>
      <c r="P502" s="4"/>
      <c r="Q502" s="4"/>
      <c r="R502" s="4"/>
      <c r="S502" s="4"/>
      <c r="T502" s="4"/>
      <c r="U502" s="4"/>
      <c r="V502" s="4"/>
      <c r="W502" s="4"/>
    </row>
    <row r="503">
      <c r="A503" s="5">
        <f t="shared" si="11"/>
        <v>498</v>
      </c>
      <c r="B503" s="68"/>
      <c r="C503" s="7"/>
      <c r="D503" s="7"/>
      <c r="E503" s="7"/>
      <c r="F503" s="7"/>
      <c r="G503" s="7"/>
      <c r="H503" s="7"/>
      <c r="I503" s="7"/>
      <c r="J503" s="7"/>
      <c r="K503" s="7"/>
      <c r="L503" s="4"/>
      <c r="M503" s="4"/>
      <c r="N503" s="4"/>
      <c r="O503" s="4"/>
      <c r="P503" s="4"/>
      <c r="Q503" s="4"/>
      <c r="R503" s="4"/>
      <c r="S503" s="4"/>
      <c r="T503" s="4"/>
      <c r="U503" s="4"/>
      <c r="V503" s="4"/>
      <c r="W503" s="4"/>
    </row>
    <row r="504">
      <c r="A504" s="4"/>
      <c r="B504" s="69"/>
      <c r="C504" s="4"/>
      <c r="D504" s="4"/>
      <c r="E504" s="4"/>
      <c r="F504" s="4"/>
      <c r="G504" s="4"/>
      <c r="H504" s="4"/>
      <c r="I504" s="4"/>
      <c r="J504" s="4"/>
      <c r="K504" s="4"/>
      <c r="L504" s="4"/>
      <c r="M504" s="4"/>
      <c r="N504" s="4"/>
      <c r="O504" s="4"/>
      <c r="P504" s="4"/>
      <c r="Q504" s="4"/>
      <c r="R504" s="4"/>
      <c r="S504" s="4"/>
      <c r="T504" s="4"/>
      <c r="U504" s="4"/>
      <c r="V504" s="4"/>
      <c r="W504" s="4"/>
    </row>
    <row r="505">
      <c r="A505" s="4"/>
      <c r="B505" s="69"/>
      <c r="C505" s="4"/>
      <c r="D505" s="4"/>
      <c r="E505" s="4"/>
      <c r="F505" s="4"/>
      <c r="G505" s="4"/>
      <c r="H505" s="4"/>
      <c r="I505" s="4"/>
      <c r="J505" s="4"/>
      <c r="K505" s="4"/>
      <c r="L505" s="4"/>
      <c r="M505" s="4"/>
      <c r="N505" s="4"/>
      <c r="O505" s="4"/>
      <c r="P505" s="4"/>
      <c r="Q505" s="4"/>
      <c r="R505" s="4"/>
      <c r="S505" s="4"/>
      <c r="T505" s="4"/>
      <c r="U505" s="4"/>
      <c r="V505" s="4"/>
      <c r="W505" s="4"/>
    </row>
    <row r="506">
      <c r="A506" s="4"/>
      <c r="B506" s="69"/>
      <c r="C506" s="4"/>
      <c r="D506" s="4"/>
      <c r="E506" s="4"/>
      <c r="F506" s="4"/>
      <c r="G506" s="4"/>
      <c r="H506" s="4"/>
      <c r="I506" s="4"/>
      <c r="J506" s="4"/>
      <c r="K506" s="4"/>
      <c r="L506" s="4"/>
      <c r="M506" s="4"/>
      <c r="N506" s="4"/>
      <c r="O506" s="4"/>
      <c r="P506" s="4"/>
      <c r="Q506" s="4"/>
      <c r="R506" s="4"/>
      <c r="S506" s="4"/>
      <c r="T506" s="4"/>
      <c r="U506" s="4"/>
      <c r="V506" s="4"/>
      <c r="W506" s="4"/>
    </row>
    <row r="507">
      <c r="A507" s="4"/>
      <c r="B507" s="69"/>
      <c r="C507" s="4"/>
      <c r="D507" s="4"/>
      <c r="E507" s="4"/>
      <c r="F507" s="4"/>
      <c r="G507" s="4"/>
      <c r="H507" s="4"/>
      <c r="I507" s="4"/>
      <c r="J507" s="4"/>
      <c r="K507" s="4"/>
      <c r="L507" s="4"/>
      <c r="M507" s="4"/>
      <c r="N507" s="4"/>
      <c r="O507" s="4"/>
      <c r="P507" s="4"/>
      <c r="Q507" s="4"/>
      <c r="R507" s="4"/>
      <c r="S507" s="4"/>
      <c r="T507" s="4"/>
      <c r="U507" s="4"/>
      <c r="V507" s="4"/>
      <c r="W507" s="4"/>
    </row>
    <row r="508">
      <c r="A508" s="4"/>
      <c r="B508" s="69"/>
      <c r="C508" s="4"/>
      <c r="D508" s="4"/>
      <c r="E508" s="4"/>
      <c r="F508" s="4"/>
      <c r="G508" s="4"/>
      <c r="H508" s="4"/>
      <c r="I508" s="4"/>
      <c r="J508" s="4"/>
      <c r="K508" s="4"/>
      <c r="L508" s="4"/>
      <c r="M508" s="4"/>
      <c r="N508" s="4"/>
      <c r="O508" s="4"/>
      <c r="P508" s="4"/>
      <c r="Q508" s="4"/>
      <c r="R508" s="4"/>
      <c r="S508" s="4"/>
      <c r="T508" s="4"/>
      <c r="U508" s="4"/>
      <c r="V508" s="4"/>
      <c r="W508" s="4"/>
    </row>
    <row r="509">
      <c r="A509" s="4"/>
      <c r="B509" s="69"/>
      <c r="C509" s="4"/>
      <c r="D509" s="4"/>
      <c r="E509" s="4"/>
      <c r="F509" s="4"/>
      <c r="G509" s="4"/>
      <c r="H509" s="4"/>
      <c r="I509" s="4"/>
      <c r="J509" s="4"/>
      <c r="K509" s="4"/>
      <c r="L509" s="4"/>
      <c r="M509" s="4"/>
      <c r="N509" s="4"/>
      <c r="O509" s="4"/>
      <c r="P509" s="4"/>
      <c r="Q509" s="4"/>
      <c r="R509" s="4"/>
      <c r="S509" s="4"/>
      <c r="T509" s="4"/>
      <c r="U509" s="4"/>
      <c r="V509" s="4"/>
      <c r="W509" s="4"/>
    </row>
    <row r="510">
      <c r="A510" s="4"/>
      <c r="B510" s="69"/>
      <c r="C510" s="4"/>
      <c r="D510" s="4"/>
      <c r="E510" s="4"/>
      <c r="F510" s="4"/>
      <c r="G510" s="4"/>
      <c r="H510" s="4"/>
      <c r="I510" s="4"/>
      <c r="J510" s="4"/>
      <c r="K510" s="4"/>
      <c r="L510" s="4"/>
      <c r="M510" s="4"/>
      <c r="N510" s="4"/>
      <c r="O510" s="4"/>
      <c r="P510" s="4"/>
      <c r="Q510" s="4"/>
      <c r="R510" s="4"/>
      <c r="S510" s="4"/>
      <c r="T510" s="4"/>
      <c r="U510" s="4"/>
      <c r="V510" s="4"/>
      <c r="W510" s="4"/>
    </row>
    <row r="511">
      <c r="A511" s="4"/>
      <c r="B511" s="69"/>
      <c r="C511" s="4"/>
      <c r="D511" s="4"/>
      <c r="E511" s="4"/>
      <c r="F511" s="4"/>
      <c r="G511" s="4"/>
      <c r="H511" s="4"/>
      <c r="I511" s="4"/>
      <c r="J511" s="4"/>
      <c r="K511" s="4"/>
      <c r="L511" s="4"/>
      <c r="M511" s="4"/>
      <c r="N511" s="4"/>
      <c r="O511" s="4"/>
      <c r="P511" s="4"/>
      <c r="Q511" s="4"/>
      <c r="R511" s="4"/>
      <c r="S511" s="4"/>
      <c r="T511" s="4"/>
      <c r="U511" s="4"/>
      <c r="V511" s="4"/>
      <c r="W511" s="4"/>
    </row>
    <row r="512">
      <c r="A512" s="4"/>
      <c r="B512" s="69"/>
      <c r="C512" s="4"/>
      <c r="D512" s="4"/>
      <c r="E512" s="4"/>
      <c r="F512" s="4"/>
      <c r="G512" s="4"/>
      <c r="H512" s="4"/>
      <c r="I512" s="4"/>
      <c r="J512" s="4"/>
      <c r="K512" s="4"/>
      <c r="L512" s="4"/>
      <c r="M512" s="4"/>
      <c r="N512" s="4"/>
      <c r="O512" s="4"/>
      <c r="P512" s="4"/>
      <c r="Q512" s="4"/>
      <c r="R512" s="4"/>
      <c r="S512" s="4"/>
      <c r="T512" s="4"/>
      <c r="U512" s="4"/>
      <c r="V512" s="4"/>
      <c r="W512" s="4"/>
    </row>
    <row r="513">
      <c r="A513" s="4"/>
      <c r="B513" s="69"/>
      <c r="C513" s="4"/>
      <c r="D513" s="4"/>
      <c r="E513" s="4"/>
      <c r="F513" s="4"/>
      <c r="G513" s="4"/>
      <c r="H513" s="4"/>
      <c r="I513" s="4"/>
      <c r="J513" s="4"/>
      <c r="K513" s="4"/>
      <c r="L513" s="4"/>
      <c r="M513" s="4"/>
      <c r="N513" s="4"/>
      <c r="O513" s="4"/>
      <c r="P513" s="4"/>
      <c r="Q513" s="4"/>
      <c r="R513" s="4"/>
      <c r="S513" s="4"/>
      <c r="T513" s="4"/>
      <c r="U513" s="4"/>
      <c r="V513" s="4"/>
      <c r="W513" s="4"/>
    </row>
    <row r="514">
      <c r="A514" s="4"/>
      <c r="B514" s="69"/>
      <c r="C514" s="4"/>
      <c r="D514" s="4"/>
      <c r="E514" s="4"/>
      <c r="F514" s="4"/>
      <c r="G514" s="4"/>
      <c r="H514" s="4"/>
      <c r="I514" s="4"/>
      <c r="J514" s="4"/>
      <c r="K514" s="4"/>
      <c r="L514" s="4"/>
      <c r="M514" s="4"/>
      <c r="N514" s="4"/>
      <c r="O514" s="4"/>
      <c r="P514" s="4"/>
      <c r="Q514" s="4"/>
      <c r="R514" s="4"/>
      <c r="S514" s="4"/>
      <c r="T514" s="4"/>
      <c r="U514" s="4"/>
      <c r="V514" s="4"/>
      <c r="W514" s="4"/>
    </row>
    <row r="515">
      <c r="A515" s="4"/>
      <c r="B515" s="69"/>
      <c r="C515" s="4"/>
      <c r="D515" s="4"/>
      <c r="E515" s="4"/>
      <c r="F515" s="4"/>
      <c r="G515" s="4"/>
      <c r="H515" s="4"/>
      <c r="I515" s="4"/>
      <c r="J515" s="4"/>
      <c r="K515" s="4"/>
      <c r="L515" s="4"/>
      <c r="M515" s="4"/>
      <c r="N515" s="4"/>
      <c r="O515" s="4"/>
      <c r="P515" s="4"/>
      <c r="Q515" s="4"/>
      <c r="R515" s="4"/>
      <c r="S515" s="4"/>
      <c r="T515" s="4"/>
      <c r="U515" s="4"/>
      <c r="V515" s="4"/>
      <c r="W515" s="4"/>
    </row>
    <row r="516">
      <c r="A516" s="4"/>
      <c r="B516" s="69"/>
      <c r="C516" s="4"/>
      <c r="D516" s="4"/>
      <c r="E516" s="4"/>
      <c r="F516" s="4"/>
      <c r="G516" s="4"/>
      <c r="H516" s="4"/>
      <c r="I516" s="4"/>
      <c r="J516" s="4"/>
      <c r="K516" s="4"/>
      <c r="L516" s="4"/>
      <c r="M516" s="4"/>
      <c r="N516" s="4"/>
      <c r="O516" s="4"/>
      <c r="P516" s="4"/>
      <c r="Q516" s="4"/>
      <c r="R516" s="4"/>
      <c r="S516" s="4"/>
      <c r="T516" s="4"/>
      <c r="U516" s="4"/>
      <c r="V516" s="4"/>
      <c r="W516" s="4"/>
    </row>
    <row r="517">
      <c r="A517" s="4"/>
      <c r="B517" s="69"/>
      <c r="C517" s="4"/>
      <c r="D517" s="4"/>
      <c r="E517" s="4"/>
      <c r="F517" s="4"/>
      <c r="G517" s="4"/>
      <c r="H517" s="4"/>
      <c r="I517" s="4"/>
      <c r="J517" s="4"/>
      <c r="K517" s="4"/>
      <c r="L517" s="4"/>
      <c r="M517" s="4"/>
      <c r="N517" s="4"/>
      <c r="O517" s="4"/>
      <c r="P517" s="4"/>
      <c r="Q517" s="4"/>
      <c r="R517" s="4"/>
      <c r="S517" s="4"/>
      <c r="T517" s="4"/>
      <c r="U517" s="4"/>
      <c r="V517" s="4"/>
      <c r="W517" s="4"/>
    </row>
    <row r="518">
      <c r="A518" s="4"/>
      <c r="B518" s="69"/>
      <c r="C518" s="4"/>
      <c r="D518" s="4"/>
      <c r="E518" s="4"/>
      <c r="F518" s="4"/>
      <c r="G518" s="4"/>
      <c r="H518" s="4"/>
      <c r="I518" s="4"/>
      <c r="J518" s="4"/>
      <c r="K518" s="4"/>
      <c r="L518" s="4"/>
      <c r="M518" s="4"/>
      <c r="N518" s="4"/>
      <c r="O518" s="4"/>
      <c r="P518" s="4"/>
      <c r="Q518" s="4"/>
      <c r="R518" s="4"/>
      <c r="S518" s="4"/>
      <c r="T518" s="4"/>
      <c r="U518" s="4"/>
      <c r="V518" s="4"/>
      <c r="W518" s="4"/>
    </row>
    <row r="519">
      <c r="A519" s="4"/>
      <c r="B519" s="69"/>
      <c r="C519" s="4"/>
      <c r="D519" s="4"/>
      <c r="E519" s="4"/>
      <c r="F519" s="4"/>
      <c r="G519" s="4"/>
      <c r="H519" s="4"/>
      <c r="I519" s="4"/>
      <c r="J519" s="4"/>
      <c r="K519" s="4"/>
      <c r="L519" s="4"/>
      <c r="M519" s="4"/>
      <c r="N519" s="4"/>
      <c r="O519" s="4"/>
      <c r="P519" s="4"/>
      <c r="Q519" s="4"/>
      <c r="R519" s="4"/>
      <c r="S519" s="4"/>
      <c r="T519" s="4"/>
      <c r="U519" s="4"/>
      <c r="V519" s="4"/>
      <c r="W519" s="4"/>
    </row>
    <row r="520">
      <c r="A520" s="4"/>
      <c r="B520" s="69"/>
      <c r="C520" s="4"/>
      <c r="D520" s="4"/>
      <c r="E520" s="4"/>
      <c r="F520" s="4"/>
      <c r="G520" s="4"/>
      <c r="H520" s="4"/>
      <c r="I520" s="4"/>
      <c r="J520" s="4"/>
      <c r="K520" s="4"/>
      <c r="L520" s="4"/>
      <c r="M520" s="4"/>
      <c r="N520" s="4"/>
      <c r="O520" s="4"/>
      <c r="P520" s="4"/>
      <c r="Q520" s="4"/>
      <c r="R520" s="4"/>
      <c r="S520" s="4"/>
      <c r="T520" s="4"/>
      <c r="U520" s="4"/>
      <c r="V520" s="4"/>
      <c r="W520" s="4"/>
    </row>
    <row r="521">
      <c r="A521" s="4"/>
      <c r="B521" s="69"/>
      <c r="C521" s="4"/>
      <c r="D521" s="4"/>
      <c r="E521" s="4"/>
      <c r="F521" s="4"/>
      <c r="G521" s="4"/>
      <c r="H521" s="4"/>
      <c r="I521" s="4"/>
      <c r="J521" s="4"/>
      <c r="K521" s="4"/>
      <c r="L521" s="4"/>
      <c r="M521" s="4"/>
      <c r="N521" s="4"/>
      <c r="O521" s="4"/>
      <c r="P521" s="4"/>
      <c r="Q521" s="4"/>
      <c r="R521" s="4"/>
      <c r="S521" s="4"/>
      <c r="T521" s="4"/>
      <c r="U521" s="4"/>
      <c r="V521" s="4"/>
      <c r="W521" s="4"/>
    </row>
    <row r="522">
      <c r="A522" s="4"/>
      <c r="B522" s="69"/>
      <c r="C522" s="4"/>
      <c r="D522" s="4"/>
      <c r="E522" s="4"/>
      <c r="F522" s="4"/>
      <c r="G522" s="4"/>
      <c r="H522" s="4"/>
      <c r="I522" s="4"/>
      <c r="J522" s="4"/>
      <c r="K522" s="4"/>
      <c r="L522" s="4"/>
      <c r="M522" s="4"/>
      <c r="N522" s="4"/>
      <c r="O522" s="4"/>
      <c r="P522" s="4"/>
      <c r="Q522" s="4"/>
      <c r="R522" s="4"/>
      <c r="S522" s="4"/>
      <c r="T522" s="4"/>
      <c r="U522" s="4"/>
      <c r="V522" s="4"/>
      <c r="W522" s="4"/>
    </row>
    <row r="523">
      <c r="A523" s="4"/>
      <c r="B523" s="69"/>
      <c r="C523" s="4"/>
      <c r="D523" s="4"/>
      <c r="E523" s="4"/>
      <c r="F523" s="4"/>
      <c r="G523" s="4"/>
      <c r="H523" s="4"/>
      <c r="I523" s="4"/>
      <c r="J523" s="4"/>
      <c r="K523" s="4"/>
      <c r="L523" s="4"/>
      <c r="M523" s="4"/>
      <c r="N523" s="4"/>
      <c r="O523" s="4"/>
      <c r="P523" s="4"/>
      <c r="Q523" s="4"/>
      <c r="R523" s="4"/>
      <c r="S523" s="4"/>
      <c r="T523" s="4"/>
      <c r="U523" s="4"/>
      <c r="V523" s="4"/>
      <c r="W523" s="4"/>
    </row>
    <row r="524">
      <c r="A524" s="4"/>
      <c r="B524" s="69"/>
      <c r="C524" s="4"/>
      <c r="D524" s="4"/>
      <c r="E524" s="4"/>
      <c r="F524" s="4"/>
      <c r="G524" s="4"/>
      <c r="H524" s="4"/>
      <c r="I524" s="4"/>
      <c r="J524" s="4"/>
      <c r="K524" s="4"/>
      <c r="L524" s="4"/>
      <c r="M524" s="4"/>
      <c r="N524" s="4"/>
      <c r="O524" s="4"/>
      <c r="P524" s="4"/>
      <c r="Q524" s="4"/>
      <c r="R524" s="4"/>
      <c r="S524" s="4"/>
      <c r="T524" s="4"/>
      <c r="U524" s="4"/>
      <c r="V524" s="4"/>
      <c r="W524" s="4"/>
    </row>
    <row r="525">
      <c r="A525" s="4"/>
      <c r="B525" s="69"/>
      <c r="C525" s="4"/>
      <c r="D525" s="4"/>
      <c r="E525" s="4"/>
      <c r="F525" s="4"/>
      <c r="G525" s="4"/>
      <c r="H525" s="4"/>
      <c r="I525" s="4"/>
      <c r="J525" s="4"/>
      <c r="K525" s="4"/>
      <c r="L525" s="4"/>
      <c r="M525" s="4"/>
      <c r="N525" s="4"/>
      <c r="O525" s="4"/>
      <c r="P525" s="4"/>
      <c r="Q525" s="4"/>
      <c r="R525" s="4"/>
      <c r="S525" s="4"/>
      <c r="T525" s="4"/>
      <c r="U525" s="4"/>
      <c r="V525" s="4"/>
      <c r="W525" s="4"/>
    </row>
    <row r="526">
      <c r="A526" s="4"/>
      <c r="B526" s="69"/>
      <c r="C526" s="4"/>
      <c r="D526" s="4"/>
      <c r="E526" s="4"/>
      <c r="F526" s="4"/>
      <c r="G526" s="4"/>
      <c r="H526" s="4"/>
      <c r="I526" s="4"/>
      <c r="J526" s="4"/>
      <c r="K526" s="4"/>
      <c r="L526" s="4"/>
      <c r="M526" s="4"/>
      <c r="N526" s="4"/>
      <c r="O526" s="4"/>
      <c r="P526" s="4"/>
      <c r="Q526" s="4"/>
      <c r="R526" s="4"/>
      <c r="S526" s="4"/>
      <c r="T526" s="4"/>
      <c r="U526" s="4"/>
      <c r="V526" s="4"/>
      <c r="W526" s="4"/>
    </row>
    <row r="527">
      <c r="A527" s="4"/>
      <c r="B527" s="69"/>
      <c r="C527" s="4"/>
      <c r="D527" s="4"/>
      <c r="E527" s="4"/>
      <c r="F527" s="4"/>
      <c r="G527" s="4"/>
      <c r="H527" s="4"/>
      <c r="I527" s="4"/>
      <c r="J527" s="4"/>
      <c r="K527" s="4"/>
      <c r="L527" s="4"/>
      <c r="M527" s="4"/>
      <c r="N527" s="4"/>
      <c r="O527" s="4"/>
      <c r="P527" s="4"/>
      <c r="Q527" s="4"/>
      <c r="R527" s="4"/>
      <c r="S527" s="4"/>
      <c r="T527" s="4"/>
      <c r="U527" s="4"/>
      <c r="V527" s="4"/>
      <c r="W527" s="4"/>
    </row>
    <row r="528">
      <c r="A528" s="4"/>
      <c r="B528" s="69"/>
      <c r="C528" s="4"/>
      <c r="D528" s="4"/>
      <c r="E528" s="4"/>
      <c r="F528" s="4"/>
      <c r="G528" s="4"/>
      <c r="H528" s="4"/>
      <c r="I528" s="4"/>
      <c r="J528" s="4"/>
      <c r="K528" s="4"/>
      <c r="L528" s="4"/>
      <c r="M528" s="4"/>
      <c r="N528" s="4"/>
      <c r="O528" s="4"/>
      <c r="P528" s="4"/>
      <c r="Q528" s="4"/>
      <c r="R528" s="4"/>
      <c r="S528" s="4"/>
      <c r="T528" s="4"/>
      <c r="U528" s="4"/>
      <c r="V528" s="4"/>
      <c r="W528" s="4"/>
    </row>
    <row r="529">
      <c r="A529" s="4"/>
      <c r="B529" s="69"/>
      <c r="C529" s="4"/>
      <c r="D529" s="4"/>
      <c r="E529" s="4"/>
      <c r="F529" s="4"/>
      <c r="G529" s="4"/>
      <c r="H529" s="4"/>
      <c r="I529" s="4"/>
      <c r="J529" s="4"/>
      <c r="K529" s="4"/>
      <c r="L529" s="4"/>
      <c r="M529" s="4"/>
      <c r="N529" s="4"/>
      <c r="O529" s="4"/>
      <c r="P529" s="4"/>
      <c r="Q529" s="4"/>
      <c r="R529" s="4"/>
      <c r="S529" s="4"/>
      <c r="T529" s="4"/>
      <c r="U529" s="4"/>
      <c r="V529" s="4"/>
      <c r="W529" s="4"/>
    </row>
    <row r="530">
      <c r="A530" s="4"/>
      <c r="B530" s="69"/>
      <c r="C530" s="4"/>
      <c r="D530" s="4"/>
      <c r="E530" s="4"/>
      <c r="F530" s="4"/>
      <c r="G530" s="4"/>
      <c r="H530" s="4"/>
      <c r="I530" s="4"/>
      <c r="J530" s="4"/>
      <c r="K530" s="4"/>
      <c r="L530" s="4"/>
      <c r="M530" s="4"/>
      <c r="N530" s="4"/>
      <c r="O530" s="4"/>
      <c r="P530" s="4"/>
      <c r="Q530" s="4"/>
      <c r="R530" s="4"/>
      <c r="S530" s="4"/>
      <c r="T530" s="4"/>
      <c r="U530" s="4"/>
      <c r="V530" s="4"/>
      <c r="W530" s="4"/>
    </row>
    <row r="531">
      <c r="A531" s="4"/>
      <c r="B531" s="69"/>
      <c r="C531" s="4"/>
      <c r="D531" s="4"/>
      <c r="E531" s="4"/>
      <c r="F531" s="4"/>
      <c r="G531" s="4"/>
      <c r="H531" s="4"/>
      <c r="I531" s="4"/>
      <c r="J531" s="4"/>
      <c r="K531" s="4"/>
      <c r="L531" s="4"/>
      <c r="M531" s="4"/>
      <c r="N531" s="4"/>
      <c r="O531" s="4"/>
      <c r="P531" s="4"/>
      <c r="Q531" s="4"/>
      <c r="R531" s="4"/>
      <c r="S531" s="4"/>
      <c r="T531" s="4"/>
      <c r="U531" s="4"/>
      <c r="V531" s="4"/>
      <c r="W531" s="4"/>
    </row>
    <row r="532">
      <c r="A532" s="4"/>
      <c r="B532" s="69"/>
      <c r="C532" s="4"/>
      <c r="D532" s="4"/>
      <c r="E532" s="4"/>
      <c r="F532" s="4"/>
      <c r="G532" s="4"/>
      <c r="H532" s="4"/>
      <c r="I532" s="4"/>
      <c r="J532" s="4"/>
      <c r="K532" s="4"/>
      <c r="L532" s="4"/>
      <c r="M532" s="4"/>
      <c r="N532" s="4"/>
      <c r="O532" s="4"/>
      <c r="P532" s="4"/>
      <c r="Q532" s="4"/>
      <c r="R532" s="4"/>
      <c r="S532" s="4"/>
      <c r="T532" s="4"/>
      <c r="U532" s="4"/>
      <c r="V532" s="4"/>
      <c r="W532" s="4"/>
    </row>
    <row r="533">
      <c r="A533" s="4"/>
      <c r="B533" s="69"/>
      <c r="C533" s="4"/>
      <c r="D533" s="4"/>
      <c r="E533" s="4"/>
      <c r="F533" s="4"/>
      <c r="G533" s="4"/>
      <c r="H533" s="4"/>
      <c r="I533" s="4"/>
      <c r="J533" s="4"/>
      <c r="K533" s="4"/>
      <c r="L533" s="4"/>
      <c r="M533" s="4"/>
      <c r="N533" s="4"/>
      <c r="O533" s="4"/>
      <c r="P533" s="4"/>
      <c r="Q533" s="4"/>
      <c r="R533" s="4"/>
      <c r="S533" s="4"/>
      <c r="T533" s="4"/>
      <c r="U533" s="4"/>
      <c r="V533" s="4"/>
      <c r="W533" s="4"/>
    </row>
    <row r="534">
      <c r="A534" s="4"/>
      <c r="B534" s="69"/>
      <c r="C534" s="4"/>
      <c r="D534" s="4"/>
      <c r="E534" s="4"/>
      <c r="F534" s="4"/>
      <c r="G534" s="4"/>
      <c r="H534" s="4"/>
      <c r="I534" s="4"/>
      <c r="J534" s="4"/>
      <c r="K534" s="4"/>
      <c r="L534" s="4"/>
      <c r="M534" s="4"/>
      <c r="N534" s="4"/>
      <c r="O534" s="4"/>
      <c r="P534" s="4"/>
      <c r="Q534" s="4"/>
      <c r="R534" s="4"/>
      <c r="S534" s="4"/>
      <c r="T534" s="4"/>
      <c r="U534" s="4"/>
      <c r="V534" s="4"/>
      <c r="W534" s="4"/>
    </row>
    <row r="535">
      <c r="A535" s="4"/>
      <c r="B535" s="69"/>
      <c r="C535" s="4"/>
      <c r="D535" s="4"/>
      <c r="E535" s="4"/>
      <c r="F535" s="4"/>
      <c r="G535" s="4"/>
      <c r="H535" s="4"/>
      <c r="I535" s="4"/>
      <c r="J535" s="4"/>
      <c r="K535" s="4"/>
      <c r="L535" s="4"/>
      <c r="M535" s="4"/>
      <c r="N535" s="4"/>
      <c r="O535" s="4"/>
      <c r="P535" s="4"/>
      <c r="Q535" s="4"/>
      <c r="R535" s="4"/>
      <c r="S535" s="4"/>
      <c r="T535" s="4"/>
      <c r="U535" s="4"/>
      <c r="V535" s="4"/>
      <c r="W535" s="4"/>
    </row>
    <row r="536">
      <c r="A536" s="4"/>
      <c r="B536" s="69"/>
      <c r="C536" s="4"/>
      <c r="D536" s="4"/>
      <c r="E536" s="4"/>
      <c r="F536" s="4"/>
      <c r="G536" s="4"/>
      <c r="H536" s="4"/>
      <c r="I536" s="4"/>
      <c r="J536" s="4"/>
      <c r="K536" s="4"/>
      <c r="L536" s="4"/>
      <c r="M536" s="4"/>
      <c r="N536" s="4"/>
      <c r="O536" s="4"/>
      <c r="P536" s="4"/>
      <c r="Q536" s="4"/>
      <c r="R536" s="4"/>
      <c r="S536" s="4"/>
      <c r="T536" s="4"/>
      <c r="U536" s="4"/>
      <c r="V536" s="4"/>
      <c r="W536" s="4"/>
    </row>
    <row r="537">
      <c r="A537" s="4"/>
      <c r="B537" s="69"/>
      <c r="C537" s="4"/>
      <c r="D537" s="4"/>
      <c r="E537" s="4"/>
      <c r="F537" s="4"/>
      <c r="G537" s="4"/>
      <c r="H537" s="4"/>
      <c r="I537" s="4"/>
      <c r="J537" s="4"/>
      <c r="K537" s="4"/>
      <c r="L537" s="4"/>
      <c r="M537" s="4"/>
      <c r="N537" s="4"/>
      <c r="O537" s="4"/>
      <c r="P537" s="4"/>
      <c r="Q537" s="4"/>
      <c r="R537" s="4"/>
      <c r="S537" s="4"/>
      <c r="T537" s="4"/>
      <c r="U537" s="4"/>
      <c r="V537" s="4"/>
      <c r="W537" s="4"/>
    </row>
    <row r="538">
      <c r="A538" s="4"/>
      <c r="B538" s="69"/>
      <c r="C538" s="4"/>
      <c r="D538" s="4"/>
      <c r="E538" s="4"/>
      <c r="F538" s="4"/>
      <c r="G538" s="4"/>
      <c r="H538" s="4"/>
      <c r="I538" s="4"/>
      <c r="J538" s="4"/>
      <c r="K538" s="4"/>
      <c r="L538" s="4"/>
      <c r="M538" s="4"/>
      <c r="N538" s="4"/>
      <c r="O538" s="4"/>
      <c r="P538" s="4"/>
      <c r="Q538" s="4"/>
      <c r="R538" s="4"/>
      <c r="S538" s="4"/>
      <c r="T538" s="4"/>
      <c r="U538" s="4"/>
      <c r="V538" s="4"/>
      <c r="W538" s="4"/>
    </row>
    <row r="539">
      <c r="A539" s="4"/>
      <c r="B539" s="69"/>
      <c r="C539" s="4"/>
      <c r="D539" s="4"/>
      <c r="E539" s="4"/>
      <c r="F539" s="4"/>
      <c r="G539" s="4"/>
      <c r="H539" s="4"/>
      <c r="I539" s="4"/>
      <c r="J539" s="4"/>
      <c r="K539" s="4"/>
      <c r="L539" s="4"/>
      <c r="M539" s="4"/>
      <c r="N539" s="4"/>
      <c r="O539" s="4"/>
      <c r="P539" s="4"/>
      <c r="Q539" s="4"/>
      <c r="R539" s="4"/>
      <c r="S539" s="4"/>
      <c r="T539" s="4"/>
      <c r="U539" s="4"/>
      <c r="V539" s="4"/>
      <c r="W539" s="4"/>
    </row>
    <row r="540">
      <c r="A540" s="4"/>
      <c r="B540" s="69"/>
      <c r="C540" s="4"/>
      <c r="D540" s="4"/>
      <c r="E540" s="4"/>
      <c r="F540" s="4"/>
      <c r="G540" s="4"/>
      <c r="H540" s="4"/>
      <c r="I540" s="4"/>
      <c r="J540" s="4"/>
      <c r="K540" s="4"/>
      <c r="L540" s="4"/>
      <c r="M540" s="4"/>
      <c r="N540" s="4"/>
      <c r="O540" s="4"/>
      <c r="P540" s="4"/>
      <c r="Q540" s="4"/>
      <c r="R540" s="4"/>
      <c r="S540" s="4"/>
      <c r="T540" s="4"/>
      <c r="U540" s="4"/>
      <c r="V540" s="4"/>
      <c r="W540" s="4"/>
    </row>
    <row r="541">
      <c r="A541" s="4"/>
      <c r="B541" s="69"/>
      <c r="C541" s="4"/>
      <c r="D541" s="4"/>
      <c r="E541" s="4"/>
      <c r="F541" s="4"/>
      <c r="G541" s="4"/>
      <c r="H541" s="4"/>
      <c r="I541" s="4"/>
      <c r="J541" s="4"/>
      <c r="K541" s="4"/>
      <c r="L541" s="4"/>
      <c r="M541" s="4"/>
      <c r="N541" s="4"/>
      <c r="O541" s="4"/>
      <c r="P541" s="4"/>
      <c r="Q541" s="4"/>
      <c r="R541" s="4"/>
      <c r="S541" s="4"/>
      <c r="T541" s="4"/>
      <c r="U541" s="4"/>
      <c r="V541" s="4"/>
      <c r="W541" s="4"/>
    </row>
    <row r="542">
      <c r="A542" s="4"/>
      <c r="B542" s="69"/>
      <c r="C542" s="4"/>
      <c r="D542" s="4"/>
      <c r="E542" s="4"/>
      <c r="F542" s="4"/>
      <c r="G542" s="4"/>
      <c r="H542" s="4"/>
      <c r="I542" s="4"/>
      <c r="J542" s="4"/>
      <c r="K542" s="4"/>
      <c r="L542" s="4"/>
      <c r="M542" s="4"/>
      <c r="N542" s="4"/>
      <c r="O542" s="4"/>
      <c r="P542" s="4"/>
      <c r="Q542" s="4"/>
      <c r="R542" s="4"/>
      <c r="S542" s="4"/>
      <c r="T542" s="4"/>
      <c r="U542" s="4"/>
      <c r="V542" s="4"/>
      <c r="W542" s="4"/>
    </row>
    <row r="543">
      <c r="A543" s="4"/>
      <c r="B543" s="69"/>
      <c r="C543" s="4"/>
      <c r="D543" s="4"/>
      <c r="E543" s="4"/>
      <c r="F543" s="4"/>
      <c r="G543" s="4"/>
      <c r="H543" s="4"/>
      <c r="I543" s="4"/>
      <c r="J543" s="4"/>
      <c r="K543" s="4"/>
      <c r="L543" s="4"/>
      <c r="M543" s="4"/>
      <c r="N543" s="4"/>
      <c r="O543" s="4"/>
      <c r="P543" s="4"/>
      <c r="Q543" s="4"/>
      <c r="R543" s="4"/>
      <c r="S543" s="4"/>
      <c r="T543" s="4"/>
      <c r="U543" s="4"/>
      <c r="V543" s="4"/>
      <c r="W543" s="4"/>
    </row>
    <row r="544">
      <c r="A544" s="4"/>
      <c r="B544" s="69"/>
      <c r="C544" s="4"/>
      <c r="D544" s="4"/>
      <c r="E544" s="4"/>
      <c r="F544" s="4"/>
      <c r="G544" s="4"/>
      <c r="H544" s="4"/>
      <c r="I544" s="4"/>
      <c r="J544" s="4"/>
      <c r="K544" s="4"/>
      <c r="L544" s="4"/>
      <c r="M544" s="4"/>
      <c r="N544" s="4"/>
      <c r="O544" s="4"/>
      <c r="P544" s="4"/>
      <c r="Q544" s="4"/>
      <c r="R544" s="4"/>
      <c r="S544" s="4"/>
      <c r="T544" s="4"/>
      <c r="U544" s="4"/>
      <c r="V544" s="4"/>
      <c r="W544" s="4"/>
    </row>
    <row r="545">
      <c r="A545" s="4"/>
      <c r="B545" s="69"/>
      <c r="C545" s="4"/>
      <c r="D545" s="4"/>
      <c r="E545" s="4"/>
      <c r="F545" s="4"/>
      <c r="G545" s="4"/>
      <c r="H545" s="4"/>
      <c r="I545" s="4"/>
      <c r="J545" s="4"/>
      <c r="K545" s="4"/>
      <c r="L545" s="4"/>
      <c r="M545" s="4"/>
      <c r="N545" s="4"/>
      <c r="O545" s="4"/>
      <c r="P545" s="4"/>
      <c r="Q545" s="4"/>
      <c r="R545" s="4"/>
      <c r="S545" s="4"/>
      <c r="T545" s="4"/>
      <c r="U545" s="4"/>
      <c r="V545" s="4"/>
      <c r="W545" s="4"/>
    </row>
    <row r="546">
      <c r="A546" s="4"/>
      <c r="B546" s="69"/>
      <c r="C546" s="4"/>
      <c r="D546" s="4"/>
      <c r="E546" s="4"/>
      <c r="F546" s="4"/>
      <c r="G546" s="4"/>
      <c r="H546" s="4"/>
      <c r="I546" s="4"/>
      <c r="J546" s="4"/>
      <c r="K546" s="4"/>
      <c r="L546" s="4"/>
      <c r="M546" s="4"/>
      <c r="N546" s="4"/>
      <c r="O546" s="4"/>
      <c r="P546" s="4"/>
      <c r="Q546" s="4"/>
      <c r="R546" s="4"/>
      <c r="S546" s="4"/>
      <c r="T546" s="4"/>
      <c r="U546" s="4"/>
      <c r="V546" s="4"/>
      <c r="W546" s="4"/>
    </row>
    <row r="547">
      <c r="A547" s="4"/>
      <c r="B547" s="69"/>
      <c r="C547" s="4"/>
      <c r="D547" s="4"/>
      <c r="E547" s="4"/>
      <c r="F547" s="4"/>
      <c r="G547" s="4"/>
      <c r="H547" s="4"/>
      <c r="I547" s="4"/>
      <c r="J547" s="4"/>
      <c r="K547" s="4"/>
      <c r="L547" s="4"/>
      <c r="M547" s="4"/>
      <c r="N547" s="4"/>
      <c r="O547" s="4"/>
      <c r="P547" s="4"/>
      <c r="Q547" s="4"/>
      <c r="R547" s="4"/>
      <c r="S547" s="4"/>
      <c r="T547" s="4"/>
      <c r="U547" s="4"/>
      <c r="V547" s="4"/>
      <c r="W547" s="4"/>
    </row>
    <row r="548">
      <c r="A548" s="4"/>
      <c r="B548" s="69"/>
      <c r="C548" s="4"/>
      <c r="D548" s="4"/>
      <c r="E548" s="4"/>
      <c r="F548" s="4"/>
      <c r="G548" s="4"/>
      <c r="H548" s="4"/>
      <c r="I548" s="4"/>
      <c r="J548" s="4"/>
      <c r="K548" s="4"/>
      <c r="L548" s="4"/>
      <c r="M548" s="4"/>
      <c r="N548" s="4"/>
      <c r="O548" s="4"/>
      <c r="P548" s="4"/>
      <c r="Q548" s="4"/>
      <c r="R548" s="4"/>
      <c r="S548" s="4"/>
      <c r="T548" s="4"/>
      <c r="U548" s="4"/>
      <c r="V548" s="4"/>
      <c r="W548" s="4"/>
    </row>
    <row r="549">
      <c r="A549" s="4"/>
      <c r="B549" s="69"/>
      <c r="C549" s="4"/>
      <c r="D549" s="4"/>
      <c r="E549" s="4"/>
      <c r="F549" s="4"/>
      <c r="G549" s="4"/>
      <c r="H549" s="4"/>
      <c r="I549" s="4"/>
      <c r="J549" s="4"/>
      <c r="K549" s="4"/>
      <c r="L549" s="4"/>
      <c r="M549" s="4"/>
      <c r="N549" s="4"/>
      <c r="O549" s="4"/>
      <c r="P549" s="4"/>
      <c r="Q549" s="4"/>
      <c r="R549" s="4"/>
      <c r="S549" s="4"/>
      <c r="T549" s="4"/>
      <c r="U549" s="4"/>
      <c r="V549" s="4"/>
      <c r="W549" s="4"/>
    </row>
    <row r="550">
      <c r="A550" s="4"/>
      <c r="B550" s="69"/>
      <c r="C550" s="4"/>
      <c r="D550" s="4"/>
      <c r="E550" s="4"/>
      <c r="F550" s="4"/>
      <c r="G550" s="4"/>
      <c r="H550" s="4"/>
      <c r="I550" s="4"/>
      <c r="J550" s="4"/>
      <c r="K550" s="4"/>
      <c r="L550" s="4"/>
      <c r="M550" s="4"/>
      <c r="N550" s="4"/>
      <c r="O550" s="4"/>
      <c r="P550" s="4"/>
      <c r="Q550" s="4"/>
      <c r="R550" s="4"/>
      <c r="S550" s="4"/>
      <c r="T550" s="4"/>
      <c r="U550" s="4"/>
      <c r="V550" s="4"/>
      <c r="W550" s="4"/>
    </row>
    <row r="551">
      <c r="A551" s="4"/>
      <c r="B551" s="69"/>
      <c r="C551" s="4"/>
      <c r="D551" s="4"/>
      <c r="E551" s="4"/>
      <c r="F551" s="4"/>
      <c r="G551" s="4"/>
      <c r="H551" s="4"/>
      <c r="I551" s="4"/>
      <c r="J551" s="4"/>
      <c r="K551" s="4"/>
      <c r="L551" s="4"/>
      <c r="M551" s="4"/>
      <c r="N551" s="4"/>
      <c r="O551" s="4"/>
      <c r="P551" s="4"/>
      <c r="Q551" s="4"/>
      <c r="R551" s="4"/>
      <c r="S551" s="4"/>
      <c r="T551" s="4"/>
      <c r="U551" s="4"/>
      <c r="V551" s="4"/>
      <c r="W551" s="4"/>
    </row>
    <row r="552">
      <c r="A552" s="4"/>
      <c r="B552" s="69"/>
      <c r="C552" s="4"/>
      <c r="D552" s="4"/>
      <c r="E552" s="4"/>
      <c r="F552" s="4"/>
      <c r="G552" s="4"/>
      <c r="H552" s="4"/>
      <c r="I552" s="4"/>
      <c r="J552" s="4"/>
      <c r="K552" s="4"/>
      <c r="L552" s="4"/>
      <c r="M552" s="4"/>
      <c r="N552" s="4"/>
      <c r="O552" s="4"/>
      <c r="P552" s="4"/>
      <c r="Q552" s="4"/>
      <c r="R552" s="4"/>
      <c r="S552" s="4"/>
      <c r="T552" s="4"/>
      <c r="U552" s="4"/>
      <c r="V552" s="4"/>
      <c r="W552" s="4"/>
    </row>
    <row r="553">
      <c r="A553" s="4"/>
      <c r="B553" s="69"/>
      <c r="C553" s="4"/>
      <c r="D553" s="4"/>
      <c r="E553" s="4"/>
      <c r="F553" s="4"/>
      <c r="G553" s="4"/>
      <c r="H553" s="4"/>
      <c r="I553" s="4"/>
      <c r="J553" s="4"/>
      <c r="K553" s="4"/>
      <c r="L553" s="4"/>
      <c r="M553" s="4"/>
      <c r="N553" s="4"/>
      <c r="O553" s="4"/>
      <c r="P553" s="4"/>
      <c r="Q553" s="4"/>
      <c r="R553" s="4"/>
      <c r="S553" s="4"/>
      <c r="T553" s="4"/>
      <c r="U553" s="4"/>
      <c r="V553" s="4"/>
      <c r="W553" s="4"/>
    </row>
    <row r="554">
      <c r="A554" s="4"/>
      <c r="B554" s="69"/>
      <c r="C554" s="4"/>
      <c r="D554" s="4"/>
      <c r="E554" s="4"/>
      <c r="F554" s="4"/>
      <c r="G554" s="4"/>
      <c r="H554" s="4"/>
      <c r="I554" s="4"/>
      <c r="J554" s="4"/>
      <c r="K554" s="4"/>
      <c r="L554" s="4"/>
      <c r="M554" s="4"/>
      <c r="N554" s="4"/>
      <c r="O554" s="4"/>
      <c r="P554" s="4"/>
      <c r="Q554" s="4"/>
      <c r="R554" s="4"/>
      <c r="S554" s="4"/>
      <c r="T554" s="4"/>
      <c r="U554" s="4"/>
      <c r="V554" s="4"/>
      <c r="W554" s="4"/>
    </row>
    <row r="555">
      <c r="A555" s="4"/>
      <c r="B555" s="69"/>
      <c r="C555" s="4"/>
      <c r="D555" s="4"/>
      <c r="E555" s="4"/>
      <c r="F555" s="4"/>
      <c r="G555" s="4"/>
      <c r="H555" s="4"/>
      <c r="I555" s="4"/>
      <c r="J555" s="4"/>
      <c r="K555" s="4"/>
      <c r="L555" s="4"/>
      <c r="M555" s="4"/>
      <c r="N555" s="4"/>
      <c r="O555" s="4"/>
      <c r="P555" s="4"/>
      <c r="Q555" s="4"/>
      <c r="R555" s="4"/>
      <c r="S555" s="4"/>
      <c r="T555" s="4"/>
      <c r="U555" s="4"/>
      <c r="V555" s="4"/>
      <c r="W555" s="4"/>
    </row>
    <row r="556">
      <c r="A556" s="4"/>
      <c r="B556" s="69"/>
      <c r="C556" s="4"/>
      <c r="D556" s="4"/>
      <c r="E556" s="4"/>
      <c r="F556" s="4"/>
      <c r="G556" s="4"/>
      <c r="H556" s="4"/>
      <c r="I556" s="4"/>
      <c r="J556" s="4"/>
      <c r="K556" s="4"/>
      <c r="L556" s="4"/>
      <c r="M556" s="4"/>
      <c r="N556" s="4"/>
      <c r="O556" s="4"/>
      <c r="P556" s="4"/>
      <c r="Q556" s="4"/>
      <c r="R556" s="4"/>
      <c r="S556" s="4"/>
      <c r="T556" s="4"/>
      <c r="U556" s="4"/>
      <c r="V556" s="4"/>
      <c r="W556" s="4"/>
    </row>
    <row r="557">
      <c r="A557" s="4"/>
      <c r="B557" s="69"/>
      <c r="C557" s="4"/>
      <c r="D557" s="4"/>
      <c r="E557" s="4"/>
      <c r="F557" s="4"/>
      <c r="G557" s="4"/>
      <c r="H557" s="4"/>
      <c r="I557" s="4"/>
      <c r="J557" s="4"/>
      <c r="K557" s="4"/>
      <c r="L557" s="4"/>
      <c r="M557" s="4"/>
      <c r="N557" s="4"/>
      <c r="O557" s="4"/>
      <c r="P557" s="4"/>
      <c r="Q557" s="4"/>
      <c r="R557" s="4"/>
      <c r="S557" s="4"/>
      <c r="T557" s="4"/>
      <c r="U557" s="4"/>
      <c r="V557" s="4"/>
      <c r="W557" s="4"/>
    </row>
    <row r="558">
      <c r="A558" s="4"/>
      <c r="B558" s="69"/>
      <c r="C558" s="4"/>
      <c r="D558" s="4"/>
      <c r="E558" s="4"/>
      <c r="F558" s="4"/>
      <c r="G558" s="4"/>
      <c r="H558" s="4"/>
      <c r="I558" s="4"/>
      <c r="J558" s="4"/>
      <c r="K558" s="4"/>
      <c r="L558" s="4"/>
      <c r="M558" s="4"/>
      <c r="N558" s="4"/>
      <c r="O558" s="4"/>
      <c r="P558" s="4"/>
      <c r="Q558" s="4"/>
      <c r="R558" s="4"/>
      <c r="S558" s="4"/>
      <c r="T558" s="4"/>
      <c r="U558" s="4"/>
      <c r="V558" s="4"/>
      <c r="W558" s="4"/>
    </row>
    <row r="559">
      <c r="A559" s="4"/>
      <c r="B559" s="69"/>
      <c r="C559" s="4"/>
      <c r="D559" s="4"/>
      <c r="E559" s="4"/>
      <c r="F559" s="4"/>
      <c r="G559" s="4"/>
      <c r="H559" s="4"/>
      <c r="I559" s="4"/>
      <c r="J559" s="4"/>
      <c r="K559" s="4"/>
      <c r="L559" s="4"/>
      <c r="M559" s="4"/>
      <c r="N559" s="4"/>
      <c r="O559" s="4"/>
      <c r="P559" s="4"/>
      <c r="Q559" s="4"/>
      <c r="R559" s="4"/>
      <c r="S559" s="4"/>
      <c r="T559" s="4"/>
      <c r="U559" s="4"/>
      <c r="V559" s="4"/>
      <c r="W559" s="4"/>
    </row>
    <row r="560">
      <c r="A560" s="4"/>
      <c r="B560" s="69"/>
      <c r="C560" s="4"/>
      <c r="D560" s="4"/>
      <c r="E560" s="4"/>
      <c r="F560" s="4"/>
      <c r="G560" s="4"/>
      <c r="H560" s="4"/>
      <c r="I560" s="4"/>
      <c r="J560" s="4"/>
      <c r="K560" s="4"/>
      <c r="L560" s="4"/>
      <c r="M560" s="4"/>
      <c r="N560" s="4"/>
      <c r="O560" s="4"/>
      <c r="P560" s="4"/>
      <c r="Q560" s="4"/>
      <c r="R560" s="4"/>
      <c r="S560" s="4"/>
      <c r="T560" s="4"/>
      <c r="U560" s="4"/>
      <c r="V560" s="4"/>
      <c r="W560" s="4"/>
    </row>
    <row r="561">
      <c r="A561" s="4"/>
      <c r="B561" s="69"/>
      <c r="C561" s="4"/>
      <c r="D561" s="4"/>
      <c r="E561" s="4"/>
      <c r="F561" s="4"/>
      <c r="G561" s="4"/>
      <c r="H561" s="4"/>
      <c r="I561" s="4"/>
      <c r="J561" s="4"/>
      <c r="K561" s="4"/>
      <c r="L561" s="4"/>
      <c r="M561" s="4"/>
      <c r="N561" s="4"/>
      <c r="O561" s="4"/>
      <c r="P561" s="4"/>
      <c r="Q561" s="4"/>
      <c r="R561" s="4"/>
      <c r="S561" s="4"/>
      <c r="T561" s="4"/>
      <c r="U561" s="4"/>
      <c r="V561" s="4"/>
      <c r="W561" s="4"/>
    </row>
    <row r="562">
      <c r="A562" s="4"/>
      <c r="B562" s="69"/>
      <c r="C562" s="4"/>
      <c r="D562" s="4"/>
      <c r="E562" s="4"/>
      <c r="F562" s="4"/>
      <c r="G562" s="4"/>
      <c r="H562" s="4"/>
      <c r="I562" s="4"/>
      <c r="J562" s="4"/>
      <c r="K562" s="4"/>
      <c r="L562" s="4"/>
      <c r="M562" s="4"/>
      <c r="N562" s="4"/>
      <c r="O562" s="4"/>
      <c r="P562" s="4"/>
      <c r="Q562" s="4"/>
      <c r="R562" s="4"/>
      <c r="S562" s="4"/>
      <c r="T562" s="4"/>
      <c r="U562" s="4"/>
      <c r="V562" s="4"/>
      <c r="W562" s="4"/>
    </row>
    <row r="563">
      <c r="A563" s="4"/>
      <c r="B563" s="69"/>
      <c r="C563" s="4"/>
      <c r="D563" s="4"/>
      <c r="E563" s="4"/>
      <c r="F563" s="4"/>
      <c r="G563" s="4"/>
      <c r="H563" s="4"/>
      <c r="I563" s="4"/>
      <c r="J563" s="4"/>
      <c r="K563" s="4"/>
      <c r="L563" s="4"/>
      <c r="M563" s="4"/>
      <c r="N563" s="4"/>
      <c r="O563" s="4"/>
      <c r="P563" s="4"/>
      <c r="Q563" s="4"/>
      <c r="R563" s="4"/>
      <c r="S563" s="4"/>
      <c r="T563" s="4"/>
      <c r="U563" s="4"/>
      <c r="V563" s="4"/>
      <c r="W563" s="4"/>
    </row>
    <row r="564">
      <c r="A564" s="4"/>
      <c r="B564" s="69"/>
      <c r="C564" s="4"/>
      <c r="D564" s="4"/>
      <c r="E564" s="4"/>
      <c r="F564" s="4"/>
      <c r="G564" s="4"/>
      <c r="H564" s="4"/>
      <c r="I564" s="4"/>
      <c r="J564" s="4"/>
      <c r="K564" s="4"/>
      <c r="L564" s="4"/>
      <c r="M564" s="4"/>
      <c r="N564" s="4"/>
      <c r="O564" s="4"/>
      <c r="P564" s="4"/>
      <c r="Q564" s="4"/>
      <c r="R564" s="4"/>
      <c r="S564" s="4"/>
      <c r="T564" s="4"/>
      <c r="U564" s="4"/>
      <c r="V564" s="4"/>
      <c r="W564" s="4"/>
    </row>
    <row r="565">
      <c r="A565" s="4"/>
      <c r="B565" s="69"/>
      <c r="C565" s="4"/>
      <c r="D565" s="4"/>
      <c r="E565" s="4"/>
      <c r="F565" s="4"/>
      <c r="G565" s="4"/>
      <c r="H565" s="4"/>
      <c r="I565" s="4"/>
      <c r="J565" s="4"/>
      <c r="K565" s="4"/>
      <c r="L565" s="4"/>
      <c r="M565" s="4"/>
      <c r="N565" s="4"/>
      <c r="O565" s="4"/>
      <c r="P565" s="4"/>
      <c r="Q565" s="4"/>
      <c r="R565" s="4"/>
      <c r="S565" s="4"/>
      <c r="T565" s="4"/>
      <c r="U565" s="4"/>
      <c r="V565" s="4"/>
      <c r="W565" s="4"/>
    </row>
    <row r="566">
      <c r="A566" s="4"/>
      <c r="B566" s="69"/>
      <c r="C566" s="4"/>
      <c r="D566" s="4"/>
      <c r="E566" s="4"/>
      <c r="F566" s="4"/>
      <c r="G566" s="4"/>
      <c r="H566" s="4"/>
      <c r="I566" s="4"/>
      <c r="J566" s="4"/>
      <c r="K566" s="4"/>
      <c r="L566" s="4"/>
      <c r="M566" s="4"/>
      <c r="N566" s="4"/>
      <c r="O566" s="4"/>
      <c r="P566" s="4"/>
      <c r="Q566" s="4"/>
      <c r="R566" s="4"/>
      <c r="S566" s="4"/>
      <c r="T566" s="4"/>
      <c r="U566" s="4"/>
      <c r="V566" s="4"/>
      <c r="W566" s="4"/>
    </row>
    <row r="567">
      <c r="A567" s="4"/>
      <c r="B567" s="69"/>
      <c r="C567" s="4"/>
      <c r="D567" s="4"/>
      <c r="E567" s="4"/>
      <c r="F567" s="4"/>
      <c r="G567" s="4"/>
      <c r="H567" s="4"/>
      <c r="I567" s="4"/>
      <c r="J567" s="4"/>
      <c r="K567" s="4"/>
      <c r="L567" s="4"/>
      <c r="M567" s="4"/>
      <c r="N567" s="4"/>
      <c r="O567" s="4"/>
      <c r="P567" s="4"/>
      <c r="Q567" s="4"/>
      <c r="R567" s="4"/>
      <c r="S567" s="4"/>
      <c r="T567" s="4"/>
      <c r="U567" s="4"/>
      <c r="V567" s="4"/>
      <c r="W567" s="4"/>
    </row>
    <row r="568">
      <c r="A568" s="4"/>
      <c r="B568" s="69"/>
      <c r="C568" s="4"/>
      <c r="D568" s="4"/>
      <c r="E568" s="4"/>
      <c r="F568" s="4"/>
      <c r="G568" s="4"/>
      <c r="H568" s="4"/>
      <c r="I568" s="4"/>
      <c r="J568" s="4"/>
      <c r="K568" s="4"/>
      <c r="L568" s="4"/>
      <c r="M568" s="4"/>
      <c r="N568" s="4"/>
      <c r="O568" s="4"/>
      <c r="P568" s="4"/>
      <c r="Q568" s="4"/>
      <c r="R568" s="4"/>
      <c r="S568" s="4"/>
      <c r="T568" s="4"/>
      <c r="U568" s="4"/>
      <c r="V568" s="4"/>
      <c r="W568" s="4"/>
    </row>
    <row r="569">
      <c r="A569" s="4"/>
      <c r="B569" s="69"/>
      <c r="C569" s="4"/>
      <c r="D569" s="4"/>
      <c r="E569" s="4"/>
      <c r="F569" s="4"/>
      <c r="G569" s="4"/>
      <c r="H569" s="4"/>
      <c r="I569" s="4"/>
      <c r="J569" s="4"/>
      <c r="K569" s="4"/>
      <c r="L569" s="4"/>
      <c r="M569" s="4"/>
      <c r="N569" s="4"/>
      <c r="O569" s="4"/>
      <c r="P569" s="4"/>
      <c r="Q569" s="4"/>
      <c r="R569" s="4"/>
      <c r="S569" s="4"/>
      <c r="T569" s="4"/>
      <c r="U569" s="4"/>
      <c r="V569" s="4"/>
      <c r="W569" s="4"/>
    </row>
    <row r="570">
      <c r="A570" s="4"/>
      <c r="B570" s="69"/>
      <c r="C570" s="4"/>
      <c r="D570" s="4"/>
      <c r="E570" s="4"/>
      <c r="F570" s="4"/>
      <c r="G570" s="4"/>
      <c r="H570" s="4"/>
      <c r="I570" s="4"/>
      <c r="J570" s="4"/>
      <c r="K570" s="4"/>
      <c r="L570" s="4"/>
      <c r="M570" s="4"/>
      <c r="N570" s="4"/>
      <c r="O570" s="4"/>
      <c r="P570" s="4"/>
      <c r="Q570" s="4"/>
      <c r="R570" s="4"/>
      <c r="S570" s="4"/>
      <c r="T570" s="4"/>
      <c r="U570" s="4"/>
      <c r="V570" s="4"/>
      <c r="W570" s="4"/>
    </row>
    <row r="571">
      <c r="A571" s="4"/>
      <c r="B571" s="69"/>
      <c r="C571" s="4"/>
      <c r="D571" s="4"/>
      <c r="E571" s="4"/>
      <c r="F571" s="4"/>
      <c r="G571" s="4"/>
      <c r="H571" s="4"/>
      <c r="I571" s="4"/>
      <c r="J571" s="4"/>
      <c r="K571" s="4"/>
      <c r="L571" s="4"/>
      <c r="M571" s="4"/>
      <c r="N571" s="4"/>
      <c r="O571" s="4"/>
      <c r="P571" s="4"/>
      <c r="Q571" s="4"/>
      <c r="R571" s="4"/>
      <c r="S571" s="4"/>
      <c r="T571" s="4"/>
      <c r="U571" s="4"/>
      <c r="V571" s="4"/>
      <c r="W571" s="4"/>
    </row>
    <row r="572">
      <c r="A572" s="4"/>
      <c r="B572" s="69"/>
      <c r="C572" s="4"/>
      <c r="D572" s="4"/>
      <c r="E572" s="4"/>
      <c r="F572" s="4"/>
      <c r="G572" s="4"/>
      <c r="H572" s="4"/>
      <c r="I572" s="4"/>
      <c r="J572" s="4"/>
      <c r="K572" s="4"/>
      <c r="L572" s="4"/>
      <c r="M572" s="4"/>
      <c r="N572" s="4"/>
      <c r="O572" s="4"/>
      <c r="P572" s="4"/>
      <c r="Q572" s="4"/>
      <c r="R572" s="4"/>
      <c r="S572" s="4"/>
      <c r="T572" s="4"/>
      <c r="U572" s="4"/>
      <c r="V572" s="4"/>
      <c r="W572" s="4"/>
    </row>
    <row r="573">
      <c r="A573" s="4"/>
      <c r="B573" s="69"/>
      <c r="C573" s="4"/>
      <c r="D573" s="4"/>
      <c r="E573" s="4"/>
      <c r="F573" s="4"/>
      <c r="G573" s="4"/>
      <c r="H573" s="4"/>
      <c r="I573" s="4"/>
      <c r="J573" s="4"/>
      <c r="K573" s="4"/>
      <c r="L573" s="4"/>
      <c r="M573" s="4"/>
      <c r="N573" s="4"/>
      <c r="O573" s="4"/>
      <c r="P573" s="4"/>
      <c r="Q573" s="4"/>
      <c r="R573" s="4"/>
      <c r="S573" s="4"/>
      <c r="T573" s="4"/>
      <c r="U573" s="4"/>
      <c r="V573" s="4"/>
      <c r="W573" s="4"/>
    </row>
    <row r="574">
      <c r="A574" s="4"/>
      <c r="B574" s="69"/>
      <c r="C574" s="4"/>
      <c r="D574" s="4"/>
      <c r="E574" s="4"/>
      <c r="F574" s="4"/>
      <c r="G574" s="4"/>
      <c r="H574" s="4"/>
      <c r="I574" s="4"/>
      <c r="J574" s="4"/>
      <c r="K574" s="4"/>
      <c r="L574" s="4"/>
      <c r="M574" s="4"/>
      <c r="N574" s="4"/>
      <c r="O574" s="4"/>
      <c r="P574" s="4"/>
      <c r="Q574" s="4"/>
      <c r="R574" s="4"/>
      <c r="S574" s="4"/>
      <c r="T574" s="4"/>
      <c r="U574" s="4"/>
      <c r="V574" s="4"/>
      <c r="W574" s="4"/>
    </row>
    <row r="575">
      <c r="A575" s="4"/>
      <c r="B575" s="69"/>
      <c r="C575" s="4"/>
      <c r="D575" s="4"/>
      <c r="E575" s="4"/>
      <c r="F575" s="4"/>
      <c r="G575" s="4"/>
      <c r="H575" s="4"/>
      <c r="I575" s="4"/>
      <c r="J575" s="4"/>
      <c r="K575" s="4"/>
      <c r="L575" s="4"/>
      <c r="M575" s="4"/>
      <c r="N575" s="4"/>
      <c r="O575" s="4"/>
      <c r="P575" s="4"/>
      <c r="Q575" s="4"/>
      <c r="R575" s="4"/>
      <c r="S575" s="4"/>
      <c r="T575" s="4"/>
      <c r="U575" s="4"/>
      <c r="V575" s="4"/>
      <c r="W575" s="4"/>
    </row>
    <row r="576">
      <c r="A576" s="4"/>
      <c r="B576" s="69"/>
      <c r="C576" s="4"/>
      <c r="D576" s="4"/>
      <c r="E576" s="4"/>
      <c r="F576" s="4"/>
      <c r="G576" s="4"/>
      <c r="H576" s="4"/>
      <c r="I576" s="4"/>
      <c r="J576" s="4"/>
      <c r="K576" s="4"/>
      <c r="L576" s="4"/>
      <c r="M576" s="4"/>
      <c r="N576" s="4"/>
      <c r="O576" s="4"/>
      <c r="P576" s="4"/>
      <c r="Q576" s="4"/>
      <c r="R576" s="4"/>
      <c r="S576" s="4"/>
      <c r="T576" s="4"/>
      <c r="U576" s="4"/>
      <c r="V576" s="4"/>
      <c r="W576" s="4"/>
    </row>
    <row r="577">
      <c r="A577" s="4"/>
      <c r="B577" s="69"/>
      <c r="C577" s="4"/>
      <c r="D577" s="4"/>
      <c r="E577" s="4"/>
      <c r="F577" s="4"/>
      <c r="G577" s="4"/>
      <c r="H577" s="4"/>
      <c r="I577" s="4"/>
      <c r="J577" s="4"/>
      <c r="K577" s="4"/>
      <c r="L577" s="4"/>
      <c r="M577" s="4"/>
      <c r="N577" s="4"/>
      <c r="O577" s="4"/>
      <c r="P577" s="4"/>
      <c r="Q577" s="4"/>
      <c r="R577" s="4"/>
      <c r="S577" s="4"/>
      <c r="T577" s="4"/>
      <c r="U577" s="4"/>
      <c r="V577" s="4"/>
      <c r="W577" s="4"/>
    </row>
    <row r="578">
      <c r="A578" s="4"/>
      <c r="B578" s="69"/>
      <c r="C578" s="4"/>
      <c r="D578" s="4"/>
      <c r="E578" s="4"/>
      <c r="F578" s="4"/>
      <c r="G578" s="4"/>
      <c r="H578" s="4"/>
      <c r="I578" s="4"/>
      <c r="J578" s="4"/>
      <c r="K578" s="4"/>
      <c r="L578" s="4"/>
      <c r="M578" s="4"/>
      <c r="N578" s="4"/>
      <c r="O578" s="4"/>
      <c r="P578" s="4"/>
      <c r="Q578" s="4"/>
      <c r="R578" s="4"/>
      <c r="S578" s="4"/>
      <c r="T578" s="4"/>
      <c r="U578" s="4"/>
      <c r="V578" s="4"/>
      <c r="W578" s="4"/>
    </row>
    <row r="579">
      <c r="A579" s="4"/>
      <c r="B579" s="69"/>
      <c r="C579" s="4"/>
      <c r="D579" s="4"/>
      <c r="E579" s="4"/>
      <c r="F579" s="4"/>
      <c r="G579" s="4"/>
      <c r="H579" s="4"/>
      <c r="I579" s="4"/>
      <c r="J579" s="4"/>
      <c r="K579" s="4"/>
      <c r="L579" s="4"/>
      <c r="M579" s="4"/>
      <c r="N579" s="4"/>
      <c r="O579" s="4"/>
      <c r="P579" s="4"/>
      <c r="Q579" s="4"/>
      <c r="R579" s="4"/>
      <c r="S579" s="4"/>
      <c r="T579" s="4"/>
      <c r="U579" s="4"/>
      <c r="V579" s="4"/>
      <c r="W579" s="4"/>
    </row>
    <row r="580">
      <c r="A580" s="4"/>
      <c r="B580" s="69"/>
      <c r="C580" s="4"/>
      <c r="D580" s="4"/>
      <c r="E580" s="4"/>
      <c r="F580" s="4"/>
      <c r="G580" s="4"/>
      <c r="H580" s="4"/>
      <c r="I580" s="4"/>
      <c r="J580" s="4"/>
      <c r="K580" s="4"/>
      <c r="L580" s="4"/>
      <c r="M580" s="4"/>
      <c r="N580" s="4"/>
      <c r="O580" s="4"/>
      <c r="P580" s="4"/>
      <c r="Q580" s="4"/>
      <c r="R580" s="4"/>
      <c r="S580" s="4"/>
      <c r="T580" s="4"/>
      <c r="U580" s="4"/>
      <c r="V580" s="4"/>
      <c r="W580" s="4"/>
    </row>
    <row r="581">
      <c r="A581" s="4"/>
      <c r="B581" s="69"/>
      <c r="C581" s="4"/>
      <c r="D581" s="4"/>
      <c r="E581" s="4"/>
      <c r="F581" s="4"/>
      <c r="G581" s="4"/>
      <c r="H581" s="4"/>
      <c r="I581" s="4"/>
      <c r="J581" s="4"/>
      <c r="K581" s="4"/>
      <c r="L581" s="4"/>
      <c r="M581" s="4"/>
      <c r="N581" s="4"/>
      <c r="O581" s="4"/>
      <c r="P581" s="4"/>
      <c r="Q581" s="4"/>
      <c r="R581" s="4"/>
      <c r="S581" s="4"/>
      <c r="T581" s="4"/>
      <c r="U581" s="4"/>
      <c r="V581" s="4"/>
      <c r="W581" s="4"/>
    </row>
    <row r="582">
      <c r="A582" s="4"/>
      <c r="B582" s="69"/>
      <c r="C582" s="4"/>
      <c r="D582" s="4"/>
      <c r="E582" s="4"/>
      <c r="F582" s="4"/>
      <c r="G582" s="4"/>
      <c r="H582" s="4"/>
      <c r="I582" s="4"/>
      <c r="J582" s="4"/>
      <c r="K582" s="4"/>
      <c r="L582" s="4"/>
      <c r="M582" s="4"/>
      <c r="N582" s="4"/>
      <c r="O582" s="4"/>
      <c r="P582" s="4"/>
      <c r="Q582" s="4"/>
      <c r="R582" s="4"/>
      <c r="S582" s="4"/>
      <c r="T582" s="4"/>
      <c r="U582" s="4"/>
      <c r="V582" s="4"/>
      <c r="W582" s="4"/>
    </row>
    <row r="583">
      <c r="A583" s="4"/>
      <c r="B583" s="69"/>
      <c r="C583" s="4"/>
      <c r="D583" s="4"/>
      <c r="E583" s="4"/>
      <c r="F583" s="4"/>
      <c r="G583" s="4"/>
      <c r="H583" s="4"/>
      <c r="I583" s="4"/>
      <c r="J583" s="4"/>
      <c r="K583" s="4"/>
      <c r="L583" s="4"/>
      <c r="M583" s="4"/>
      <c r="N583" s="4"/>
      <c r="O583" s="4"/>
      <c r="P583" s="4"/>
      <c r="Q583" s="4"/>
      <c r="R583" s="4"/>
      <c r="S583" s="4"/>
      <c r="T583" s="4"/>
      <c r="U583" s="4"/>
      <c r="V583" s="4"/>
      <c r="W583" s="4"/>
    </row>
    <row r="584">
      <c r="A584" s="4"/>
      <c r="B584" s="69"/>
      <c r="C584" s="4"/>
      <c r="D584" s="4"/>
      <c r="E584" s="4"/>
      <c r="F584" s="4"/>
      <c r="G584" s="4"/>
      <c r="H584" s="4"/>
      <c r="I584" s="4"/>
      <c r="J584" s="4"/>
      <c r="K584" s="4"/>
      <c r="L584" s="4"/>
      <c r="M584" s="4"/>
      <c r="N584" s="4"/>
      <c r="O584" s="4"/>
      <c r="P584" s="4"/>
      <c r="Q584" s="4"/>
      <c r="R584" s="4"/>
      <c r="S584" s="4"/>
      <c r="T584" s="4"/>
      <c r="U584" s="4"/>
      <c r="V584" s="4"/>
      <c r="W584" s="4"/>
    </row>
    <row r="585">
      <c r="A585" s="4"/>
      <c r="B585" s="69"/>
      <c r="C585" s="4"/>
      <c r="D585" s="4"/>
      <c r="E585" s="4"/>
      <c r="F585" s="4"/>
      <c r="G585" s="4"/>
      <c r="H585" s="4"/>
      <c r="I585" s="4"/>
      <c r="J585" s="4"/>
      <c r="K585" s="4"/>
      <c r="L585" s="4"/>
      <c r="M585" s="4"/>
      <c r="N585" s="4"/>
      <c r="O585" s="4"/>
      <c r="P585" s="4"/>
      <c r="Q585" s="4"/>
      <c r="R585" s="4"/>
      <c r="S585" s="4"/>
      <c r="T585" s="4"/>
      <c r="U585" s="4"/>
      <c r="V585" s="4"/>
      <c r="W585" s="4"/>
    </row>
    <row r="586">
      <c r="A586" s="4"/>
      <c r="B586" s="69"/>
      <c r="C586" s="4"/>
      <c r="D586" s="4"/>
      <c r="E586" s="4"/>
      <c r="F586" s="4"/>
      <c r="G586" s="4"/>
      <c r="H586" s="4"/>
      <c r="I586" s="4"/>
      <c r="J586" s="4"/>
      <c r="K586" s="4"/>
      <c r="L586" s="4"/>
      <c r="M586" s="4"/>
      <c r="N586" s="4"/>
      <c r="O586" s="4"/>
      <c r="P586" s="4"/>
      <c r="Q586" s="4"/>
      <c r="R586" s="4"/>
      <c r="S586" s="4"/>
      <c r="T586" s="4"/>
      <c r="U586" s="4"/>
      <c r="V586" s="4"/>
      <c r="W586" s="4"/>
    </row>
    <row r="587">
      <c r="A587" s="4"/>
      <c r="B587" s="69"/>
      <c r="C587" s="4"/>
      <c r="D587" s="4"/>
      <c r="E587" s="4"/>
      <c r="F587" s="4"/>
      <c r="G587" s="4"/>
      <c r="H587" s="4"/>
      <c r="I587" s="4"/>
      <c r="J587" s="4"/>
      <c r="K587" s="4"/>
      <c r="L587" s="4"/>
      <c r="M587" s="4"/>
      <c r="N587" s="4"/>
      <c r="O587" s="4"/>
      <c r="P587" s="4"/>
      <c r="Q587" s="4"/>
      <c r="R587" s="4"/>
      <c r="S587" s="4"/>
      <c r="T587" s="4"/>
      <c r="U587" s="4"/>
      <c r="V587" s="4"/>
      <c r="W587" s="4"/>
    </row>
    <row r="588">
      <c r="A588" s="4"/>
      <c r="B588" s="69"/>
      <c r="C588" s="4"/>
      <c r="D588" s="4"/>
      <c r="E588" s="4"/>
      <c r="F588" s="4"/>
      <c r="G588" s="4"/>
      <c r="H588" s="4"/>
      <c r="I588" s="4"/>
      <c r="J588" s="4"/>
      <c r="K588" s="4"/>
      <c r="L588" s="4"/>
      <c r="M588" s="4"/>
      <c r="N588" s="4"/>
      <c r="O588" s="4"/>
      <c r="P588" s="4"/>
      <c r="Q588" s="4"/>
      <c r="R588" s="4"/>
      <c r="S588" s="4"/>
      <c r="T588" s="4"/>
      <c r="U588" s="4"/>
      <c r="V588" s="4"/>
      <c r="W588" s="4"/>
    </row>
    <row r="589">
      <c r="A589" s="4"/>
      <c r="B589" s="69"/>
      <c r="C589" s="4"/>
      <c r="D589" s="4"/>
      <c r="E589" s="4"/>
      <c r="F589" s="4"/>
      <c r="G589" s="4"/>
      <c r="H589" s="4"/>
      <c r="I589" s="4"/>
      <c r="J589" s="4"/>
      <c r="K589" s="4"/>
      <c r="L589" s="4"/>
      <c r="M589" s="4"/>
      <c r="N589" s="4"/>
      <c r="O589" s="4"/>
      <c r="P589" s="4"/>
      <c r="Q589" s="4"/>
      <c r="R589" s="4"/>
      <c r="S589" s="4"/>
      <c r="T589" s="4"/>
      <c r="U589" s="4"/>
      <c r="V589" s="4"/>
      <c r="W589" s="4"/>
    </row>
    <row r="590">
      <c r="A590" s="4"/>
      <c r="B590" s="69"/>
      <c r="C590" s="4"/>
      <c r="D590" s="4"/>
      <c r="E590" s="4"/>
      <c r="F590" s="4"/>
      <c r="G590" s="4"/>
      <c r="H590" s="4"/>
      <c r="I590" s="4"/>
      <c r="J590" s="4"/>
      <c r="K590" s="4"/>
      <c r="L590" s="4"/>
      <c r="M590" s="4"/>
      <c r="N590" s="4"/>
      <c r="O590" s="4"/>
      <c r="P590" s="4"/>
      <c r="Q590" s="4"/>
      <c r="R590" s="4"/>
      <c r="S590" s="4"/>
      <c r="T590" s="4"/>
      <c r="U590" s="4"/>
      <c r="V590" s="4"/>
      <c r="W590" s="4"/>
    </row>
    <row r="591">
      <c r="A591" s="4"/>
      <c r="B591" s="69"/>
      <c r="C591" s="4"/>
      <c r="D591" s="4"/>
      <c r="E591" s="4"/>
      <c r="F591" s="4"/>
      <c r="G591" s="4"/>
      <c r="H591" s="4"/>
      <c r="I591" s="4"/>
      <c r="J591" s="4"/>
      <c r="K591" s="4"/>
      <c r="L591" s="4"/>
      <c r="M591" s="4"/>
      <c r="N591" s="4"/>
      <c r="O591" s="4"/>
      <c r="P591" s="4"/>
      <c r="Q591" s="4"/>
      <c r="R591" s="4"/>
      <c r="S591" s="4"/>
      <c r="T591" s="4"/>
      <c r="U591" s="4"/>
      <c r="V591" s="4"/>
      <c r="W591" s="4"/>
    </row>
    <row r="592">
      <c r="A592" s="4"/>
      <c r="B592" s="69"/>
      <c r="C592" s="4"/>
      <c r="D592" s="4"/>
      <c r="E592" s="4"/>
      <c r="F592" s="4"/>
      <c r="G592" s="4"/>
      <c r="H592" s="4"/>
      <c r="I592" s="4"/>
      <c r="J592" s="4"/>
      <c r="K592" s="4"/>
      <c r="L592" s="4"/>
      <c r="M592" s="4"/>
      <c r="N592" s="4"/>
      <c r="O592" s="4"/>
      <c r="P592" s="4"/>
      <c r="Q592" s="4"/>
      <c r="R592" s="4"/>
      <c r="S592" s="4"/>
      <c r="T592" s="4"/>
      <c r="U592" s="4"/>
      <c r="V592" s="4"/>
      <c r="W592" s="4"/>
    </row>
    <row r="593">
      <c r="A593" s="4"/>
      <c r="B593" s="69"/>
      <c r="C593" s="4"/>
      <c r="D593" s="4"/>
      <c r="E593" s="4"/>
      <c r="F593" s="4"/>
      <c r="G593" s="4"/>
      <c r="H593" s="4"/>
      <c r="I593" s="4"/>
      <c r="J593" s="4"/>
      <c r="K593" s="4"/>
      <c r="L593" s="4"/>
      <c r="M593" s="4"/>
      <c r="N593" s="4"/>
      <c r="O593" s="4"/>
      <c r="P593" s="4"/>
      <c r="Q593" s="4"/>
      <c r="R593" s="4"/>
      <c r="S593" s="4"/>
      <c r="T593" s="4"/>
      <c r="U593" s="4"/>
      <c r="V593" s="4"/>
      <c r="W593" s="4"/>
    </row>
    <row r="594">
      <c r="A594" s="4"/>
      <c r="B594" s="69"/>
      <c r="C594" s="4"/>
      <c r="D594" s="4"/>
      <c r="E594" s="4"/>
      <c r="F594" s="4"/>
      <c r="G594" s="4"/>
      <c r="H594" s="4"/>
      <c r="I594" s="4"/>
      <c r="J594" s="4"/>
      <c r="K594" s="4"/>
      <c r="L594" s="4"/>
      <c r="M594" s="4"/>
      <c r="N594" s="4"/>
      <c r="O594" s="4"/>
      <c r="P594" s="4"/>
      <c r="Q594" s="4"/>
      <c r="R594" s="4"/>
      <c r="S594" s="4"/>
      <c r="T594" s="4"/>
      <c r="U594" s="4"/>
      <c r="V594" s="4"/>
      <c r="W594" s="4"/>
    </row>
    <row r="595">
      <c r="A595" s="4"/>
      <c r="B595" s="69"/>
      <c r="C595" s="4"/>
      <c r="D595" s="4"/>
      <c r="E595" s="4"/>
      <c r="F595" s="4"/>
      <c r="G595" s="4"/>
      <c r="H595" s="4"/>
      <c r="I595" s="4"/>
      <c r="J595" s="4"/>
      <c r="K595" s="4"/>
      <c r="L595" s="4"/>
      <c r="M595" s="4"/>
      <c r="N595" s="4"/>
      <c r="O595" s="4"/>
      <c r="P595" s="4"/>
      <c r="Q595" s="4"/>
      <c r="R595" s="4"/>
      <c r="S595" s="4"/>
      <c r="T595" s="4"/>
      <c r="U595" s="4"/>
      <c r="V595" s="4"/>
      <c r="W595" s="4"/>
    </row>
    <row r="596">
      <c r="A596" s="4"/>
      <c r="B596" s="69"/>
      <c r="C596" s="4"/>
      <c r="D596" s="4"/>
      <c r="E596" s="4"/>
      <c r="F596" s="4"/>
      <c r="G596" s="4"/>
      <c r="H596" s="4"/>
      <c r="I596" s="4"/>
      <c r="J596" s="4"/>
      <c r="K596" s="4"/>
      <c r="L596" s="4"/>
      <c r="M596" s="4"/>
      <c r="N596" s="4"/>
      <c r="O596" s="4"/>
      <c r="P596" s="4"/>
      <c r="Q596" s="4"/>
      <c r="R596" s="4"/>
      <c r="S596" s="4"/>
      <c r="T596" s="4"/>
      <c r="U596" s="4"/>
      <c r="V596" s="4"/>
      <c r="W596" s="4"/>
    </row>
    <row r="597">
      <c r="A597" s="4"/>
      <c r="B597" s="69"/>
      <c r="C597" s="4"/>
      <c r="D597" s="4"/>
      <c r="E597" s="4"/>
      <c r="F597" s="4"/>
      <c r="G597" s="4"/>
      <c r="H597" s="4"/>
      <c r="I597" s="4"/>
      <c r="J597" s="4"/>
      <c r="K597" s="4"/>
      <c r="L597" s="4"/>
      <c r="M597" s="4"/>
      <c r="N597" s="4"/>
      <c r="O597" s="4"/>
      <c r="P597" s="4"/>
      <c r="Q597" s="4"/>
      <c r="R597" s="4"/>
      <c r="S597" s="4"/>
      <c r="T597" s="4"/>
      <c r="U597" s="4"/>
      <c r="V597" s="4"/>
      <c r="W597" s="4"/>
    </row>
    <row r="598">
      <c r="A598" s="4"/>
      <c r="B598" s="69"/>
      <c r="C598" s="4"/>
      <c r="D598" s="4"/>
      <c r="E598" s="4"/>
      <c r="F598" s="4"/>
      <c r="G598" s="4"/>
      <c r="H598" s="4"/>
      <c r="I598" s="4"/>
      <c r="J598" s="4"/>
      <c r="K598" s="4"/>
      <c r="L598" s="4"/>
      <c r="M598" s="4"/>
      <c r="N598" s="4"/>
      <c r="O598" s="4"/>
      <c r="P598" s="4"/>
      <c r="Q598" s="4"/>
      <c r="R598" s="4"/>
      <c r="S598" s="4"/>
      <c r="T598" s="4"/>
      <c r="U598" s="4"/>
      <c r="V598" s="4"/>
      <c r="W598" s="4"/>
    </row>
    <row r="599">
      <c r="A599" s="4"/>
      <c r="B599" s="69"/>
      <c r="C599" s="4"/>
      <c r="D599" s="4"/>
      <c r="E599" s="4"/>
      <c r="F599" s="4"/>
      <c r="G599" s="4"/>
      <c r="H599" s="4"/>
      <c r="I599" s="4"/>
      <c r="J599" s="4"/>
      <c r="K599" s="4"/>
      <c r="L599" s="4"/>
      <c r="M599" s="4"/>
      <c r="N599" s="4"/>
      <c r="O599" s="4"/>
      <c r="P599" s="4"/>
      <c r="Q599" s="4"/>
      <c r="R599" s="4"/>
      <c r="S599" s="4"/>
      <c r="T599" s="4"/>
      <c r="U599" s="4"/>
      <c r="V599" s="4"/>
      <c r="W599" s="4"/>
    </row>
    <row r="600">
      <c r="A600" s="4"/>
      <c r="B600" s="69"/>
      <c r="C600" s="4"/>
      <c r="D600" s="4"/>
      <c r="E600" s="4"/>
      <c r="F600" s="4"/>
      <c r="G600" s="4"/>
      <c r="H600" s="4"/>
      <c r="I600" s="4"/>
      <c r="J600" s="4"/>
      <c r="K600" s="4"/>
      <c r="L600" s="4"/>
      <c r="M600" s="4"/>
      <c r="N600" s="4"/>
      <c r="O600" s="4"/>
      <c r="P600" s="4"/>
      <c r="Q600" s="4"/>
      <c r="R600" s="4"/>
      <c r="S600" s="4"/>
      <c r="T600" s="4"/>
      <c r="U600" s="4"/>
      <c r="V600" s="4"/>
      <c r="W600" s="4"/>
    </row>
    <row r="601">
      <c r="A601" s="4"/>
      <c r="B601" s="69"/>
      <c r="C601" s="4"/>
      <c r="D601" s="4"/>
      <c r="E601" s="4"/>
      <c r="F601" s="4"/>
      <c r="G601" s="4"/>
      <c r="H601" s="4"/>
      <c r="I601" s="4"/>
      <c r="J601" s="4"/>
      <c r="K601" s="4"/>
      <c r="L601" s="4"/>
      <c r="M601" s="4"/>
      <c r="N601" s="4"/>
      <c r="O601" s="4"/>
      <c r="P601" s="4"/>
      <c r="Q601" s="4"/>
      <c r="R601" s="4"/>
      <c r="S601" s="4"/>
      <c r="T601" s="4"/>
      <c r="U601" s="4"/>
      <c r="V601" s="4"/>
      <c r="W601" s="4"/>
    </row>
    <row r="602">
      <c r="A602" s="4"/>
      <c r="B602" s="69"/>
      <c r="C602" s="4"/>
      <c r="D602" s="4"/>
      <c r="E602" s="4"/>
      <c r="F602" s="4"/>
      <c r="G602" s="4"/>
      <c r="H602" s="4"/>
      <c r="I602" s="4"/>
      <c r="J602" s="4"/>
      <c r="K602" s="4"/>
      <c r="L602" s="4"/>
      <c r="M602" s="4"/>
      <c r="N602" s="4"/>
      <c r="O602" s="4"/>
      <c r="P602" s="4"/>
      <c r="Q602" s="4"/>
      <c r="R602" s="4"/>
      <c r="S602" s="4"/>
      <c r="T602" s="4"/>
      <c r="U602" s="4"/>
      <c r="V602" s="4"/>
      <c r="W602" s="4"/>
    </row>
    <row r="603">
      <c r="A603" s="4"/>
      <c r="B603" s="69"/>
      <c r="C603" s="4"/>
      <c r="D603" s="4"/>
      <c r="E603" s="4"/>
      <c r="F603" s="4"/>
      <c r="G603" s="4"/>
      <c r="H603" s="4"/>
      <c r="I603" s="4"/>
      <c r="J603" s="4"/>
      <c r="K603" s="4"/>
      <c r="L603" s="4"/>
      <c r="M603" s="4"/>
      <c r="N603" s="4"/>
      <c r="O603" s="4"/>
      <c r="P603" s="4"/>
      <c r="Q603" s="4"/>
      <c r="R603" s="4"/>
      <c r="S603" s="4"/>
      <c r="T603" s="4"/>
      <c r="U603" s="4"/>
      <c r="V603" s="4"/>
      <c r="W603" s="4"/>
    </row>
    <row r="604">
      <c r="A604" s="4"/>
      <c r="B604" s="69"/>
      <c r="C604" s="4"/>
      <c r="D604" s="4"/>
      <c r="E604" s="4"/>
      <c r="F604" s="4"/>
      <c r="G604" s="4"/>
      <c r="H604" s="4"/>
      <c r="I604" s="4"/>
      <c r="J604" s="4"/>
      <c r="K604" s="4"/>
      <c r="L604" s="4"/>
      <c r="M604" s="4"/>
      <c r="N604" s="4"/>
      <c r="O604" s="4"/>
      <c r="P604" s="4"/>
      <c r="Q604" s="4"/>
      <c r="R604" s="4"/>
      <c r="S604" s="4"/>
      <c r="T604" s="4"/>
      <c r="U604" s="4"/>
      <c r="V604" s="4"/>
      <c r="W604" s="4"/>
    </row>
    <row r="605">
      <c r="A605" s="4"/>
      <c r="B605" s="69"/>
      <c r="C605" s="4"/>
      <c r="D605" s="4"/>
      <c r="E605" s="4"/>
      <c r="F605" s="4"/>
      <c r="G605" s="4"/>
      <c r="H605" s="4"/>
      <c r="I605" s="4"/>
      <c r="J605" s="4"/>
      <c r="K605" s="4"/>
      <c r="L605" s="4"/>
      <c r="M605" s="4"/>
      <c r="N605" s="4"/>
      <c r="O605" s="4"/>
      <c r="P605" s="4"/>
      <c r="Q605" s="4"/>
      <c r="R605" s="4"/>
      <c r="S605" s="4"/>
      <c r="T605" s="4"/>
      <c r="U605" s="4"/>
      <c r="V605" s="4"/>
      <c r="W605" s="4"/>
    </row>
    <row r="606">
      <c r="A606" s="4"/>
      <c r="B606" s="69"/>
      <c r="C606" s="4"/>
      <c r="D606" s="4"/>
      <c r="E606" s="4"/>
      <c r="F606" s="4"/>
      <c r="G606" s="4"/>
      <c r="H606" s="4"/>
      <c r="I606" s="4"/>
      <c r="J606" s="4"/>
      <c r="K606" s="4"/>
      <c r="L606" s="4"/>
      <c r="M606" s="4"/>
      <c r="N606" s="4"/>
      <c r="O606" s="4"/>
      <c r="P606" s="4"/>
      <c r="Q606" s="4"/>
      <c r="R606" s="4"/>
      <c r="S606" s="4"/>
      <c r="T606" s="4"/>
      <c r="U606" s="4"/>
      <c r="V606" s="4"/>
      <c r="W606" s="4"/>
    </row>
    <row r="607">
      <c r="A607" s="4"/>
      <c r="B607" s="69"/>
      <c r="C607" s="4"/>
      <c r="D607" s="4"/>
      <c r="E607" s="4"/>
      <c r="F607" s="4"/>
      <c r="G607" s="4"/>
      <c r="H607" s="4"/>
      <c r="I607" s="4"/>
      <c r="J607" s="4"/>
      <c r="K607" s="4"/>
      <c r="L607" s="4"/>
      <c r="M607" s="4"/>
      <c r="N607" s="4"/>
      <c r="O607" s="4"/>
      <c r="P607" s="4"/>
      <c r="Q607" s="4"/>
      <c r="R607" s="4"/>
      <c r="S607" s="4"/>
      <c r="T607" s="4"/>
      <c r="U607" s="4"/>
      <c r="V607" s="4"/>
      <c r="W607" s="4"/>
    </row>
    <row r="608">
      <c r="A608" s="4"/>
      <c r="B608" s="69"/>
      <c r="C608" s="4"/>
      <c r="D608" s="4"/>
      <c r="E608" s="4"/>
      <c r="F608" s="4"/>
      <c r="G608" s="4"/>
      <c r="H608" s="4"/>
      <c r="I608" s="4"/>
      <c r="J608" s="4"/>
      <c r="K608" s="4"/>
      <c r="L608" s="4"/>
      <c r="M608" s="4"/>
      <c r="N608" s="4"/>
      <c r="O608" s="4"/>
      <c r="P608" s="4"/>
      <c r="Q608" s="4"/>
      <c r="R608" s="4"/>
      <c r="S608" s="4"/>
      <c r="T608" s="4"/>
      <c r="U608" s="4"/>
      <c r="V608" s="4"/>
      <c r="W608" s="4"/>
    </row>
    <row r="609">
      <c r="A609" s="4"/>
      <c r="B609" s="69"/>
      <c r="C609" s="4"/>
      <c r="D609" s="4"/>
      <c r="E609" s="4"/>
      <c r="F609" s="4"/>
      <c r="G609" s="4"/>
      <c r="H609" s="4"/>
      <c r="I609" s="4"/>
      <c r="J609" s="4"/>
      <c r="K609" s="4"/>
      <c r="L609" s="4"/>
      <c r="M609" s="4"/>
      <c r="N609" s="4"/>
      <c r="O609" s="4"/>
      <c r="P609" s="4"/>
      <c r="Q609" s="4"/>
      <c r="R609" s="4"/>
      <c r="S609" s="4"/>
      <c r="T609" s="4"/>
      <c r="U609" s="4"/>
      <c r="V609" s="4"/>
      <c r="W609" s="4"/>
    </row>
    <row r="610">
      <c r="A610" s="4"/>
      <c r="B610" s="69"/>
      <c r="C610" s="4"/>
      <c r="D610" s="4"/>
      <c r="E610" s="4"/>
      <c r="F610" s="4"/>
      <c r="G610" s="4"/>
      <c r="H610" s="4"/>
      <c r="I610" s="4"/>
      <c r="J610" s="4"/>
      <c r="K610" s="4"/>
      <c r="L610" s="4"/>
      <c r="M610" s="4"/>
      <c r="N610" s="4"/>
      <c r="O610" s="4"/>
      <c r="P610" s="4"/>
      <c r="Q610" s="4"/>
      <c r="R610" s="4"/>
      <c r="S610" s="4"/>
      <c r="T610" s="4"/>
      <c r="U610" s="4"/>
      <c r="V610" s="4"/>
      <c r="W610" s="4"/>
    </row>
    <row r="611">
      <c r="A611" s="4"/>
      <c r="B611" s="69"/>
      <c r="C611" s="4"/>
      <c r="D611" s="4"/>
      <c r="E611" s="4"/>
      <c r="F611" s="4"/>
      <c r="G611" s="4"/>
      <c r="H611" s="4"/>
      <c r="I611" s="4"/>
      <c r="J611" s="4"/>
      <c r="K611" s="4"/>
      <c r="L611" s="4"/>
      <c r="M611" s="4"/>
      <c r="N611" s="4"/>
      <c r="O611" s="4"/>
      <c r="P611" s="4"/>
      <c r="Q611" s="4"/>
      <c r="R611" s="4"/>
      <c r="S611" s="4"/>
      <c r="T611" s="4"/>
      <c r="U611" s="4"/>
      <c r="V611" s="4"/>
      <c r="W611" s="4"/>
    </row>
    <row r="612">
      <c r="A612" s="4"/>
      <c r="B612" s="69"/>
      <c r="C612" s="4"/>
      <c r="D612" s="4"/>
      <c r="E612" s="4"/>
      <c r="F612" s="4"/>
      <c r="G612" s="4"/>
      <c r="H612" s="4"/>
      <c r="I612" s="4"/>
      <c r="J612" s="4"/>
      <c r="K612" s="4"/>
      <c r="L612" s="4"/>
      <c r="M612" s="4"/>
      <c r="N612" s="4"/>
      <c r="O612" s="4"/>
      <c r="P612" s="4"/>
      <c r="Q612" s="4"/>
      <c r="R612" s="4"/>
      <c r="S612" s="4"/>
      <c r="T612" s="4"/>
      <c r="U612" s="4"/>
      <c r="V612" s="4"/>
      <c r="W612" s="4"/>
    </row>
    <row r="613">
      <c r="A613" s="4"/>
      <c r="B613" s="69"/>
      <c r="C613" s="4"/>
      <c r="D613" s="4"/>
      <c r="E613" s="4"/>
      <c r="F613" s="4"/>
      <c r="G613" s="4"/>
      <c r="H613" s="4"/>
      <c r="I613" s="4"/>
      <c r="J613" s="4"/>
      <c r="K613" s="4"/>
      <c r="L613" s="4"/>
      <c r="M613" s="4"/>
      <c r="N613" s="4"/>
      <c r="O613" s="4"/>
      <c r="P613" s="4"/>
      <c r="Q613" s="4"/>
      <c r="R613" s="4"/>
      <c r="S613" s="4"/>
      <c r="T613" s="4"/>
      <c r="U613" s="4"/>
      <c r="V613" s="4"/>
      <c r="W613" s="4"/>
    </row>
    <row r="614">
      <c r="A614" s="4"/>
      <c r="B614" s="69"/>
      <c r="C614" s="4"/>
      <c r="D614" s="4"/>
      <c r="E614" s="4"/>
      <c r="F614" s="4"/>
      <c r="G614" s="4"/>
      <c r="H614" s="4"/>
      <c r="I614" s="4"/>
      <c r="J614" s="4"/>
      <c r="K614" s="4"/>
      <c r="L614" s="4"/>
      <c r="M614" s="4"/>
      <c r="N614" s="4"/>
      <c r="O614" s="4"/>
      <c r="P614" s="4"/>
      <c r="Q614" s="4"/>
      <c r="R614" s="4"/>
      <c r="S614" s="4"/>
      <c r="T614" s="4"/>
      <c r="U614" s="4"/>
      <c r="V614" s="4"/>
      <c r="W614" s="4"/>
    </row>
    <row r="615">
      <c r="A615" s="4"/>
      <c r="B615" s="69"/>
      <c r="C615" s="4"/>
      <c r="D615" s="4"/>
      <c r="E615" s="4"/>
      <c r="F615" s="4"/>
      <c r="G615" s="4"/>
      <c r="H615" s="4"/>
      <c r="I615" s="4"/>
      <c r="J615" s="4"/>
      <c r="K615" s="4"/>
      <c r="L615" s="4"/>
      <c r="M615" s="4"/>
      <c r="N615" s="4"/>
      <c r="O615" s="4"/>
      <c r="P615" s="4"/>
      <c r="Q615" s="4"/>
      <c r="R615" s="4"/>
      <c r="S615" s="4"/>
      <c r="T615" s="4"/>
      <c r="U615" s="4"/>
      <c r="V615" s="4"/>
      <c r="W615" s="4"/>
    </row>
    <row r="616">
      <c r="A616" s="4"/>
      <c r="B616" s="69"/>
      <c r="C616" s="4"/>
      <c r="D616" s="4"/>
      <c r="E616" s="4"/>
      <c r="F616" s="4"/>
      <c r="G616" s="4"/>
      <c r="H616" s="4"/>
      <c r="I616" s="4"/>
      <c r="J616" s="4"/>
      <c r="K616" s="4"/>
      <c r="L616" s="4"/>
      <c r="M616" s="4"/>
      <c r="N616" s="4"/>
      <c r="O616" s="4"/>
      <c r="P616" s="4"/>
      <c r="Q616" s="4"/>
      <c r="R616" s="4"/>
      <c r="S616" s="4"/>
      <c r="T616" s="4"/>
      <c r="U616" s="4"/>
      <c r="V616" s="4"/>
      <c r="W616" s="4"/>
    </row>
    <row r="617">
      <c r="A617" s="4"/>
      <c r="B617" s="69"/>
      <c r="C617" s="4"/>
      <c r="D617" s="4"/>
      <c r="E617" s="4"/>
      <c r="F617" s="4"/>
      <c r="G617" s="4"/>
      <c r="H617" s="4"/>
      <c r="I617" s="4"/>
      <c r="J617" s="4"/>
      <c r="K617" s="4"/>
      <c r="L617" s="4"/>
      <c r="M617" s="4"/>
      <c r="N617" s="4"/>
      <c r="O617" s="4"/>
      <c r="P617" s="4"/>
      <c r="Q617" s="4"/>
      <c r="R617" s="4"/>
      <c r="S617" s="4"/>
      <c r="T617" s="4"/>
      <c r="U617" s="4"/>
      <c r="V617" s="4"/>
      <c r="W617" s="4"/>
    </row>
    <row r="618">
      <c r="A618" s="4"/>
      <c r="B618" s="69"/>
      <c r="C618" s="4"/>
      <c r="D618" s="4"/>
      <c r="E618" s="4"/>
      <c r="F618" s="4"/>
      <c r="G618" s="4"/>
      <c r="H618" s="4"/>
      <c r="I618" s="4"/>
      <c r="J618" s="4"/>
      <c r="K618" s="4"/>
      <c r="L618" s="4"/>
      <c r="M618" s="4"/>
      <c r="N618" s="4"/>
      <c r="O618" s="4"/>
      <c r="P618" s="4"/>
      <c r="Q618" s="4"/>
      <c r="R618" s="4"/>
      <c r="S618" s="4"/>
      <c r="T618" s="4"/>
      <c r="U618" s="4"/>
      <c r="V618" s="4"/>
      <c r="W618" s="4"/>
    </row>
    <row r="619">
      <c r="A619" s="4"/>
      <c r="B619" s="69"/>
      <c r="C619" s="4"/>
      <c r="D619" s="4"/>
      <c r="E619" s="4"/>
      <c r="F619" s="4"/>
      <c r="G619" s="4"/>
      <c r="H619" s="4"/>
      <c r="I619" s="4"/>
      <c r="J619" s="4"/>
      <c r="K619" s="4"/>
      <c r="L619" s="4"/>
      <c r="M619" s="4"/>
      <c r="N619" s="4"/>
      <c r="O619" s="4"/>
      <c r="P619" s="4"/>
      <c r="Q619" s="4"/>
      <c r="R619" s="4"/>
      <c r="S619" s="4"/>
      <c r="T619" s="4"/>
      <c r="U619" s="4"/>
      <c r="V619" s="4"/>
      <c r="W619" s="4"/>
    </row>
    <row r="620">
      <c r="A620" s="4"/>
      <c r="B620" s="69"/>
      <c r="C620" s="4"/>
      <c r="D620" s="4"/>
      <c r="E620" s="4"/>
      <c r="F620" s="4"/>
      <c r="G620" s="4"/>
      <c r="H620" s="4"/>
      <c r="I620" s="4"/>
      <c r="J620" s="4"/>
      <c r="K620" s="4"/>
      <c r="L620" s="4"/>
      <c r="M620" s="4"/>
      <c r="N620" s="4"/>
      <c r="O620" s="4"/>
      <c r="P620" s="4"/>
      <c r="Q620" s="4"/>
      <c r="R620" s="4"/>
      <c r="S620" s="4"/>
      <c r="T620" s="4"/>
      <c r="U620" s="4"/>
      <c r="V620" s="4"/>
      <c r="W620" s="4"/>
    </row>
    <row r="621">
      <c r="A621" s="4"/>
      <c r="B621" s="69"/>
      <c r="C621" s="4"/>
      <c r="D621" s="4"/>
      <c r="E621" s="4"/>
      <c r="F621" s="4"/>
      <c r="G621" s="4"/>
      <c r="H621" s="4"/>
      <c r="I621" s="4"/>
      <c r="J621" s="4"/>
      <c r="K621" s="4"/>
      <c r="L621" s="4"/>
      <c r="M621" s="4"/>
      <c r="N621" s="4"/>
      <c r="O621" s="4"/>
      <c r="P621" s="4"/>
      <c r="Q621" s="4"/>
      <c r="R621" s="4"/>
      <c r="S621" s="4"/>
      <c r="T621" s="4"/>
      <c r="U621" s="4"/>
      <c r="V621" s="4"/>
      <c r="W621" s="4"/>
    </row>
    <row r="622">
      <c r="A622" s="4"/>
      <c r="B622" s="69"/>
      <c r="C622" s="4"/>
      <c r="D622" s="4"/>
      <c r="E622" s="4"/>
      <c r="F622" s="4"/>
      <c r="G622" s="4"/>
      <c r="H622" s="4"/>
      <c r="I622" s="4"/>
      <c r="J622" s="4"/>
      <c r="K622" s="4"/>
      <c r="L622" s="4"/>
      <c r="M622" s="4"/>
      <c r="N622" s="4"/>
      <c r="O622" s="4"/>
      <c r="P622" s="4"/>
      <c r="Q622" s="4"/>
      <c r="R622" s="4"/>
      <c r="S622" s="4"/>
      <c r="T622" s="4"/>
      <c r="U622" s="4"/>
      <c r="V622" s="4"/>
      <c r="W622" s="4"/>
    </row>
    <row r="623">
      <c r="A623" s="4"/>
      <c r="B623" s="69"/>
      <c r="C623" s="4"/>
      <c r="D623" s="4"/>
      <c r="E623" s="4"/>
      <c r="F623" s="4"/>
      <c r="G623" s="4"/>
      <c r="H623" s="4"/>
      <c r="I623" s="4"/>
      <c r="J623" s="4"/>
      <c r="K623" s="4"/>
      <c r="L623" s="4"/>
      <c r="M623" s="4"/>
      <c r="N623" s="4"/>
      <c r="O623" s="4"/>
      <c r="P623" s="4"/>
      <c r="Q623" s="4"/>
      <c r="R623" s="4"/>
      <c r="S623" s="4"/>
      <c r="T623" s="4"/>
      <c r="U623" s="4"/>
      <c r="V623" s="4"/>
      <c r="W623" s="4"/>
    </row>
    <row r="624">
      <c r="A624" s="4"/>
      <c r="B624" s="69"/>
      <c r="C624" s="4"/>
      <c r="D624" s="4"/>
      <c r="E624" s="4"/>
      <c r="F624" s="4"/>
      <c r="G624" s="4"/>
      <c r="H624" s="4"/>
      <c r="I624" s="4"/>
      <c r="J624" s="4"/>
      <c r="K624" s="4"/>
      <c r="L624" s="4"/>
      <c r="M624" s="4"/>
      <c r="N624" s="4"/>
      <c r="O624" s="4"/>
      <c r="P624" s="4"/>
      <c r="Q624" s="4"/>
      <c r="R624" s="4"/>
      <c r="S624" s="4"/>
      <c r="T624" s="4"/>
      <c r="U624" s="4"/>
      <c r="V624" s="4"/>
      <c r="W624" s="4"/>
    </row>
    <row r="625">
      <c r="A625" s="4"/>
      <c r="B625" s="69"/>
      <c r="C625" s="4"/>
      <c r="D625" s="4"/>
      <c r="E625" s="4"/>
      <c r="F625" s="4"/>
      <c r="G625" s="4"/>
      <c r="H625" s="4"/>
      <c r="I625" s="4"/>
      <c r="J625" s="4"/>
      <c r="K625" s="4"/>
      <c r="L625" s="4"/>
      <c r="M625" s="4"/>
      <c r="N625" s="4"/>
      <c r="O625" s="4"/>
      <c r="P625" s="4"/>
      <c r="Q625" s="4"/>
      <c r="R625" s="4"/>
      <c r="S625" s="4"/>
      <c r="T625" s="4"/>
      <c r="U625" s="4"/>
      <c r="V625" s="4"/>
      <c r="W625" s="4"/>
    </row>
    <row r="626">
      <c r="A626" s="4"/>
      <c r="B626" s="69"/>
      <c r="C626" s="4"/>
      <c r="D626" s="4"/>
      <c r="E626" s="4"/>
      <c r="F626" s="4"/>
      <c r="G626" s="4"/>
      <c r="H626" s="4"/>
      <c r="I626" s="4"/>
      <c r="J626" s="4"/>
      <c r="K626" s="4"/>
      <c r="L626" s="4"/>
      <c r="M626" s="4"/>
      <c r="N626" s="4"/>
      <c r="O626" s="4"/>
      <c r="P626" s="4"/>
      <c r="Q626" s="4"/>
      <c r="R626" s="4"/>
      <c r="S626" s="4"/>
      <c r="T626" s="4"/>
      <c r="U626" s="4"/>
      <c r="V626" s="4"/>
      <c r="W626" s="4"/>
    </row>
    <row r="627">
      <c r="A627" s="4"/>
      <c r="B627" s="69"/>
      <c r="C627" s="4"/>
      <c r="D627" s="4"/>
      <c r="E627" s="4"/>
      <c r="F627" s="4"/>
      <c r="G627" s="4"/>
      <c r="H627" s="4"/>
      <c r="I627" s="4"/>
      <c r="J627" s="4"/>
      <c r="K627" s="4"/>
      <c r="L627" s="4"/>
      <c r="M627" s="4"/>
      <c r="N627" s="4"/>
      <c r="O627" s="4"/>
      <c r="P627" s="4"/>
      <c r="Q627" s="4"/>
      <c r="R627" s="4"/>
      <c r="S627" s="4"/>
      <c r="T627" s="4"/>
      <c r="U627" s="4"/>
      <c r="V627" s="4"/>
      <c r="W627" s="4"/>
    </row>
    <row r="628">
      <c r="A628" s="4"/>
      <c r="B628" s="69"/>
      <c r="C628" s="4"/>
      <c r="D628" s="4"/>
      <c r="E628" s="4"/>
      <c r="F628" s="4"/>
      <c r="G628" s="4"/>
      <c r="H628" s="4"/>
      <c r="I628" s="4"/>
      <c r="J628" s="4"/>
      <c r="K628" s="4"/>
      <c r="L628" s="4"/>
      <c r="M628" s="4"/>
      <c r="N628" s="4"/>
      <c r="O628" s="4"/>
      <c r="P628" s="4"/>
      <c r="Q628" s="4"/>
      <c r="R628" s="4"/>
      <c r="S628" s="4"/>
      <c r="T628" s="4"/>
      <c r="U628" s="4"/>
      <c r="V628" s="4"/>
      <c r="W628" s="4"/>
    </row>
    <row r="629">
      <c r="A629" s="4"/>
      <c r="B629" s="69"/>
      <c r="C629" s="4"/>
      <c r="D629" s="4"/>
      <c r="E629" s="4"/>
      <c r="F629" s="4"/>
      <c r="G629" s="4"/>
      <c r="H629" s="4"/>
      <c r="I629" s="4"/>
      <c r="J629" s="4"/>
      <c r="K629" s="4"/>
      <c r="L629" s="4"/>
      <c r="M629" s="4"/>
      <c r="N629" s="4"/>
      <c r="O629" s="4"/>
      <c r="P629" s="4"/>
      <c r="Q629" s="4"/>
      <c r="R629" s="4"/>
      <c r="S629" s="4"/>
      <c r="T629" s="4"/>
      <c r="U629" s="4"/>
      <c r="V629" s="4"/>
      <c r="W629" s="4"/>
    </row>
    <row r="630">
      <c r="A630" s="4"/>
      <c r="B630" s="69"/>
      <c r="C630" s="4"/>
      <c r="D630" s="4"/>
      <c r="E630" s="4"/>
      <c r="F630" s="4"/>
      <c r="G630" s="4"/>
      <c r="H630" s="4"/>
      <c r="I630" s="4"/>
      <c r="J630" s="4"/>
      <c r="K630" s="4"/>
      <c r="L630" s="4"/>
      <c r="M630" s="4"/>
      <c r="N630" s="4"/>
      <c r="O630" s="4"/>
      <c r="P630" s="4"/>
      <c r="Q630" s="4"/>
      <c r="R630" s="4"/>
      <c r="S630" s="4"/>
      <c r="T630" s="4"/>
      <c r="U630" s="4"/>
      <c r="V630" s="4"/>
      <c r="W630" s="4"/>
    </row>
    <row r="631">
      <c r="A631" s="4"/>
      <c r="B631" s="69"/>
      <c r="C631" s="4"/>
      <c r="D631" s="4"/>
      <c r="E631" s="4"/>
      <c r="F631" s="4"/>
      <c r="G631" s="4"/>
      <c r="H631" s="4"/>
      <c r="I631" s="4"/>
      <c r="J631" s="4"/>
      <c r="K631" s="4"/>
      <c r="L631" s="4"/>
      <c r="M631" s="4"/>
      <c r="N631" s="4"/>
      <c r="O631" s="4"/>
      <c r="P631" s="4"/>
      <c r="Q631" s="4"/>
      <c r="R631" s="4"/>
      <c r="S631" s="4"/>
      <c r="T631" s="4"/>
      <c r="U631" s="4"/>
      <c r="V631" s="4"/>
      <c r="W631" s="4"/>
    </row>
    <row r="632">
      <c r="A632" s="4"/>
      <c r="B632" s="69"/>
      <c r="C632" s="4"/>
      <c r="D632" s="4"/>
      <c r="E632" s="4"/>
      <c r="F632" s="4"/>
      <c r="G632" s="4"/>
      <c r="H632" s="4"/>
      <c r="I632" s="4"/>
      <c r="J632" s="4"/>
      <c r="K632" s="4"/>
      <c r="L632" s="4"/>
      <c r="M632" s="4"/>
      <c r="N632" s="4"/>
      <c r="O632" s="4"/>
      <c r="P632" s="4"/>
      <c r="Q632" s="4"/>
      <c r="R632" s="4"/>
      <c r="S632" s="4"/>
      <c r="T632" s="4"/>
      <c r="U632" s="4"/>
      <c r="V632" s="4"/>
      <c r="W632" s="4"/>
    </row>
    <row r="633">
      <c r="A633" s="4"/>
      <c r="B633" s="69"/>
      <c r="C633" s="4"/>
      <c r="D633" s="4"/>
      <c r="E633" s="4"/>
      <c r="F633" s="4"/>
      <c r="G633" s="4"/>
      <c r="H633" s="4"/>
      <c r="I633" s="4"/>
      <c r="J633" s="4"/>
      <c r="K633" s="4"/>
      <c r="L633" s="4"/>
      <c r="M633" s="4"/>
      <c r="N633" s="4"/>
      <c r="O633" s="4"/>
      <c r="P633" s="4"/>
      <c r="Q633" s="4"/>
      <c r="R633" s="4"/>
      <c r="S633" s="4"/>
      <c r="T633" s="4"/>
      <c r="U633" s="4"/>
      <c r="V633" s="4"/>
      <c r="W633" s="4"/>
    </row>
    <row r="634">
      <c r="A634" s="4"/>
      <c r="B634" s="69"/>
      <c r="C634" s="4"/>
      <c r="D634" s="4"/>
      <c r="E634" s="4"/>
      <c r="F634" s="4"/>
      <c r="G634" s="4"/>
      <c r="H634" s="4"/>
      <c r="I634" s="4"/>
      <c r="J634" s="4"/>
      <c r="K634" s="4"/>
      <c r="L634" s="4"/>
      <c r="M634" s="4"/>
      <c r="N634" s="4"/>
      <c r="O634" s="4"/>
      <c r="P634" s="4"/>
      <c r="Q634" s="4"/>
      <c r="R634" s="4"/>
      <c r="S634" s="4"/>
      <c r="T634" s="4"/>
      <c r="U634" s="4"/>
      <c r="V634" s="4"/>
      <c r="W634" s="4"/>
    </row>
    <row r="635">
      <c r="A635" s="4"/>
      <c r="B635" s="69"/>
      <c r="C635" s="4"/>
      <c r="D635" s="4"/>
      <c r="E635" s="4"/>
      <c r="F635" s="4"/>
      <c r="G635" s="4"/>
      <c r="H635" s="4"/>
      <c r="I635" s="4"/>
      <c r="J635" s="4"/>
      <c r="K635" s="4"/>
      <c r="L635" s="4"/>
      <c r="M635" s="4"/>
      <c r="N635" s="4"/>
      <c r="O635" s="4"/>
      <c r="P635" s="4"/>
      <c r="Q635" s="4"/>
      <c r="R635" s="4"/>
      <c r="S635" s="4"/>
      <c r="T635" s="4"/>
      <c r="U635" s="4"/>
      <c r="V635" s="4"/>
      <c r="W635" s="4"/>
    </row>
    <row r="636">
      <c r="A636" s="4"/>
      <c r="B636" s="69"/>
      <c r="C636" s="4"/>
      <c r="D636" s="4"/>
      <c r="E636" s="4"/>
      <c r="F636" s="4"/>
      <c r="G636" s="4"/>
      <c r="H636" s="4"/>
      <c r="I636" s="4"/>
      <c r="J636" s="4"/>
      <c r="K636" s="4"/>
      <c r="L636" s="4"/>
      <c r="M636" s="4"/>
      <c r="N636" s="4"/>
      <c r="O636" s="4"/>
      <c r="P636" s="4"/>
      <c r="Q636" s="4"/>
      <c r="R636" s="4"/>
      <c r="S636" s="4"/>
      <c r="T636" s="4"/>
      <c r="U636" s="4"/>
      <c r="V636" s="4"/>
      <c r="W636" s="4"/>
    </row>
    <row r="637">
      <c r="A637" s="4"/>
      <c r="B637" s="69"/>
      <c r="C637" s="4"/>
      <c r="D637" s="4"/>
      <c r="E637" s="4"/>
      <c r="F637" s="4"/>
      <c r="G637" s="4"/>
      <c r="H637" s="4"/>
      <c r="I637" s="4"/>
      <c r="J637" s="4"/>
      <c r="K637" s="4"/>
      <c r="L637" s="4"/>
      <c r="M637" s="4"/>
      <c r="N637" s="4"/>
      <c r="O637" s="4"/>
      <c r="P637" s="4"/>
      <c r="Q637" s="4"/>
      <c r="R637" s="4"/>
      <c r="S637" s="4"/>
      <c r="T637" s="4"/>
      <c r="U637" s="4"/>
      <c r="V637" s="4"/>
      <c r="W637" s="4"/>
    </row>
    <row r="638">
      <c r="A638" s="4"/>
      <c r="B638" s="69"/>
      <c r="C638" s="4"/>
      <c r="D638" s="4"/>
      <c r="E638" s="4"/>
      <c r="F638" s="4"/>
      <c r="G638" s="4"/>
      <c r="H638" s="4"/>
      <c r="I638" s="4"/>
      <c r="J638" s="4"/>
      <c r="K638" s="4"/>
      <c r="L638" s="4"/>
      <c r="M638" s="4"/>
      <c r="N638" s="4"/>
      <c r="O638" s="4"/>
      <c r="P638" s="4"/>
      <c r="Q638" s="4"/>
      <c r="R638" s="4"/>
      <c r="S638" s="4"/>
      <c r="T638" s="4"/>
      <c r="U638" s="4"/>
      <c r="V638" s="4"/>
      <c r="W638" s="4"/>
    </row>
    <row r="639">
      <c r="A639" s="4"/>
      <c r="B639" s="69"/>
      <c r="C639" s="4"/>
      <c r="D639" s="4"/>
      <c r="E639" s="4"/>
      <c r="F639" s="4"/>
      <c r="G639" s="4"/>
      <c r="H639" s="4"/>
      <c r="I639" s="4"/>
      <c r="J639" s="4"/>
      <c r="K639" s="4"/>
      <c r="L639" s="4"/>
      <c r="M639" s="4"/>
      <c r="N639" s="4"/>
      <c r="O639" s="4"/>
      <c r="P639" s="4"/>
      <c r="Q639" s="4"/>
      <c r="R639" s="4"/>
      <c r="S639" s="4"/>
      <c r="T639" s="4"/>
      <c r="U639" s="4"/>
      <c r="V639" s="4"/>
      <c r="W639" s="4"/>
    </row>
    <row r="640">
      <c r="A640" s="4"/>
      <c r="B640" s="69"/>
      <c r="C640" s="4"/>
      <c r="D640" s="4"/>
      <c r="E640" s="4"/>
      <c r="F640" s="4"/>
      <c r="G640" s="4"/>
      <c r="H640" s="4"/>
      <c r="I640" s="4"/>
      <c r="J640" s="4"/>
      <c r="K640" s="4"/>
      <c r="L640" s="4"/>
      <c r="M640" s="4"/>
      <c r="N640" s="4"/>
      <c r="O640" s="4"/>
      <c r="P640" s="4"/>
      <c r="Q640" s="4"/>
      <c r="R640" s="4"/>
      <c r="S640" s="4"/>
      <c r="T640" s="4"/>
      <c r="U640" s="4"/>
      <c r="V640" s="4"/>
      <c r="W640" s="4"/>
    </row>
    <row r="641">
      <c r="A641" s="4"/>
      <c r="B641" s="69"/>
      <c r="C641" s="4"/>
      <c r="D641" s="4"/>
      <c r="E641" s="4"/>
      <c r="F641" s="4"/>
      <c r="G641" s="4"/>
      <c r="H641" s="4"/>
      <c r="I641" s="4"/>
      <c r="J641" s="4"/>
      <c r="K641" s="4"/>
      <c r="L641" s="4"/>
      <c r="M641" s="4"/>
      <c r="N641" s="4"/>
      <c r="O641" s="4"/>
      <c r="P641" s="4"/>
      <c r="Q641" s="4"/>
      <c r="R641" s="4"/>
      <c r="S641" s="4"/>
      <c r="T641" s="4"/>
      <c r="U641" s="4"/>
      <c r="V641" s="4"/>
      <c r="W641" s="4"/>
    </row>
    <row r="642">
      <c r="A642" s="4"/>
      <c r="B642" s="69"/>
      <c r="C642" s="4"/>
      <c r="D642" s="4"/>
      <c r="E642" s="4"/>
      <c r="F642" s="4"/>
      <c r="G642" s="4"/>
      <c r="H642" s="4"/>
      <c r="I642" s="4"/>
      <c r="J642" s="4"/>
      <c r="K642" s="4"/>
      <c r="L642" s="4"/>
      <c r="M642" s="4"/>
      <c r="N642" s="4"/>
      <c r="O642" s="4"/>
      <c r="P642" s="4"/>
      <c r="Q642" s="4"/>
      <c r="R642" s="4"/>
      <c r="S642" s="4"/>
      <c r="T642" s="4"/>
      <c r="U642" s="4"/>
      <c r="V642" s="4"/>
      <c r="W642" s="4"/>
    </row>
    <row r="643">
      <c r="A643" s="4"/>
      <c r="B643" s="69"/>
      <c r="C643" s="4"/>
      <c r="D643" s="4"/>
      <c r="E643" s="4"/>
      <c r="F643" s="4"/>
      <c r="G643" s="4"/>
      <c r="H643" s="4"/>
      <c r="I643" s="4"/>
      <c r="J643" s="4"/>
      <c r="K643" s="4"/>
      <c r="L643" s="4"/>
      <c r="M643" s="4"/>
      <c r="N643" s="4"/>
      <c r="O643" s="4"/>
      <c r="P643" s="4"/>
      <c r="Q643" s="4"/>
      <c r="R643" s="4"/>
      <c r="S643" s="4"/>
      <c r="T643" s="4"/>
      <c r="U643" s="4"/>
      <c r="V643" s="4"/>
      <c r="W643" s="4"/>
    </row>
    <row r="644">
      <c r="A644" s="4"/>
      <c r="B644" s="69"/>
      <c r="C644" s="4"/>
      <c r="D644" s="4"/>
      <c r="E644" s="4"/>
      <c r="F644" s="4"/>
      <c r="G644" s="4"/>
      <c r="H644" s="4"/>
      <c r="I644" s="4"/>
      <c r="J644" s="4"/>
      <c r="K644" s="4"/>
      <c r="L644" s="4"/>
      <c r="M644" s="4"/>
      <c r="N644" s="4"/>
      <c r="O644" s="4"/>
      <c r="P644" s="4"/>
      <c r="Q644" s="4"/>
      <c r="R644" s="4"/>
      <c r="S644" s="4"/>
      <c r="T644" s="4"/>
      <c r="U644" s="4"/>
      <c r="V644" s="4"/>
      <c r="W644" s="4"/>
    </row>
    <row r="645">
      <c r="A645" s="4"/>
      <c r="B645" s="69"/>
      <c r="C645" s="4"/>
      <c r="D645" s="4"/>
      <c r="E645" s="4"/>
      <c r="F645" s="4"/>
      <c r="G645" s="4"/>
      <c r="H645" s="4"/>
      <c r="I645" s="4"/>
      <c r="J645" s="4"/>
      <c r="K645" s="4"/>
      <c r="L645" s="4"/>
      <c r="M645" s="4"/>
      <c r="N645" s="4"/>
      <c r="O645" s="4"/>
      <c r="P645" s="4"/>
      <c r="Q645" s="4"/>
      <c r="R645" s="4"/>
      <c r="S645" s="4"/>
      <c r="T645" s="4"/>
      <c r="U645" s="4"/>
      <c r="V645" s="4"/>
      <c r="W645" s="4"/>
    </row>
    <row r="646">
      <c r="A646" s="4"/>
      <c r="B646" s="69"/>
      <c r="C646" s="4"/>
      <c r="D646" s="4"/>
      <c r="E646" s="4"/>
      <c r="F646" s="4"/>
      <c r="G646" s="4"/>
      <c r="H646" s="4"/>
      <c r="I646" s="4"/>
      <c r="J646" s="4"/>
      <c r="K646" s="4"/>
      <c r="L646" s="4"/>
      <c r="M646" s="4"/>
      <c r="N646" s="4"/>
      <c r="O646" s="4"/>
      <c r="P646" s="4"/>
      <c r="Q646" s="4"/>
      <c r="R646" s="4"/>
      <c r="S646" s="4"/>
      <c r="T646" s="4"/>
      <c r="U646" s="4"/>
      <c r="V646" s="4"/>
      <c r="W646" s="4"/>
    </row>
    <row r="647">
      <c r="A647" s="4"/>
      <c r="B647" s="69"/>
      <c r="C647" s="4"/>
      <c r="D647" s="4"/>
      <c r="E647" s="4"/>
      <c r="F647" s="4"/>
      <c r="G647" s="4"/>
      <c r="H647" s="4"/>
      <c r="I647" s="4"/>
      <c r="J647" s="4"/>
      <c r="K647" s="4"/>
      <c r="L647" s="4"/>
      <c r="M647" s="4"/>
      <c r="N647" s="4"/>
      <c r="O647" s="4"/>
      <c r="P647" s="4"/>
      <c r="Q647" s="4"/>
      <c r="R647" s="4"/>
      <c r="S647" s="4"/>
      <c r="T647" s="4"/>
      <c r="U647" s="4"/>
      <c r="V647" s="4"/>
      <c r="W647" s="4"/>
    </row>
    <row r="648">
      <c r="A648" s="4"/>
      <c r="B648" s="69"/>
      <c r="C648" s="4"/>
      <c r="D648" s="4"/>
      <c r="E648" s="4"/>
      <c r="F648" s="4"/>
      <c r="G648" s="4"/>
      <c r="H648" s="4"/>
      <c r="I648" s="4"/>
      <c r="J648" s="4"/>
      <c r="K648" s="4"/>
      <c r="L648" s="4"/>
      <c r="M648" s="4"/>
      <c r="N648" s="4"/>
      <c r="O648" s="4"/>
      <c r="P648" s="4"/>
      <c r="Q648" s="4"/>
      <c r="R648" s="4"/>
      <c r="S648" s="4"/>
      <c r="T648" s="4"/>
      <c r="U648" s="4"/>
      <c r="V648" s="4"/>
      <c r="W648" s="4"/>
    </row>
    <row r="649">
      <c r="A649" s="4"/>
      <c r="B649" s="69"/>
      <c r="C649" s="4"/>
      <c r="D649" s="4"/>
      <c r="E649" s="4"/>
      <c r="F649" s="4"/>
      <c r="G649" s="4"/>
      <c r="H649" s="4"/>
      <c r="I649" s="4"/>
      <c r="J649" s="4"/>
      <c r="K649" s="4"/>
      <c r="L649" s="4"/>
      <c r="M649" s="4"/>
      <c r="N649" s="4"/>
      <c r="O649" s="4"/>
      <c r="P649" s="4"/>
      <c r="Q649" s="4"/>
      <c r="R649" s="4"/>
      <c r="S649" s="4"/>
      <c r="T649" s="4"/>
      <c r="U649" s="4"/>
      <c r="V649" s="4"/>
      <c r="W649" s="4"/>
    </row>
    <row r="650">
      <c r="A650" s="4"/>
      <c r="B650" s="69"/>
      <c r="C650" s="4"/>
      <c r="D650" s="4"/>
      <c r="E650" s="4"/>
      <c r="F650" s="4"/>
      <c r="G650" s="4"/>
      <c r="H650" s="4"/>
      <c r="I650" s="4"/>
      <c r="J650" s="4"/>
      <c r="K650" s="4"/>
      <c r="L650" s="4"/>
      <c r="M650" s="4"/>
      <c r="N650" s="4"/>
      <c r="O650" s="4"/>
      <c r="P650" s="4"/>
      <c r="Q650" s="4"/>
      <c r="R650" s="4"/>
      <c r="S650" s="4"/>
      <c r="T650" s="4"/>
      <c r="U650" s="4"/>
      <c r="V650" s="4"/>
      <c r="W650" s="4"/>
    </row>
    <row r="651">
      <c r="A651" s="4"/>
      <c r="B651" s="69"/>
      <c r="C651" s="4"/>
      <c r="D651" s="4"/>
      <c r="E651" s="4"/>
      <c r="F651" s="4"/>
      <c r="G651" s="4"/>
      <c r="H651" s="4"/>
      <c r="I651" s="4"/>
      <c r="J651" s="4"/>
      <c r="K651" s="4"/>
      <c r="L651" s="4"/>
      <c r="M651" s="4"/>
      <c r="N651" s="4"/>
      <c r="O651" s="4"/>
      <c r="P651" s="4"/>
      <c r="Q651" s="4"/>
      <c r="R651" s="4"/>
      <c r="S651" s="4"/>
      <c r="T651" s="4"/>
      <c r="U651" s="4"/>
      <c r="V651" s="4"/>
      <c r="W651" s="4"/>
    </row>
    <row r="652">
      <c r="A652" s="4"/>
      <c r="B652" s="69"/>
      <c r="C652" s="4"/>
      <c r="D652" s="4"/>
      <c r="E652" s="4"/>
      <c r="F652" s="4"/>
      <c r="G652" s="4"/>
      <c r="H652" s="4"/>
      <c r="I652" s="4"/>
      <c r="J652" s="4"/>
      <c r="K652" s="4"/>
      <c r="L652" s="4"/>
      <c r="M652" s="4"/>
      <c r="N652" s="4"/>
      <c r="O652" s="4"/>
      <c r="P652" s="4"/>
      <c r="Q652" s="4"/>
      <c r="R652" s="4"/>
      <c r="S652" s="4"/>
      <c r="T652" s="4"/>
      <c r="U652" s="4"/>
      <c r="V652" s="4"/>
      <c r="W652" s="4"/>
    </row>
    <row r="653">
      <c r="A653" s="4"/>
      <c r="B653" s="69"/>
      <c r="C653" s="4"/>
      <c r="D653" s="4"/>
      <c r="E653" s="4"/>
      <c r="F653" s="4"/>
      <c r="G653" s="4"/>
      <c r="H653" s="4"/>
      <c r="I653" s="4"/>
      <c r="J653" s="4"/>
      <c r="K653" s="4"/>
      <c r="L653" s="4"/>
      <c r="M653" s="4"/>
      <c r="N653" s="4"/>
      <c r="O653" s="4"/>
      <c r="P653" s="4"/>
      <c r="Q653" s="4"/>
      <c r="R653" s="4"/>
      <c r="S653" s="4"/>
      <c r="T653" s="4"/>
      <c r="U653" s="4"/>
      <c r="V653" s="4"/>
      <c r="W653" s="4"/>
    </row>
    <row r="654">
      <c r="A654" s="4"/>
      <c r="B654" s="69"/>
      <c r="C654" s="4"/>
      <c r="D654" s="4"/>
      <c r="E654" s="4"/>
      <c r="F654" s="4"/>
      <c r="G654" s="4"/>
      <c r="H654" s="4"/>
      <c r="I654" s="4"/>
      <c r="J654" s="4"/>
      <c r="K654" s="4"/>
      <c r="L654" s="4"/>
      <c r="M654" s="4"/>
      <c r="N654" s="4"/>
      <c r="O654" s="4"/>
      <c r="P654" s="4"/>
      <c r="Q654" s="4"/>
      <c r="R654" s="4"/>
      <c r="S654" s="4"/>
      <c r="T654" s="4"/>
      <c r="U654" s="4"/>
      <c r="V654" s="4"/>
      <c r="W654" s="4"/>
    </row>
    <row r="655">
      <c r="A655" s="4"/>
      <c r="B655" s="69"/>
      <c r="C655" s="4"/>
      <c r="D655" s="4"/>
      <c r="E655" s="4"/>
      <c r="F655" s="4"/>
      <c r="G655" s="4"/>
      <c r="H655" s="4"/>
      <c r="I655" s="4"/>
      <c r="J655" s="4"/>
      <c r="K655" s="4"/>
      <c r="L655" s="4"/>
      <c r="M655" s="4"/>
      <c r="N655" s="4"/>
      <c r="O655" s="4"/>
      <c r="P655" s="4"/>
      <c r="Q655" s="4"/>
      <c r="R655" s="4"/>
      <c r="S655" s="4"/>
      <c r="T655" s="4"/>
      <c r="U655" s="4"/>
      <c r="V655" s="4"/>
      <c r="W655" s="4"/>
    </row>
    <row r="656">
      <c r="A656" s="4"/>
      <c r="B656" s="69"/>
      <c r="C656" s="4"/>
      <c r="D656" s="4"/>
      <c r="E656" s="4"/>
      <c r="F656" s="4"/>
      <c r="G656" s="4"/>
      <c r="H656" s="4"/>
      <c r="I656" s="4"/>
      <c r="J656" s="4"/>
      <c r="K656" s="4"/>
      <c r="L656" s="4"/>
      <c r="M656" s="4"/>
      <c r="N656" s="4"/>
      <c r="O656" s="4"/>
      <c r="P656" s="4"/>
      <c r="Q656" s="4"/>
      <c r="R656" s="4"/>
      <c r="S656" s="4"/>
      <c r="T656" s="4"/>
      <c r="U656" s="4"/>
      <c r="V656" s="4"/>
      <c r="W656" s="4"/>
    </row>
    <row r="657">
      <c r="A657" s="4"/>
      <c r="B657" s="69"/>
      <c r="C657" s="4"/>
      <c r="D657" s="4"/>
      <c r="E657" s="4"/>
      <c r="F657" s="4"/>
      <c r="G657" s="4"/>
      <c r="H657" s="4"/>
      <c r="I657" s="4"/>
      <c r="J657" s="4"/>
      <c r="K657" s="4"/>
      <c r="L657" s="4"/>
      <c r="M657" s="4"/>
      <c r="N657" s="4"/>
      <c r="O657" s="4"/>
      <c r="P657" s="4"/>
      <c r="Q657" s="4"/>
      <c r="R657" s="4"/>
      <c r="S657" s="4"/>
      <c r="T657" s="4"/>
      <c r="U657" s="4"/>
      <c r="V657" s="4"/>
      <c r="W657" s="4"/>
    </row>
    <row r="658">
      <c r="A658" s="4"/>
      <c r="B658" s="69"/>
      <c r="C658" s="4"/>
      <c r="D658" s="4"/>
      <c r="E658" s="4"/>
      <c r="F658" s="4"/>
      <c r="G658" s="4"/>
      <c r="H658" s="4"/>
      <c r="I658" s="4"/>
      <c r="J658" s="4"/>
      <c r="K658" s="4"/>
      <c r="L658" s="4"/>
      <c r="M658" s="4"/>
      <c r="N658" s="4"/>
      <c r="O658" s="4"/>
      <c r="P658" s="4"/>
      <c r="Q658" s="4"/>
      <c r="R658" s="4"/>
      <c r="S658" s="4"/>
      <c r="T658" s="4"/>
      <c r="U658" s="4"/>
      <c r="V658" s="4"/>
      <c r="W658" s="4"/>
    </row>
    <row r="659">
      <c r="A659" s="4"/>
      <c r="B659" s="69"/>
      <c r="C659" s="4"/>
      <c r="D659" s="4"/>
      <c r="E659" s="4"/>
      <c r="F659" s="4"/>
      <c r="G659" s="4"/>
      <c r="H659" s="4"/>
      <c r="I659" s="4"/>
      <c r="J659" s="4"/>
      <c r="K659" s="4"/>
      <c r="L659" s="4"/>
      <c r="M659" s="4"/>
      <c r="N659" s="4"/>
      <c r="O659" s="4"/>
      <c r="P659" s="4"/>
      <c r="Q659" s="4"/>
      <c r="R659" s="4"/>
      <c r="S659" s="4"/>
      <c r="T659" s="4"/>
      <c r="U659" s="4"/>
      <c r="V659" s="4"/>
      <c r="W659" s="4"/>
    </row>
    <row r="660">
      <c r="A660" s="4"/>
      <c r="B660" s="69"/>
      <c r="C660" s="4"/>
      <c r="D660" s="4"/>
      <c r="E660" s="4"/>
      <c r="F660" s="4"/>
      <c r="G660" s="4"/>
      <c r="H660" s="4"/>
      <c r="I660" s="4"/>
      <c r="J660" s="4"/>
      <c r="K660" s="4"/>
      <c r="L660" s="4"/>
      <c r="M660" s="4"/>
      <c r="N660" s="4"/>
      <c r="O660" s="4"/>
      <c r="P660" s="4"/>
      <c r="Q660" s="4"/>
      <c r="R660" s="4"/>
      <c r="S660" s="4"/>
      <c r="T660" s="4"/>
      <c r="U660" s="4"/>
      <c r="V660" s="4"/>
      <c r="W660" s="4"/>
    </row>
    <row r="661">
      <c r="A661" s="4"/>
      <c r="B661" s="69"/>
      <c r="C661" s="4"/>
      <c r="D661" s="4"/>
      <c r="E661" s="4"/>
      <c r="F661" s="4"/>
      <c r="G661" s="4"/>
      <c r="H661" s="4"/>
      <c r="I661" s="4"/>
      <c r="J661" s="4"/>
      <c r="K661" s="4"/>
      <c r="L661" s="4"/>
      <c r="M661" s="4"/>
      <c r="N661" s="4"/>
      <c r="O661" s="4"/>
      <c r="P661" s="4"/>
      <c r="Q661" s="4"/>
      <c r="R661" s="4"/>
      <c r="S661" s="4"/>
      <c r="T661" s="4"/>
      <c r="U661" s="4"/>
      <c r="V661" s="4"/>
      <c r="W661" s="4"/>
    </row>
    <row r="662">
      <c r="A662" s="4"/>
      <c r="B662" s="69"/>
      <c r="C662" s="4"/>
      <c r="D662" s="4"/>
      <c r="E662" s="4"/>
      <c r="F662" s="4"/>
      <c r="G662" s="4"/>
      <c r="H662" s="4"/>
      <c r="I662" s="4"/>
      <c r="J662" s="4"/>
      <c r="K662" s="4"/>
      <c r="L662" s="4"/>
      <c r="M662" s="4"/>
      <c r="N662" s="4"/>
      <c r="O662" s="4"/>
      <c r="P662" s="4"/>
      <c r="Q662" s="4"/>
      <c r="R662" s="4"/>
      <c r="S662" s="4"/>
      <c r="T662" s="4"/>
      <c r="U662" s="4"/>
      <c r="V662" s="4"/>
      <c r="W662" s="4"/>
    </row>
    <row r="663">
      <c r="A663" s="4"/>
      <c r="B663" s="69"/>
      <c r="C663" s="4"/>
      <c r="D663" s="4"/>
      <c r="E663" s="4"/>
      <c r="F663" s="4"/>
      <c r="G663" s="4"/>
      <c r="H663" s="4"/>
      <c r="I663" s="4"/>
      <c r="J663" s="4"/>
      <c r="K663" s="4"/>
      <c r="L663" s="4"/>
      <c r="M663" s="4"/>
      <c r="N663" s="4"/>
      <c r="O663" s="4"/>
      <c r="P663" s="4"/>
      <c r="Q663" s="4"/>
      <c r="R663" s="4"/>
      <c r="S663" s="4"/>
      <c r="T663" s="4"/>
      <c r="U663" s="4"/>
      <c r="V663" s="4"/>
      <c r="W663" s="4"/>
    </row>
    <row r="664">
      <c r="A664" s="4"/>
      <c r="B664" s="69"/>
      <c r="C664" s="4"/>
      <c r="D664" s="4"/>
      <c r="E664" s="4"/>
      <c r="F664" s="4"/>
      <c r="G664" s="4"/>
      <c r="H664" s="4"/>
      <c r="I664" s="4"/>
      <c r="J664" s="4"/>
      <c r="K664" s="4"/>
      <c r="L664" s="4"/>
      <c r="M664" s="4"/>
      <c r="N664" s="4"/>
      <c r="O664" s="4"/>
      <c r="P664" s="4"/>
      <c r="Q664" s="4"/>
      <c r="R664" s="4"/>
      <c r="S664" s="4"/>
      <c r="T664" s="4"/>
      <c r="U664" s="4"/>
      <c r="V664" s="4"/>
      <c r="W664" s="4"/>
    </row>
    <row r="665">
      <c r="A665" s="4"/>
      <c r="B665" s="69"/>
      <c r="C665" s="4"/>
      <c r="D665" s="4"/>
      <c r="E665" s="4"/>
      <c r="F665" s="4"/>
      <c r="G665" s="4"/>
      <c r="H665" s="4"/>
      <c r="I665" s="4"/>
      <c r="J665" s="4"/>
      <c r="K665" s="4"/>
      <c r="L665" s="4"/>
      <c r="M665" s="4"/>
      <c r="N665" s="4"/>
      <c r="O665" s="4"/>
      <c r="P665" s="4"/>
      <c r="Q665" s="4"/>
      <c r="R665" s="4"/>
      <c r="S665" s="4"/>
      <c r="T665" s="4"/>
      <c r="U665" s="4"/>
      <c r="V665" s="4"/>
      <c r="W665" s="4"/>
    </row>
    <row r="666">
      <c r="A666" s="4"/>
      <c r="B666" s="69"/>
      <c r="C666" s="4"/>
      <c r="D666" s="4"/>
      <c r="E666" s="4"/>
      <c r="F666" s="4"/>
      <c r="G666" s="4"/>
      <c r="H666" s="4"/>
      <c r="I666" s="4"/>
      <c r="J666" s="4"/>
      <c r="K666" s="4"/>
      <c r="L666" s="4"/>
      <c r="M666" s="4"/>
      <c r="N666" s="4"/>
      <c r="O666" s="4"/>
      <c r="P666" s="4"/>
      <c r="Q666" s="4"/>
      <c r="R666" s="4"/>
      <c r="S666" s="4"/>
      <c r="T666" s="4"/>
      <c r="U666" s="4"/>
      <c r="V666" s="4"/>
      <c r="W666" s="4"/>
    </row>
    <row r="667">
      <c r="A667" s="4"/>
      <c r="B667" s="69"/>
      <c r="C667" s="4"/>
      <c r="D667" s="4"/>
      <c r="E667" s="4"/>
      <c r="F667" s="4"/>
      <c r="G667" s="4"/>
      <c r="H667" s="4"/>
      <c r="I667" s="4"/>
      <c r="J667" s="4"/>
      <c r="K667" s="4"/>
      <c r="L667" s="4"/>
      <c r="M667" s="4"/>
      <c r="N667" s="4"/>
      <c r="O667" s="4"/>
      <c r="P667" s="4"/>
      <c r="Q667" s="4"/>
      <c r="R667" s="4"/>
      <c r="S667" s="4"/>
      <c r="T667" s="4"/>
      <c r="U667" s="4"/>
      <c r="V667" s="4"/>
      <c r="W667" s="4"/>
    </row>
    <row r="668">
      <c r="A668" s="4"/>
      <c r="B668" s="69"/>
      <c r="C668" s="4"/>
      <c r="D668" s="4"/>
      <c r="E668" s="4"/>
      <c r="F668" s="4"/>
      <c r="G668" s="4"/>
      <c r="H668" s="4"/>
      <c r="I668" s="4"/>
      <c r="J668" s="4"/>
      <c r="K668" s="4"/>
      <c r="L668" s="4"/>
      <c r="M668" s="4"/>
      <c r="N668" s="4"/>
      <c r="O668" s="4"/>
      <c r="P668" s="4"/>
      <c r="Q668" s="4"/>
      <c r="R668" s="4"/>
      <c r="S668" s="4"/>
      <c r="T668" s="4"/>
      <c r="U668" s="4"/>
      <c r="V668" s="4"/>
      <c r="W668" s="4"/>
    </row>
    <row r="669">
      <c r="A669" s="4"/>
      <c r="B669" s="69"/>
      <c r="C669" s="4"/>
      <c r="D669" s="4"/>
      <c r="E669" s="4"/>
      <c r="F669" s="4"/>
      <c r="G669" s="4"/>
      <c r="H669" s="4"/>
      <c r="I669" s="4"/>
      <c r="J669" s="4"/>
      <c r="K669" s="4"/>
      <c r="L669" s="4"/>
      <c r="M669" s="4"/>
      <c r="N669" s="4"/>
      <c r="O669" s="4"/>
      <c r="P669" s="4"/>
      <c r="Q669" s="4"/>
      <c r="R669" s="4"/>
      <c r="S669" s="4"/>
      <c r="T669" s="4"/>
      <c r="U669" s="4"/>
      <c r="V669" s="4"/>
      <c r="W669" s="4"/>
    </row>
    <row r="670">
      <c r="A670" s="4"/>
      <c r="B670" s="69"/>
      <c r="C670" s="4"/>
      <c r="D670" s="4"/>
      <c r="E670" s="4"/>
      <c r="F670" s="4"/>
      <c r="G670" s="4"/>
      <c r="H670" s="4"/>
      <c r="I670" s="4"/>
      <c r="J670" s="4"/>
      <c r="K670" s="4"/>
      <c r="L670" s="4"/>
      <c r="M670" s="4"/>
      <c r="N670" s="4"/>
      <c r="O670" s="4"/>
      <c r="P670" s="4"/>
      <c r="Q670" s="4"/>
      <c r="R670" s="4"/>
      <c r="S670" s="4"/>
      <c r="T670" s="4"/>
      <c r="U670" s="4"/>
      <c r="V670" s="4"/>
      <c r="W670" s="4"/>
    </row>
    <row r="671">
      <c r="A671" s="4"/>
      <c r="B671" s="69"/>
      <c r="C671" s="4"/>
      <c r="D671" s="4"/>
      <c r="E671" s="4"/>
      <c r="F671" s="4"/>
      <c r="G671" s="4"/>
      <c r="H671" s="4"/>
      <c r="I671" s="4"/>
      <c r="J671" s="4"/>
      <c r="K671" s="4"/>
      <c r="L671" s="4"/>
      <c r="M671" s="4"/>
      <c r="N671" s="4"/>
      <c r="O671" s="4"/>
      <c r="P671" s="4"/>
      <c r="Q671" s="4"/>
      <c r="R671" s="4"/>
      <c r="S671" s="4"/>
      <c r="T671" s="4"/>
      <c r="U671" s="4"/>
      <c r="V671" s="4"/>
      <c r="W671" s="4"/>
    </row>
    <row r="672">
      <c r="A672" s="4"/>
      <c r="B672" s="69"/>
      <c r="C672" s="4"/>
      <c r="D672" s="4"/>
      <c r="E672" s="4"/>
      <c r="F672" s="4"/>
      <c r="G672" s="4"/>
      <c r="H672" s="4"/>
      <c r="I672" s="4"/>
      <c r="J672" s="4"/>
      <c r="K672" s="4"/>
      <c r="L672" s="4"/>
      <c r="M672" s="4"/>
      <c r="N672" s="4"/>
      <c r="O672" s="4"/>
      <c r="P672" s="4"/>
      <c r="Q672" s="4"/>
      <c r="R672" s="4"/>
      <c r="S672" s="4"/>
      <c r="T672" s="4"/>
      <c r="U672" s="4"/>
      <c r="V672" s="4"/>
      <c r="W672" s="4"/>
    </row>
    <row r="673">
      <c r="A673" s="4"/>
      <c r="B673" s="69"/>
      <c r="C673" s="4"/>
      <c r="D673" s="4"/>
      <c r="E673" s="4"/>
      <c r="F673" s="4"/>
      <c r="G673" s="4"/>
      <c r="H673" s="4"/>
      <c r="I673" s="4"/>
      <c r="J673" s="4"/>
      <c r="K673" s="4"/>
      <c r="L673" s="4"/>
      <c r="M673" s="4"/>
      <c r="N673" s="4"/>
      <c r="O673" s="4"/>
      <c r="P673" s="4"/>
      <c r="Q673" s="4"/>
      <c r="R673" s="4"/>
      <c r="S673" s="4"/>
      <c r="T673" s="4"/>
      <c r="U673" s="4"/>
      <c r="V673" s="4"/>
      <c r="W673" s="4"/>
    </row>
    <row r="674">
      <c r="A674" s="4"/>
      <c r="B674" s="69"/>
      <c r="C674" s="4"/>
      <c r="D674" s="4"/>
      <c r="E674" s="4"/>
      <c r="F674" s="4"/>
      <c r="G674" s="4"/>
      <c r="H674" s="4"/>
      <c r="I674" s="4"/>
      <c r="J674" s="4"/>
      <c r="K674" s="4"/>
      <c r="L674" s="4"/>
      <c r="M674" s="4"/>
      <c r="N674" s="4"/>
      <c r="O674" s="4"/>
      <c r="P674" s="4"/>
      <c r="Q674" s="4"/>
      <c r="R674" s="4"/>
      <c r="S674" s="4"/>
      <c r="T674" s="4"/>
      <c r="U674" s="4"/>
      <c r="V674" s="4"/>
      <c r="W674" s="4"/>
    </row>
    <row r="675">
      <c r="A675" s="4"/>
      <c r="B675" s="69"/>
      <c r="C675" s="4"/>
      <c r="D675" s="4"/>
      <c r="E675" s="4"/>
      <c r="F675" s="4"/>
      <c r="G675" s="4"/>
      <c r="H675" s="4"/>
      <c r="I675" s="4"/>
      <c r="J675" s="4"/>
      <c r="K675" s="4"/>
      <c r="L675" s="4"/>
      <c r="M675" s="4"/>
      <c r="N675" s="4"/>
      <c r="O675" s="4"/>
      <c r="P675" s="4"/>
      <c r="Q675" s="4"/>
      <c r="R675" s="4"/>
      <c r="S675" s="4"/>
      <c r="T675" s="4"/>
      <c r="U675" s="4"/>
      <c r="V675" s="4"/>
      <c r="W675" s="4"/>
    </row>
    <row r="676">
      <c r="A676" s="4"/>
      <c r="B676" s="69"/>
      <c r="C676" s="4"/>
      <c r="D676" s="4"/>
      <c r="E676" s="4"/>
      <c r="F676" s="4"/>
      <c r="G676" s="4"/>
      <c r="H676" s="4"/>
      <c r="I676" s="4"/>
      <c r="J676" s="4"/>
      <c r="K676" s="4"/>
      <c r="L676" s="4"/>
      <c r="M676" s="4"/>
      <c r="N676" s="4"/>
      <c r="O676" s="4"/>
      <c r="P676" s="4"/>
      <c r="Q676" s="4"/>
      <c r="R676" s="4"/>
      <c r="S676" s="4"/>
      <c r="T676" s="4"/>
      <c r="U676" s="4"/>
      <c r="V676" s="4"/>
      <c r="W676" s="4"/>
    </row>
    <row r="677">
      <c r="A677" s="4"/>
      <c r="B677" s="69"/>
      <c r="C677" s="4"/>
      <c r="D677" s="4"/>
      <c r="E677" s="4"/>
      <c r="F677" s="4"/>
      <c r="G677" s="4"/>
      <c r="H677" s="4"/>
      <c r="I677" s="4"/>
      <c r="J677" s="4"/>
      <c r="K677" s="4"/>
      <c r="L677" s="4"/>
      <c r="M677" s="4"/>
      <c r="N677" s="4"/>
      <c r="O677" s="4"/>
      <c r="P677" s="4"/>
      <c r="Q677" s="4"/>
      <c r="R677" s="4"/>
      <c r="S677" s="4"/>
      <c r="T677" s="4"/>
      <c r="U677" s="4"/>
      <c r="V677" s="4"/>
      <c r="W677" s="4"/>
    </row>
    <row r="678">
      <c r="A678" s="4"/>
      <c r="B678" s="69"/>
      <c r="C678" s="4"/>
      <c r="D678" s="4"/>
      <c r="E678" s="4"/>
      <c r="F678" s="4"/>
      <c r="G678" s="4"/>
      <c r="H678" s="4"/>
      <c r="I678" s="4"/>
      <c r="J678" s="4"/>
      <c r="K678" s="4"/>
      <c r="L678" s="4"/>
      <c r="M678" s="4"/>
      <c r="N678" s="4"/>
      <c r="O678" s="4"/>
      <c r="P678" s="4"/>
      <c r="Q678" s="4"/>
      <c r="R678" s="4"/>
      <c r="S678" s="4"/>
      <c r="T678" s="4"/>
      <c r="U678" s="4"/>
      <c r="V678" s="4"/>
      <c r="W678" s="4"/>
    </row>
    <row r="679">
      <c r="A679" s="4"/>
      <c r="B679" s="69"/>
      <c r="C679" s="4"/>
      <c r="D679" s="4"/>
      <c r="E679" s="4"/>
      <c r="F679" s="4"/>
      <c r="G679" s="4"/>
      <c r="H679" s="4"/>
      <c r="I679" s="4"/>
      <c r="J679" s="4"/>
      <c r="K679" s="4"/>
      <c r="L679" s="4"/>
      <c r="M679" s="4"/>
      <c r="N679" s="4"/>
      <c r="O679" s="4"/>
      <c r="P679" s="4"/>
      <c r="Q679" s="4"/>
      <c r="R679" s="4"/>
      <c r="S679" s="4"/>
      <c r="T679" s="4"/>
      <c r="U679" s="4"/>
      <c r="V679" s="4"/>
      <c r="W679" s="4"/>
    </row>
    <row r="680">
      <c r="A680" s="4"/>
      <c r="B680" s="69"/>
      <c r="C680" s="4"/>
      <c r="D680" s="4"/>
      <c r="E680" s="4"/>
      <c r="F680" s="4"/>
      <c r="G680" s="4"/>
      <c r="H680" s="4"/>
      <c r="I680" s="4"/>
      <c r="J680" s="4"/>
      <c r="K680" s="4"/>
      <c r="L680" s="4"/>
      <c r="M680" s="4"/>
      <c r="N680" s="4"/>
      <c r="O680" s="4"/>
      <c r="P680" s="4"/>
      <c r="Q680" s="4"/>
      <c r="R680" s="4"/>
      <c r="S680" s="4"/>
      <c r="T680" s="4"/>
      <c r="U680" s="4"/>
      <c r="V680" s="4"/>
      <c r="W680" s="4"/>
    </row>
    <row r="681">
      <c r="A681" s="4"/>
      <c r="B681" s="69"/>
      <c r="C681" s="4"/>
      <c r="D681" s="4"/>
      <c r="E681" s="4"/>
      <c r="F681" s="4"/>
      <c r="G681" s="4"/>
      <c r="H681" s="4"/>
      <c r="I681" s="4"/>
      <c r="J681" s="4"/>
      <c r="K681" s="4"/>
      <c r="L681" s="4"/>
      <c r="M681" s="4"/>
      <c r="N681" s="4"/>
      <c r="O681" s="4"/>
      <c r="P681" s="4"/>
      <c r="Q681" s="4"/>
      <c r="R681" s="4"/>
      <c r="S681" s="4"/>
      <c r="T681" s="4"/>
      <c r="U681" s="4"/>
      <c r="V681" s="4"/>
      <c r="W681" s="4"/>
    </row>
    <row r="682">
      <c r="A682" s="4"/>
      <c r="B682" s="69"/>
      <c r="C682" s="4"/>
      <c r="D682" s="4"/>
      <c r="E682" s="4"/>
      <c r="F682" s="4"/>
      <c r="G682" s="4"/>
      <c r="H682" s="4"/>
      <c r="I682" s="4"/>
      <c r="J682" s="4"/>
      <c r="K682" s="4"/>
      <c r="L682" s="4"/>
      <c r="M682" s="4"/>
      <c r="N682" s="4"/>
      <c r="O682" s="4"/>
      <c r="P682" s="4"/>
      <c r="Q682" s="4"/>
      <c r="R682" s="4"/>
      <c r="S682" s="4"/>
      <c r="T682" s="4"/>
      <c r="U682" s="4"/>
      <c r="V682" s="4"/>
      <c r="W682" s="4"/>
    </row>
    <row r="683">
      <c r="A683" s="4"/>
      <c r="B683" s="69"/>
      <c r="C683" s="4"/>
      <c r="D683" s="4"/>
      <c r="E683" s="4"/>
      <c r="F683" s="4"/>
      <c r="G683" s="4"/>
      <c r="H683" s="4"/>
      <c r="I683" s="4"/>
      <c r="J683" s="4"/>
      <c r="K683" s="4"/>
      <c r="L683" s="4"/>
      <c r="M683" s="4"/>
      <c r="N683" s="4"/>
      <c r="O683" s="4"/>
      <c r="P683" s="4"/>
      <c r="Q683" s="4"/>
      <c r="R683" s="4"/>
      <c r="S683" s="4"/>
      <c r="T683" s="4"/>
      <c r="U683" s="4"/>
      <c r="V683" s="4"/>
      <c r="W683" s="4"/>
    </row>
    <row r="684">
      <c r="A684" s="4"/>
      <c r="B684" s="69"/>
      <c r="C684" s="4"/>
      <c r="D684" s="4"/>
      <c r="E684" s="4"/>
      <c r="F684" s="4"/>
      <c r="G684" s="4"/>
      <c r="H684" s="4"/>
      <c r="I684" s="4"/>
      <c r="J684" s="4"/>
      <c r="K684" s="4"/>
      <c r="L684" s="4"/>
      <c r="M684" s="4"/>
      <c r="N684" s="4"/>
      <c r="O684" s="4"/>
      <c r="P684" s="4"/>
      <c r="Q684" s="4"/>
      <c r="R684" s="4"/>
      <c r="S684" s="4"/>
      <c r="T684" s="4"/>
      <c r="U684" s="4"/>
      <c r="V684" s="4"/>
      <c r="W684" s="4"/>
    </row>
    <row r="685">
      <c r="A685" s="4"/>
      <c r="B685" s="69"/>
      <c r="C685" s="4"/>
      <c r="D685" s="4"/>
      <c r="E685" s="4"/>
      <c r="F685" s="4"/>
      <c r="G685" s="4"/>
      <c r="H685" s="4"/>
      <c r="I685" s="4"/>
      <c r="J685" s="4"/>
      <c r="K685" s="4"/>
      <c r="L685" s="4"/>
      <c r="M685" s="4"/>
      <c r="N685" s="4"/>
      <c r="O685" s="4"/>
      <c r="P685" s="4"/>
      <c r="Q685" s="4"/>
      <c r="R685" s="4"/>
      <c r="S685" s="4"/>
      <c r="T685" s="4"/>
      <c r="U685" s="4"/>
      <c r="V685" s="4"/>
      <c r="W685" s="4"/>
    </row>
    <row r="686">
      <c r="A686" s="4"/>
      <c r="B686" s="69"/>
      <c r="C686" s="4"/>
      <c r="D686" s="4"/>
      <c r="E686" s="4"/>
      <c r="F686" s="4"/>
      <c r="G686" s="4"/>
      <c r="H686" s="4"/>
      <c r="I686" s="4"/>
      <c r="J686" s="4"/>
      <c r="K686" s="4"/>
      <c r="L686" s="4"/>
      <c r="M686" s="4"/>
      <c r="N686" s="4"/>
      <c r="O686" s="4"/>
      <c r="P686" s="4"/>
      <c r="Q686" s="4"/>
      <c r="R686" s="4"/>
      <c r="S686" s="4"/>
      <c r="T686" s="4"/>
      <c r="U686" s="4"/>
      <c r="V686" s="4"/>
      <c r="W686" s="4"/>
    </row>
    <row r="687">
      <c r="A687" s="4"/>
      <c r="B687" s="69"/>
      <c r="C687" s="4"/>
      <c r="D687" s="4"/>
      <c r="E687" s="4"/>
      <c r="F687" s="4"/>
      <c r="G687" s="4"/>
      <c r="H687" s="4"/>
      <c r="I687" s="4"/>
      <c r="J687" s="4"/>
      <c r="K687" s="4"/>
      <c r="L687" s="4"/>
      <c r="M687" s="4"/>
      <c r="N687" s="4"/>
      <c r="O687" s="4"/>
      <c r="P687" s="4"/>
      <c r="Q687" s="4"/>
      <c r="R687" s="4"/>
      <c r="S687" s="4"/>
      <c r="T687" s="4"/>
      <c r="U687" s="4"/>
      <c r="V687" s="4"/>
      <c r="W687" s="4"/>
    </row>
    <row r="688">
      <c r="A688" s="4"/>
      <c r="B688" s="69"/>
      <c r="C688" s="4"/>
      <c r="D688" s="4"/>
      <c r="E688" s="4"/>
      <c r="F688" s="4"/>
      <c r="G688" s="4"/>
      <c r="H688" s="4"/>
      <c r="I688" s="4"/>
      <c r="J688" s="4"/>
      <c r="K688" s="4"/>
      <c r="L688" s="4"/>
      <c r="M688" s="4"/>
      <c r="N688" s="4"/>
      <c r="O688" s="4"/>
      <c r="P688" s="4"/>
      <c r="Q688" s="4"/>
      <c r="R688" s="4"/>
      <c r="S688" s="4"/>
      <c r="T688" s="4"/>
      <c r="U688" s="4"/>
      <c r="V688" s="4"/>
      <c r="W688" s="4"/>
    </row>
    <row r="689">
      <c r="A689" s="4"/>
      <c r="B689" s="69"/>
      <c r="C689" s="4"/>
      <c r="D689" s="4"/>
      <c r="E689" s="4"/>
      <c r="F689" s="4"/>
      <c r="G689" s="4"/>
      <c r="H689" s="4"/>
      <c r="I689" s="4"/>
      <c r="J689" s="4"/>
      <c r="K689" s="4"/>
      <c r="L689" s="4"/>
      <c r="M689" s="4"/>
      <c r="N689" s="4"/>
      <c r="O689" s="4"/>
      <c r="P689" s="4"/>
      <c r="Q689" s="4"/>
      <c r="R689" s="4"/>
      <c r="S689" s="4"/>
      <c r="T689" s="4"/>
      <c r="U689" s="4"/>
      <c r="V689" s="4"/>
      <c r="W689" s="4"/>
    </row>
    <row r="690">
      <c r="A690" s="4"/>
      <c r="B690" s="69"/>
      <c r="C690" s="4"/>
      <c r="D690" s="4"/>
      <c r="E690" s="4"/>
      <c r="F690" s="4"/>
      <c r="G690" s="4"/>
      <c r="H690" s="4"/>
      <c r="I690" s="4"/>
      <c r="J690" s="4"/>
      <c r="K690" s="4"/>
      <c r="L690" s="4"/>
      <c r="M690" s="4"/>
      <c r="N690" s="4"/>
      <c r="O690" s="4"/>
      <c r="P690" s="4"/>
      <c r="Q690" s="4"/>
      <c r="R690" s="4"/>
      <c r="S690" s="4"/>
      <c r="T690" s="4"/>
      <c r="U690" s="4"/>
      <c r="V690" s="4"/>
      <c r="W690" s="4"/>
    </row>
    <row r="691">
      <c r="A691" s="4"/>
      <c r="B691" s="69"/>
      <c r="C691" s="4"/>
      <c r="D691" s="4"/>
      <c r="E691" s="4"/>
      <c r="F691" s="4"/>
      <c r="G691" s="4"/>
      <c r="H691" s="4"/>
      <c r="I691" s="4"/>
      <c r="J691" s="4"/>
      <c r="K691" s="4"/>
      <c r="L691" s="4"/>
      <c r="M691" s="4"/>
      <c r="N691" s="4"/>
      <c r="O691" s="4"/>
      <c r="P691" s="4"/>
      <c r="Q691" s="4"/>
      <c r="R691" s="4"/>
      <c r="S691" s="4"/>
      <c r="T691" s="4"/>
      <c r="U691" s="4"/>
      <c r="V691" s="4"/>
      <c r="W691" s="4"/>
    </row>
    <row r="692">
      <c r="A692" s="4"/>
      <c r="B692" s="69"/>
      <c r="C692" s="4"/>
      <c r="D692" s="4"/>
      <c r="E692" s="4"/>
      <c r="F692" s="4"/>
      <c r="G692" s="4"/>
      <c r="H692" s="4"/>
      <c r="I692" s="4"/>
      <c r="J692" s="4"/>
      <c r="K692" s="4"/>
      <c r="L692" s="4"/>
      <c r="M692" s="4"/>
      <c r="N692" s="4"/>
      <c r="O692" s="4"/>
      <c r="P692" s="4"/>
      <c r="Q692" s="4"/>
      <c r="R692" s="4"/>
      <c r="S692" s="4"/>
      <c r="T692" s="4"/>
      <c r="U692" s="4"/>
      <c r="V692" s="4"/>
      <c r="W692" s="4"/>
    </row>
    <row r="693">
      <c r="A693" s="4"/>
      <c r="B693" s="69"/>
      <c r="C693" s="4"/>
      <c r="D693" s="4"/>
      <c r="E693" s="4"/>
      <c r="F693" s="4"/>
      <c r="G693" s="4"/>
      <c r="H693" s="4"/>
      <c r="I693" s="4"/>
      <c r="J693" s="4"/>
      <c r="K693" s="4"/>
      <c r="L693" s="4"/>
      <c r="M693" s="4"/>
      <c r="N693" s="4"/>
      <c r="O693" s="4"/>
      <c r="P693" s="4"/>
      <c r="Q693" s="4"/>
      <c r="R693" s="4"/>
      <c r="S693" s="4"/>
      <c r="T693" s="4"/>
      <c r="U693" s="4"/>
      <c r="V693" s="4"/>
      <c r="W693" s="4"/>
    </row>
    <row r="694">
      <c r="A694" s="4"/>
      <c r="B694" s="69"/>
      <c r="C694" s="4"/>
      <c r="D694" s="4"/>
      <c r="E694" s="4"/>
      <c r="F694" s="4"/>
      <c r="G694" s="4"/>
      <c r="H694" s="4"/>
      <c r="I694" s="4"/>
      <c r="J694" s="4"/>
      <c r="K694" s="4"/>
      <c r="L694" s="4"/>
      <c r="M694" s="4"/>
      <c r="N694" s="4"/>
      <c r="O694" s="4"/>
      <c r="P694" s="4"/>
      <c r="Q694" s="4"/>
      <c r="R694" s="4"/>
      <c r="S694" s="4"/>
      <c r="T694" s="4"/>
      <c r="U694" s="4"/>
      <c r="V694" s="4"/>
      <c r="W694" s="4"/>
    </row>
    <row r="695">
      <c r="A695" s="4"/>
      <c r="B695" s="69"/>
      <c r="C695" s="4"/>
      <c r="D695" s="4"/>
      <c r="E695" s="4"/>
      <c r="F695" s="4"/>
      <c r="G695" s="4"/>
      <c r="H695" s="4"/>
      <c r="I695" s="4"/>
      <c r="J695" s="4"/>
      <c r="K695" s="4"/>
      <c r="L695" s="4"/>
      <c r="M695" s="4"/>
      <c r="N695" s="4"/>
      <c r="O695" s="4"/>
      <c r="P695" s="4"/>
      <c r="Q695" s="4"/>
      <c r="R695" s="4"/>
      <c r="S695" s="4"/>
      <c r="T695" s="4"/>
      <c r="U695" s="4"/>
      <c r="V695" s="4"/>
      <c r="W695" s="4"/>
    </row>
    <row r="696">
      <c r="A696" s="4"/>
      <c r="B696" s="69"/>
      <c r="C696" s="4"/>
      <c r="D696" s="4"/>
      <c r="E696" s="4"/>
      <c r="F696" s="4"/>
      <c r="G696" s="4"/>
      <c r="H696" s="4"/>
      <c r="I696" s="4"/>
      <c r="J696" s="4"/>
      <c r="K696" s="4"/>
      <c r="L696" s="4"/>
      <c r="M696" s="4"/>
      <c r="N696" s="4"/>
      <c r="O696" s="4"/>
      <c r="P696" s="4"/>
      <c r="Q696" s="4"/>
      <c r="R696" s="4"/>
      <c r="S696" s="4"/>
      <c r="T696" s="4"/>
      <c r="U696" s="4"/>
      <c r="V696" s="4"/>
      <c r="W696" s="4"/>
    </row>
    <row r="697">
      <c r="A697" s="4"/>
      <c r="B697" s="69"/>
      <c r="C697" s="4"/>
      <c r="D697" s="4"/>
      <c r="E697" s="4"/>
      <c r="F697" s="4"/>
      <c r="G697" s="4"/>
      <c r="H697" s="4"/>
      <c r="I697" s="4"/>
      <c r="J697" s="4"/>
      <c r="K697" s="4"/>
      <c r="L697" s="4"/>
      <c r="M697" s="4"/>
      <c r="N697" s="4"/>
      <c r="O697" s="4"/>
      <c r="P697" s="4"/>
      <c r="Q697" s="4"/>
      <c r="R697" s="4"/>
      <c r="S697" s="4"/>
      <c r="T697" s="4"/>
      <c r="U697" s="4"/>
      <c r="V697" s="4"/>
      <c r="W697" s="4"/>
    </row>
    <row r="698">
      <c r="A698" s="4"/>
      <c r="B698" s="69"/>
      <c r="C698" s="4"/>
      <c r="D698" s="4"/>
      <c r="E698" s="4"/>
      <c r="F698" s="4"/>
      <c r="G698" s="4"/>
      <c r="H698" s="4"/>
      <c r="I698" s="4"/>
      <c r="J698" s="4"/>
      <c r="K698" s="4"/>
      <c r="L698" s="4"/>
      <c r="M698" s="4"/>
      <c r="N698" s="4"/>
      <c r="O698" s="4"/>
      <c r="P698" s="4"/>
      <c r="Q698" s="4"/>
      <c r="R698" s="4"/>
      <c r="S698" s="4"/>
      <c r="T698" s="4"/>
      <c r="U698" s="4"/>
      <c r="V698" s="4"/>
      <c r="W698" s="4"/>
    </row>
    <row r="699">
      <c r="A699" s="4"/>
      <c r="B699" s="69"/>
      <c r="C699" s="4"/>
      <c r="D699" s="4"/>
      <c r="E699" s="4"/>
      <c r="F699" s="4"/>
      <c r="G699" s="4"/>
      <c r="H699" s="4"/>
      <c r="I699" s="4"/>
      <c r="J699" s="4"/>
      <c r="K699" s="4"/>
      <c r="L699" s="4"/>
      <c r="M699" s="4"/>
      <c r="N699" s="4"/>
      <c r="O699" s="4"/>
      <c r="P699" s="4"/>
      <c r="Q699" s="4"/>
      <c r="R699" s="4"/>
      <c r="S699" s="4"/>
      <c r="T699" s="4"/>
      <c r="U699" s="4"/>
      <c r="V699" s="4"/>
      <c r="W699" s="4"/>
    </row>
    <row r="700">
      <c r="A700" s="4"/>
      <c r="B700" s="69"/>
      <c r="C700" s="4"/>
      <c r="D700" s="4"/>
      <c r="E700" s="4"/>
      <c r="F700" s="4"/>
      <c r="G700" s="4"/>
      <c r="H700" s="4"/>
      <c r="I700" s="4"/>
      <c r="J700" s="4"/>
      <c r="K700" s="4"/>
      <c r="L700" s="4"/>
      <c r="M700" s="4"/>
      <c r="N700" s="4"/>
      <c r="O700" s="4"/>
      <c r="P700" s="4"/>
      <c r="Q700" s="4"/>
      <c r="R700" s="4"/>
      <c r="S700" s="4"/>
      <c r="T700" s="4"/>
      <c r="U700" s="4"/>
      <c r="V700" s="4"/>
      <c r="W700" s="4"/>
    </row>
    <row r="701">
      <c r="A701" s="4"/>
      <c r="B701" s="69"/>
      <c r="C701" s="4"/>
      <c r="D701" s="4"/>
      <c r="E701" s="4"/>
      <c r="F701" s="4"/>
      <c r="G701" s="4"/>
      <c r="H701" s="4"/>
      <c r="I701" s="4"/>
      <c r="J701" s="4"/>
      <c r="K701" s="4"/>
      <c r="L701" s="4"/>
      <c r="M701" s="4"/>
      <c r="N701" s="4"/>
      <c r="O701" s="4"/>
      <c r="P701" s="4"/>
      <c r="Q701" s="4"/>
      <c r="R701" s="4"/>
      <c r="S701" s="4"/>
      <c r="T701" s="4"/>
      <c r="U701" s="4"/>
      <c r="V701" s="4"/>
      <c r="W701" s="4"/>
    </row>
    <row r="702">
      <c r="A702" s="4"/>
      <c r="B702" s="69"/>
      <c r="C702" s="4"/>
      <c r="D702" s="4"/>
      <c r="E702" s="4"/>
      <c r="F702" s="4"/>
      <c r="G702" s="4"/>
      <c r="H702" s="4"/>
      <c r="I702" s="4"/>
      <c r="J702" s="4"/>
      <c r="K702" s="4"/>
      <c r="L702" s="4"/>
      <c r="M702" s="4"/>
      <c r="N702" s="4"/>
      <c r="O702" s="4"/>
      <c r="P702" s="4"/>
      <c r="Q702" s="4"/>
      <c r="R702" s="4"/>
      <c r="S702" s="4"/>
      <c r="T702" s="4"/>
      <c r="U702" s="4"/>
      <c r="V702" s="4"/>
      <c r="W702" s="4"/>
    </row>
    <row r="703">
      <c r="A703" s="4"/>
      <c r="B703" s="69"/>
      <c r="C703" s="4"/>
      <c r="D703" s="4"/>
      <c r="E703" s="4"/>
      <c r="F703" s="4"/>
      <c r="G703" s="4"/>
      <c r="H703" s="4"/>
      <c r="I703" s="4"/>
      <c r="J703" s="4"/>
      <c r="K703" s="4"/>
      <c r="L703" s="4"/>
      <c r="M703" s="4"/>
      <c r="N703" s="4"/>
      <c r="O703" s="4"/>
      <c r="P703" s="4"/>
      <c r="Q703" s="4"/>
      <c r="R703" s="4"/>
      <c r="S703" s="4"/>
      <c r="T703" s="4"/>
      <c r="U703" s="4"/>
      <c r="V703" s="4"/>
      <c r="W703" s="4"/>
    </row>
    <row r="704">
      <c r="A704" s="4"/>
      <c r="B704" s="69"/>
      <c r="C704" s="4"/>
      <c r="D704" s="4"/>
      <c r="E704" s="4"/>
      <c r="F704" s="4"/>
      <c r="G704" s="4"/>
      <c r="H704" s="4"/>
      <c r="I704" s="4"/>
      <c r="J704" s="4"/>
      <c r="K704" s="4"/>
      <c r="L704" s="4"/>
      <c r="M704" s="4"/>
      <c r="N704" s="4"/>
      <c r="O704" s="4"/>
      <c r="P704" s="4"/>
      <c r="Q704" s="4"/>
      <c r="R704" s="4"/>
      <c r="S704" s="4"/>
      <c r="T704" s="4"/>
      <c r="U704" s="4"/>
      <c r="V704" s="4"/>
      <c r="W704" s="4"/>
    </row>
    <row r="705">
      <c r="A705" s="4"/>
      <c r="B705" s="69"/>
      <c r="C705" s="4"/>
      <c r="D705" s="4"/>
      <c r="E705" s="4"/>
      <c r="F705" s="4"/>
      <c r="G705" s="4"/>
      <c r="H705" s="4"/>
      <c r="I705" s="4"/>
      <c r="J705" s="4"/>
      <c r="K705" s="4"/>
      <c r="L705" s="4"/>
      <c r="M705" s="4"/>
      <c r="N705" s="4"/>
      <c r="O705" s="4"/>
      <c r="P705" s="4"/>
      <c r="Q705" s="4"/>
      <c r="R705" s="4"/>
      <c r="S705" s="4"/>
      <c r="T705" s="4"/>
      <c r="U705" s="4"/>
      <c r="V705" s="4"/>
      <c r="W705" s="4"/>
    </row>
    <row r="706">
      <c r="A706" s="4"/>
      <c r="B706" s="69"/>
      <c r="C706" s="4"/>
      <c r="D706" s="4"/>
      <c r="E706" s="4"/>
      <c r="F706" s="4"/>
      <c r="G706" s="4"/>
      <c r="H706" s="4"/>
      <c r="I706" s="4"/>
      <c r="J706" s="4"/>
      <c r="K706" s="4"/>
      <c r="L706" s="4"/>
      <c r="M706" s="4"/>
      <c r="N706" s="4"/>
      <c r="O706" s="4"/>
      <c r="P706" s="4"/>
      <c r="Q706" s="4"/>
      <c r="R706" s="4"/>
      <c r="S706" s="4"/>
      <c r="T706" s="4"/>
      <c r="U706" s="4"/>
      <c r="V706" s="4"/>
      <c r="W706" s="4"/>
    </row>
    <row r="707">
      <c r="A707" s="4"/>
      <c r="B707" s="69"/>
      <c r="C707" s="4"/>
      <c r="D707" s="4"/>
      <c r="E707" s="4"/>
      <c r="F707" s="4"/>
      <c r="G707" s="4"/>
      <c r="H707" s="4"/>
      <c r="I707" s="4"/>
      <c r="J707" s="4"/>
      <c r="K707" s="4"/>
      <c r="L707" s="4"/>
      <c r="M707" s="4"/>
      <c r="N707" s="4"/>
      <c r="O707" s="4"/>
      <c r="P707" s="4"/>
      <c r="Q707" s="4"/>
      <c r="R707" s="4"/>
      <c r="S707" s="4"/>
      <c r="T707" s="4"/>
      <c r="U707" s="4"/>
      <c r="V707" s="4"/>
      <c r="W707" s="4"/>
    </row>
    <row r="708">
      <c r="A708" s="4"/>
      <c r="B708" s="69"/>
      <c r="C708" s="4"/>
      <c r="D708" s="4"/>
      <c r="E708" s="4"/>
      <c r="F708" s="4"/>
      <c r="G708" s="4"/>
      <c r="H708" s="4"/>
      <c r="I708" s="4"/>
      <c r="J708" s="4"/>
      <c r="K708" s="4"/>
      <c r="L708" s="4"/>
      <c r="M708" s="4"/>
      <c r="N708" s="4"/>
      <c r="O708" s="4"/>
      <c r="P708" s="4"/>
      <c r="Q708" s="4"/>
      <c r="R708" s="4"/>
      <c r="S708" s="4"/>
      <c r="T708" s="4"/>
      <c r="U708" s="4"/>
      <c r="V708" s="4"/>
      <c r="W708" s="4"/>
    </row>
    <row r="709">
      <c r="A709" s="4"/>
      <c r="B709" s="69"/>
      <c r="C709" s="4"/>
      <c r="D709" s="4"/>
      <c r="E709" s="4"/>
      <c r="F709" s="4"/>
      <c r="G709" s="4"/>
      <c r="H709" s="4"/>
      <c r="I709" s="4"/>
      <c r="J709" s="4"/>
      <c r="K709" s="4"/>
      <c r="L709" s="4"/>
      <c r="M709" s="4"/>
      <c r="N709" s="4"/>
      <c r="O709" s="4"/>
      <c r="P709" s="4"/>
      <c r="Q709" s="4"/>
      <c r="R709" s="4"/>
      <c r="S709" s="4"/>
      <c r="T709" s="4"/>
      <c r="U709" s="4"/>
      <c r="V709" s="4"/>
      <c r="W709" s="4"/>
    </row>
    <row r="710">
      <c r="A710" s="4"/>
      <c r="B710" s="69"/>
      <c r="C710" s="4"/>
      <c r="D710" s="4"/>
      <c r="E710" s="4"/>
      <c r="F710" s="4"/>
      <c r="G710" s="4"/>
      <c r="H710" s="4"/>
      <c r="I710" s="4"/>
      <c r="J710" s="4"/>
      <c r="K710" s="4"/>
      <c r="L710" s="4"/>
      <c r="M710" s="4"/>
      <c r="N710" s="4"/>
      <c r="O710" s="4"/>
      <c r="P710" s="4"/>
      <c r="Q710" s="4"/>
      <c r="R710" s="4"/>
      <c r="S710" s="4"/>
      <c r="T710" s="4"/>
      <c r="U710" s="4"/>
      <c r="V710" s="4"/>
      <c r="W710" s="4"/>
    </row>
    <row r="711">
      <c r="A711" s="4"/>
      <c r="B711" s="69"/>
      <c r="C711" s="4"/>
      <c r="D711" s="4"/>
      <c r="E711" s="4"/>
      <c r="F711" s="4"/>
      <c r="G711" s="4"/>
      <c r="H711" s="4"/>
      <c r="I711" s="4"/>
      <c r="J711" s="4"/>
      <c r="K711" s="4"/>
      <c r="L711" s="4"/>
      <c r="M711" s="4"/>
      <c r="N711" s="4"/>
      <c r="O711" s="4"/>
      <c r="P711" s="4"/>
      <c r="Q711" s="4"/>
      <c r="R711" s="4"/>
      <c r="S711" s="4"/>
      <c r="T711" s="4"/>
      <c r="U711" s="4"/>
      <c r="V711" s="4"/>
      <c r="W711" s="4"/>
    </row>
    <row r="712">
      <c r="A712" s="4"/>
      <c r="B712" s="69"/>
      <c r="C712" s="4"/>
      <c r="D712" s="4"/>
      <c r="E712" s="4"/>
      <c r="F712" s="4"/>
      <c r="G712" s="4"/>
      <c r="H712" s="4"/>
      <c r="I712" s="4"/>
      <c r="J712" s="4"/>
      <c r="K712" s="4"/>
      <c r="L712" s="4"/>
      <c r="M712" s="4"/>
      <c r="N712" s="4"/>
      <c r="O712" s="4"/>
      <c r="P712" s="4"/>
      <c r="Q712" s="4"/>
      <c r="R712" s="4"/>
      <c r="S712" s="4"/>
      <c r="T712" s="4"/>
      <c r="U712" s="4"/>
      <c r="V712" s="4"/>
      <c r="W712" s="4"/>
    </row>
    <row r="713">
      <c r="A713" s="4"/>
      <c r="B713" s="69"/>
      <c r="C713" s="4"/>
      <c r="D713" s="4"/>
      <c r="E713" s="4"/>
      <c r="F713" s="4"/>
      <c r="G713" s="4"/>
      <c r="H713" s="4"/>
      <c r="I713" s="4"/>
      <c r="J713" s="4"/>
      <c r="K713" s="4"/>
      <c r="L713" s="4"/>
      <c r="M713" s="4"/>
      <c r="N713" s="4"/>
      <c r="O713" s="4"/>
      <c r="P713" s="4"/>
      <c r="Q713" s="4"/>
      <c r="R713" s="4"/>
      <c r="S713" s="4"/>
      <c r="T713" s="4"/>
      <c r="U713" s="4"/>
      <c r="V713" s="4"/>
      <c r="W713" s="4"/>
    </row>
    <row r="714">
      <c r="A714" s="4"/>
      <c r="B714" s="69"/>
      <c r="C714" s="4"/>
      <c r="D714" s="4"/>
      <c r="E714" s="4"/>
      <c r="F714" s="4"/>
      <c r="G714" s="4"/>
      <c r="H714" s="4"/>
      <c r="I714" s="4"/>
      <c r="J714" s="4"/>
      <c r="K714" s="4"/>
      <c r="L714" s="4"/>
      <c r="M714" s="4"/>
      <c r="N714" s="4"/>
      <c r="O714" s="4"/>
      <c r="P714" s="4"/>
      <c r="Q714" s="4"/>
      <c r="R714" s="4"/>
      <c r="S714" s="4"/>
      <c r="T714" s="4"/>
      <c r="U714" s="4"/>
      <c r="V714" s="4"/>
      <c r="W714" s="4"/>
    </row>
    <row r="715">
      <c r="A715" s="4"/>
      <c r="B715" s="69"/>
      <c r="C715" s="4"/>
      <c r="D715" s="4"/>
      <c r="E715" s="4"/>
      <c r="F715" s="4"/>
      <c r="G715" s="4"/>
      <c r="H715" s="4"/>
      <c r="I715" s="4"/>
      <c r="J715" s="4"/>
      <c r="K715" s="4"/>
      <c r="L715" s="4"/>
      <c r="M715" s="4"/>
      <c r="N715" s="4"/>
      <c r="O715" s="4"/>
      <c r="P715" s="4"/>
      <c r="Q715" s="4"/>
      <c r="R715" s="4"/>
      <c r="S715" s="4"/>
      <c r="T715" s="4"/>
      <c r="U715" s="4"/>
      <c r="V715" s="4"/>
      <c r="W715" s="4"/>
    </row>
    <row r="716">
      <c r="A716" s="4"/>
      <c r="B716" s="69"/>
      <c r="C716" s="4"/>
      <c r="D716" s="4"/>
      <c r="E716" s="4"/>
      <c r="F716" s="4"/>
      <c r="G716" s="4"/>
      <c r="H716" s="4"/>
      <c r="I716" s="4"/>
      <c r="J716" s="4"/>
      <c r="K716" s="4"/>
      <c r="L716" s="4"/>
      <c r="M716" s="4"/>
      <c r="N716" s="4"/>
      <c r="O716" s="4"/>
      <c r="P716" s="4"/>
      <c r="Q716" s="4"/>
      <c r="R716" s="4"/>
      <c r="S716" s="4"/>
      <c r="T716" s="4"/>
      <c r="U716" s="4"/>
      <c r="V716" s="4"/>
      <c r="W716" s="4"/>
    </row>
    <row r="717">
      <c r="A717" s="4"/>
      <c r="B717" s="69"/>
      <c r="C717" s="4"/>
      <c r="D717" s="4"/>
      <c r="E717" s="4"/>
      <c r="F717" s="4"/>
      <c r="G717" s="4"/>
      <c r="H717" s="4"/>
      <c r="I717" s="4"/>
      <c r="J717" s="4"/>
      <c r="K717" s="4"/>
      <c r="L717" s="4"/>
      <c r="M717" s="4"/>
      <c r="N717" s="4"/>
      <c r="O717" s="4"/>
      <c r="P717" s="4"/>
      <c r="Q717" s="4"/>
      <c r="R717" s="4"/>
      <c r="S717" s="4"/>
      <c r="T717" s="4"/>
      <c r="U717" s="4"/>
      <c r="V717" s="4"/>
      <c r="W717" s="4"/>
    </row>
    <row r="718">
      <c r="A718" s="4"/>
      <c r="B718" s="69"/>
      <c r="C718" s="4"/>
      <c r="D718" s="4"/>
      <c r="E718" s="4"/>
      <c r="F718" s="4"/>
      <c r="G718" s="4"/>
      <c r="H718" s="4"/>
      <c r="I718" s="4"/>
      <c r="J718" s="4"/>
      <c r="K718" s="4"/>
      <c r="L718" s="4"/>
      <c r="M718" s="4"/>
      <c r="N718" s="4"/>
      <c r="O718" s="4"/>
      <c r="P718" s="4"/>
      <c r="Q718" s="4"/>
      <c r="R718" s="4"/>
      <c r="S718" s="4"/>
      <c r="T718" s="4"/>
      <c r="U718" s="4"/>
      <c r="V718" s="4"/>
      <c r="W718" s="4"/>
    </row>
    <row r="719">
      <c r="A719" s="4"/>
      <c r="B719" s="69"/>
      <c r="C719" s="4"/>
      <c r="D719" s="4"/>
      <c r="E719" s="4"/>
      <c r="F719" s="4"/>
      <c r="G719" s="4"/>
      <c r="H719" s="4"/>
      <c r="I719" s="4"/>
      <c r="J719" s="4"/>
      <c r="K719" s="4"/>
      <c r="L719" s="4"/>
      <c r="M719" s="4"/>
      <c r="N719" s="4"/>
      <c r="O719" s="4"/>
      <c r="P719" s="4"/>
      <c r="Q719" s="4"/>
      <c r="R719" s="4"/>
      <c r="S719" s="4"/>
      <c r="T719" s="4"/>
      <c r="U719" s="4"/>
      <c r="V719" s="4"/>
      <c r="W719" s="4"/>
    </row>
    <row r="720">
      <c r="A720" s="4"/>
      <c r="B720" s="69"/>
      <c r="C720" s="4"/>
      <c r="D720" s="4"/>
      <c r="E720" s="4"/>
      <c r="F720" s="4"/>
      <c r="G720" s="4"/>
      <c r="H720" s="4"/>
      <c r="I720" s="4"/>
      <c r="J720" s="4"/>
      <c r="K720" s="4"/>
      <c r="L720" s="4"/>
      <c r="M720" s="4"/>
      <c r="N720" s="4"/>
      <c r="O720" s="4"/>
      <c r="P720" s="4"/>
      <c r="Q720" s="4"/>
      <c r="R720" s="4"/>
      <c r="S720" s="4"/>
      <c r="T720" s="4"/>
      <c r="U720" s="4"/>
      <c r="V720" s="4"/>
      <c r="W720" s="4"/>
    </row>
    <row r="721">
      <c r="A721" s="4"/>
      <c r="B721" s="69"/>
      <c r="C721" s="4"/>
      <c r="D721" s="4"/>
      <c r="E721" s="4"/>
      <c r="F721" s="4"/>
      <c r="G721" s="4"/>
      <c r="H721" s="4"/>
      <c r="I721" s="4"/>
      <c r="J721" s="4"/>
      <c r="K721" s="4"/>
      <c r="L721" s="4"/>
      <c r="M721" s="4"/>
      <c r="N721" s="4"/>
      <c r="O721" s="4"/>
      <c r="P721" s="4"/>
      <c r="Q721" s="4"/>
      <c r="R721" s="4"/>
      <c r="S721" s="4"/>
      <c r="T721" s="4"/>
      <c r="U721" s="4"/>
      <c r="V721" s="4"/>
      <c r="W721" s="4"/>
    </row>
    <row r="722">
      <c r="A722" s="4"/>
      <c r="B722" s="69"/>
      <c r="C722" s="4"/>
      <c r="D722" s="4"/>
      <c r="E722" s="4"/>
      <c r="F722" s="4"/>
      <c r="G722" s="4"/>
      <c r="H722" s="4"/>
      <c r="I722" s="4"/>
      <c r="J722" s="4"/>
      <c r="K722" s="4"/>
      <c r="L722" s="4"/>
      <c r="M722" s="4"/>
      <c r="N722" s="4"/>
      <c r="O722" s="4"/>
      <c r="P722" s="4"/>
      <c r="Q722" s="4"/>
      <c r="R722" s="4"/>
      <c r="S722" s="4"/>
      <c r="T722" s="4"/>
      <c r="U722" s="4"/>
      <c r="V722" s="4"/>
      <c r="W722" s="4"/>
    </row>
    <row r="723">
      <c r="A723" s="4"/>
      <c r="B723" s="69"/>
      <c r="C723" s="4"/>
      <c r="D723" s="4"/>
      <c r="E723" s="4"/>
      <c r="F723" s="4"/>
      <c r="G723" s="4"/>
      <c r="H723" s="4"/>
      <c r="I723" s="4"/>
      <c r="J723" s="4"/>
      <c r="K723" s="4"/>
      <c r="L723" s="4"/>
      <c r="M723" s="4"/>
      <c r="N723" s="4"/>
      <c r="O723" s="4"/>
      <c r="P723" s="4"/>
      <c r="Q723" s="4"/>
      <c r="R723" s="4"/>
      <c r="S723" s="4"/>
      <c r="T723" s="4"/>
      <c r="U723" s="4"/>
      <c r="V723" s="4"/>
      <c r="W723" s="4"/>
    </row>
    <row r="724">
      <c r="A724" s="4"/>
      <c r="B724" s="69"/>
      <c r="C724" s="4"/>
      <c r="D724" s="4"/>
      <c r="E724" s="4"/>
      <c r="F724" s="4"/>
      <c r="G724" s="4"/>
      <c r="H724" s="4"/>
      <c r="I724" s="4"/>
      <c r="J724" s="4"/>
      <c r="K724" s="4"/>
      <c r="L724" s="4"/>
      <c r="M724" s="4"/>
      <c r="N724" s="4"/>
      <c r="O724" s="4"/>
      <c r="P724" s="4"/>
      <c r="Q724" s="4"/>
      <c r="R724" s="4"/>
      <c r="S724" s="4"/>
      <c r="T724" s="4"/>
      <c r="U724" s="4"/>
      <c r="V724" s="4"/>
      <c r="W724" s="4"/>
    </row>
    <row r="725">
      <c r="A725" s="4"/>
      <c r="B725" s="69"/>
      <c r="C725" s="4"/>
      <c r="D725" s="4"/>
      <c r="E725" s="4"/>
      <c r="F725" s="4"/>
      <c r="G725" s="4"/>
      <c r="H725" s="4"/>
      <c r="I725" s="4"/>
      <c r="J725" s="4"/>
      <c r="K725" s="4"/>
      <c r="L725" s="4"/>
      <c r="M725" s="4"/>
      <c r="N725" s="4"/>
      <c r="O725" s="4"/>
      <c r="P725" s="4"/>
      <c r="Q725" s="4"/>
      <c r="R725" s="4"/>
      <c r="S725" s="4"/>
      <c r="T725" s="4"/>
      <c r="U725" s="4"/>
      <c r="V725" s="4"/>
      <c r="W725" s="4"/>
    </row>
    <row r="726">
      <c r="A726" s="4"/>
      <c r="B726" s="69"/>
      <c r="C726" s="4"/>
      <c r="D726" s="4"/>
      <c r="E726" s="4"/>
      <c r="F726" s="4"/>
      <c r="G726" s="4"/>
      <c r="H726" s="4"/>
      <c r="I726" s="4"/>
      <c r="J726" s="4"/>
      <c r="K726" s="4"/>
      <c r="L726" s="4"/>
      <c r="M726" s="4"/>
      <c r="N726" s="4"/>
      <c r="O726" s="4"/>
      <c r="P726" s="4"/>
      <c r="Q726" s="4"/>
      <c r="R726" s="4"/>
      <c r="S726" s="4"/>
      <c r="T726" s="4"/>
      <c r="U726" s="4"/>
      <c r="V726" s="4"/>
      <c r="W726" s="4"/>
    </row>
    <row r="727">
      <c r="A727" s="4"/>
      <c r="B727" s="69"/>
      <c r="C727" s="4"/>
      <c r="D727" s="4"/>
      <c r="E727" s="4"/>
      <c r="F727" s="4"/>
      <c r="G727" s="4"/>
      <c r="H727" s="4"/>
      <c r="I727" s="4"/>
      <c r="J727" s="4"/>
      <c r="K727" s="4"/>
      <c r="L727" s="4"/>
      <c r="M727" s="4"/>
      <c r="N727" s="4"/>
      <c r="O727" s="4"/>
      <c r="P727" s="4"/>
      <c r="Q727" s="4"/>
      <c r="R727" s="4"/>
      <c r="S727" s="4"/>
      <c r="T727" s="4"/>
      <c r="U727" s="4"/>
      <c r="V727" s="4"/>
      <c r="W727" s="4"/>
    </row>
    <row r="728">
      <c r="A728" s="4"/>
      <c r="B728" s="69"/>
      <c r="C728" s="4"/>
      <c r="D728" s="4"/>
      <c r="E728" s="4"/>
      <c r="F728" s="4"/>
      <c r="G728" s="4"/>
      <c r="H728" s="4"/>
      <c r="I728" s="4"/>
      <c r="J728" s="4"/>
      <c r="K728" s="4"/>
      <c r="L728" s="4"/>
      <c r="M728" s="4"/>
      <c r="N728" s="4"/>
      <c r="O728" s="4"/>
      <c r="P728" s="4"/>
      <c r="Q728" s="4"/>
      <c r="R728" s="4"/>
      <c r="S728" s="4"/>
      <c r="T728" s="4"/>
      <c r="U728" s="4"/>
      <c r="V728" s="4"/>
      <c r="W728" s="4"/>
    </row>
    <row r="729">
      <c r="A729" s="4"/>
      <c r="B729" s="69"/>
      <c r="C729" s="4"/>
      <c r="D729" s="4"/>
      <c r="E729" s="4"/>
      <c r="F729" s="4"/>
      <c r="G729" s="4"/>
      <c r="H729" s="4"/>
      <c r="I729" s="4"/>
      <c r="J729" s="4"/>
      <c r="K729" s="4"/>
      <c r="L729" s="4"/>
      <c r="M729" s="4"/>
      <c r="N729" s="4"/>
      <c r="O729" s="4"/>
      <c r="P729" s="4"/>
      <c r="Q729" s="4"/>
      <c r="R729" s="4"/>
      <c r="S729" s="4"/>
      <c r="T729" s="4"/>
      <c r="U729" s="4"/>
      <c r="V729" s="4"/>
      <c r="W729" s="4"/>
    </row>
    <row r="730">
      <c r="A730" s="4"/>
      <c r="B730" s="69"/>
      <c r="C730" s="4"/>
      <c r="D730" s="4"/>
      <c r="E730" s="4"/>
      <c r="F730" s="4"/>
      <c r="G730" s="4"/>
      <c r="H730" s="4"/>
      <c r="I730" s="4"/>
      <c r="J730" s="4"/>
      <c r="K730" s="4"/>
      <c r="L730" s="4"/>
      <c r="M730" s="4"/>
      <c r="N730" s="4"/>
      <c r="O730" s="4"/>
      <c r="P730" s="4"/>
      <c r="Q730" s="4"/>
      <c r="R730" s="4"/>
      <c r="S730" s="4"/>
      <c r="T730" s="4"/>
      <c r="U730" s="4"/>
      <c r="V730" s="4"/>
      <c r="W730" s="4"/>
    </row>
    <row r="731">
      <c r="A731" s="4"/>
      <c r="B731" s="69"/>
      <c r="C731" s="4"/>
      <c r="D731" s="4"/>
      <c r="E731" s="4"/>
      <c r="F731" s="4"/>
      <c r="G731" s="4"/>
      <c r="H731" s="4"/>
      <c r="I731" s="4"/>
      <c r="J731" s="4"/>
      <c r="K731" s="4"/>
      <c r="L731" s="4"/>
      <c r="M731" s="4"/>
      <c r="N731" s="4"/>
      <c r="O731" s="4"/>
      <c r="P731" s="4"/>
      <c r="Q731" s="4"/>
      <c r="R731" s="4"/>
      <c r="S731" s="4"/>
      <c r="T731" s="4"/>
      <c r="U731" s="4"/>
      <c r="V731" s="4"/>
      <c r="W731" s="4"/>
    </row>
    <row r="732">
      <c r="A732" s="4"/>
      <c r="B732" s="69"/>
      <c r="C732" s="4"/>
      <c r="D732" s="4"/>
      <c r="E732" s="4"/>
      <c r="F732" s="4"/>
      <c r="G732" s="4"/>
      <c r="H732" s="4"/>
      <c r="I732" s="4"/>
      <c r="J732" s="4"/>
      <c r="K732" s="4"/>
      <c r="L732" s="4"/>
      <c r="M732" s="4"/>
      <c r="N732" s="4"/>
      <c r="O732" s="4"/>
      <c r="P732" s="4"/>
      <c r="Q732" s="4"/>
      <c r="R732" s="4"/>
      <c r="S732" s="4"/>
      <c r="T732" s="4"/>
      <c r="U732" s="4"/>
      <c r="V732" s="4"/>
      <c r="W732" s="4"/>
    </row>
    <row r="733">
      <c r="A733" s="4"/>
      <c r="B733" s="69"/>
      <c r="C733" s="4"/>
      <c r="D733" s="4"/>
      <c r="E733" s="4"/>
      <c r="F733" s="4"/>
      <c r="G733" s="4"/>
      <c r="H733" s="4"/>
      <c r="I733" s="4"/>
      <c r="J733" s="4"/>
      <c r="K733" s="4"/>
      <c r="L733" s="4"/>
      <c r="M733" s="4"/>
      <c r="N733" s="4"/>
      <c r="O733" s="4"/>
      <c r="P733" s="4"/>
      <c r="Q733" s="4"/>
      <c r="R733" s="4"/>
      <c r="S733" s="4"/>
      <c r="T733" s="4"/>
      <c r="U733" s="4"/>
      <c r="V733" s="4"/>
      <c r="W733" s="4"/>
    </row>
    <row r="734">
      <c r="A734" s="4"/>
      <c r="B734" s="69"/>
      <c r="C734" s="4"/>
      <c r="D734" s="4"/>
      <c r="E734" s="4"/>
      <c r="F734" s="4"/>
      <c r="G734" s="4"/>
      <c r="H734" s="4"/>
      <c r="I734" s="4"/>
      <c r="J734" s="4"/>
      <c r="K734" s="4"/>
      <c r="L734" s="4"/>
      <c r="M734" s="4"/>
      <c r="N734" s="4"/>
      <c r="O734" s="4"/>
      <c r="P734" s="4"/>
      <c r="Q734" s="4"/>
      <c r="R734" s="4"/>
      <c r="S734" s="4"/>
      <c r="T734" s="4"/>
      <c r="U734" s="4"/>
      <c r="V734" s="4"/>
      <c r="W734" s="4"/>
    </row>
    <row r="735">
      <c r="A735" s="4"/>
      <c r="B735" s="69"/>
      <c r="C735" s="4"/>
      <c r="D735" s="4"/>
      <c r="E735" s="4"/>
      <c r="F735" s="4"/>
      <c r="G735" s="4"/>
      <c r="H735" s="4"/>
      <c r="I735" s="4"/>
      <c r="J735" s="4"/>
      <c r="K735" s="4"/>
      <c r="L735" s="4"/>
      <c r="M735" s="4"/>
      <c r="N735" s="4"/>
      <c r="O735" s="4"/>
      <c r="P735" s="4"/>
      <c r="Q735" s="4"/>
      <c r="R735" s="4"/>
      <c r="S735" s="4"/>
      <c r="T735" s="4"/>
      <c r="U735" s="4"/>
      <c r="V735" s="4"/>
      <c r="W735" s="4"/>
    </row>
    <row r="736">
      <c r="A736" s="4"/>
      <c r="B736" s="69"/>
      <c r="C736" s="4"/>
      <c r="D736" s="4"/>
      <c r="E736" s="4"/>
      <c r="F736" s="4"/>
      <c r="G736" s="4"/>
      <c r="H736" s="4"/>
      <c r="I736" s="4"/>
      <c r="J736" s="4"/>
      <c r="K736" s="4"/>
      <c r="L736" s="4"/>
      <c r="M736" s="4"/>
      <c r="N736" s="4"/>
      <c r="O736" s="4"/>
      <c r="P736" s="4"/>
      <c r="Q736" s="4"/>
      <c r="R736" s="4"/>
      <c r="S736" s="4"/>
      <c r="T736" s="4"/>
      <c r="U736" s="4"/>
      <c r="V736" s="4"/>
      <c r="W736" s="4"/>
    </row>
    <row r="737">
      <c r="A737" s="4"/>
      <c r="B737" s="69"/>
      <c r="C737" s="4"/>
      <c r="D737" s="4"/>
      <c r="E737" s="4"/>
      <c r="F737" s="4"/>
      <c r="G737" s="4"/>
      <c r="H737" s="4"/>
      <c r="I737" s="4"/>
      <c r="J737" s="4"/>
      <c r="K737" s="4"/>
      <c r="L737" s="4"/>
      <c r="M737" s="4"/>
      <c r="N737" s="4"/>
      <c r="O737" s="4"/>
      <c r="P737" s="4"/>
      <c r="Q737" s="4"/>
      <c r="R737" s="4"/>
      <c r="S737" s="4"/>
      <c r="T737" s="4"/>
      <c r="U737" s="4"/>
      <c r="V737" s="4"/>
      <c r="W737" s="4"/>
    </row>
    <row r="738">
      <c r="A738" s="4"/>
      <c r="B738" s="69"/>
      <c r="C738" s="4"/>
      <c r="D738" s="4"/>
      <c r="E738" s="4"/>
      <c r="F738" s="4"/>
      <c r="G738" s="4"/>
      <c r="H738" s="4"/>
      <c r="I738" s="4"/>
      <c r="J738" s="4"/>
      <c r="K738" s="4"/>
      <c r="L738" s="4"/>
      <c r="M738" s="4"/>
      <c r="N738" s="4"/>
      <c r="O738" s="4"/>
      <c r="P738" s="4"/>
      <c r="Q738" s="4"/>
      <c r="R738" s="4"/>
      <c r="S738" s="4"/>
      <c r="T738" s="4"/>
      <c r="U738" s="4"/>
      <c r="V738" s="4"/>
      <c r="W738" s="4"/>
    </row>
    <row r="739">
      <c r="A739" s="4"/>
      <c r="B739" s="69"/>
      <c r="C739" s="4"/>
      <c r="D739" s="4"/>
      <c r="E739" s="4"/>
      <c r="F739" s="4"/>
      <c r="G739" s="4"/>
      <c r="H739" s="4"/>
      <c r="I739" s="4"/>
      <c r="J739" s="4"/>
      <c r="K739" s="4"/>
      <c r="L739" s="4"/>
      <c r="M739" s="4"/>
      <c r="N739" s="4"/>
      <c r="O739" s="4"/>
      <c r="P739" s="4"/>
      <c r="Q739" s="4"/>
      <c r="R739" s="4"/>
      <c r="S739" s="4"/>
      <c r="T739" s="4"/>
      <c r="U739" s="4"/>
      <c r="V739" s="4"/>
      <c r="W739" s="4"/>
    </row>
    <row r="740">
      <c r="A740" s="4"/>
      <c r="B740" s="69"/>
      <c r="C740" s="4"/>
      <c r="D740" s="4"/>
      <c r="E740" s="4"/>
      <c r="F740" s="4"/>
      <c r="G740" s="4"/>
      <c r="H740" s="4"/>
      <c r="I740" s="4"/>
      <c r="J740" s="4"/>
      <c r="K740" s="4"/>
      <c r="L740" s="4"/>
      <c r="M740" s="4"/>
      <c r="N740" s="4"/>
      <c r="O740" s="4"/>
      <c r="P740" s="4"/>
      <c r="Q740" s="4"/>
      <c r="R740" s="4"/>
      <c r="S740" s="4"/>
      <c r="T740" s="4"/>
      <c r="U740" s="4"/>
      <c r="V740" s="4"/>
      <c r="W740" s="4"/>
    </row>
    <row r="741">
      <c r="A741" s="4"/>
      <c r="B741" s="69"/>
      <c r="C741" s="4"/>
      <c r="D741" s="4"/>
      <c r="E741" s="4"/>
      <c r="F741" s="4"/>
      <c r="G741" s="4"/>
      <c r="H741" s="4"/>
      <c r="I741" s="4"/>
      <c r="J741" s="4"/>
      <c r="K741" s="4"/>
      <c r="L741" s="4"/>
      <c r="M741" s="4"/>
      <c r="N741" s="4"/>
      <c r="O741" s="4"/>
      <c r="P741" s="4"/>
      <c r="Q741" s="4"/>
      <c r="R741" s="4"/>
      <c r="S741" s="4"/>
      <c r="T741" s="4"/>
      <c r="U741" s="4"/>
      <c r="V741" s="4"/>
      <c r="W741" s="4"/>
    </row>
    <row r="742">
      <c r="A742" s="4"/>
      <c r="B742" s="69"/>
      <c r="C742" s="4"/>
      <c r="D742" s="4"/>
      <c r="E742" s="4"/>
      <c r="F742" s="4"/>
      <c r="G742" s="4"/>
      <c r="H742" s="4"/>
      <c r="I742" s="4"/>
      <c r="J742" s="4"/>
      <c r="K742" s="4"/>
      <c r="L742" s="4"/>
      <c r="M742" s="4"/>
      <c r="N742" s="4"/>
      <c r="O742" s="4"/>
      <c r="P742" s="4"/>
      <c r="Q742" s="4"/>
      <c r="R742" s="4"/>
      <c r="S742" s="4"/>
      <c r="T742" s="4"/>
      <c r="U742" s="4"/>
      <c r="V742" s="4"/>
      <c r="W742" s="4"/>
    </row>
    <row r="743">
      <c r="A743" s="4"/>
      <c r="B743" s="69"/>
      <c r="C743" s="4"/>
      <c r="D743" s="4"/>
      <c r="E743" s="4"/>
      <c r="F743" s="4"/>
      <c r="G743" s="4"/>
      <c r="H743" s="4"/>
      <c r="I743" s="4"/>
      <c r="J743" s="4"/>
      <c r="K743" s="4"/>
      <c r="L743" s="4"/>
      <c r="M743" s="4"/>
      <c r="N743" s="4"/>
      <c r="O743" s="4"/>
      <c r="P743" s="4"/>
      <c r="Q743" s="4"/>
      <c r="R743" s="4"/>
      <c r="S743" s="4"/>
      <c r="T743" s="4"/>
      <c r="U743" s="4"/>
      <c r="V743" s="4"/>
      <c r="W743" s="4"/>
    </row>
    <row r="744">
      <c r="A744" s="4"/>
      <c r="B744" s="69"/>
      <c r="C744" s="4"/>
      <c r="D744" s="4"/>
      <c r="E744" s="4"/>
      <c r="F744" s="4"/>
      <c r="G744" s="4"/>
      <c r="H744" s="4"/>
      <c r="I744" s="4"/>
      <c r="J744" s="4"/>
      <c r="K744" s="4"/>
      <c r="L744" s="4"/>
      <c r="M744" s="4"/>
      <c r="N744" s="4"/>
      <c r="O744" s="4"/>
      <c r="P744" s="4"/>
      <c r="Q744" s="4"/>
      <c r="R744" s="4"/>
      <c r="S744" s="4"/>
      <c r="T744" s="4"/>
      <c r="U744" s="4"/>
      <c r="V744" s="4"/>
      <c r="W744" s="4"/>
    </row>
    <row r="745">
      <c r="A745" s="4"/>
      <c r="B745" s="69"/>
      <c r="C745" s="4"/>
      <c r="D745" s="4"/>
      <c r="E745" s="4"/>
      <c r="F745" s="4"/>
      <c r="G745" s="4"/>
      <c r="H745" s="4"/>
      <c r="I745" s="4"/>
      <c r="J745" s="4"/>
      <c r="K745" s="4"/>
      <c r="L745" s="4"/>
      <c r="M745" s="4"/>
      <c r="N745" s="4"/>
      <c r="O745" s="4"/>
      <c r="P745" s="4"/>
      <c r="Q745" s="4"/>
      <c r="R745" s="4"/>
      <c r="S745" s="4"/>
      <c r="T745" s="4"/>
      <c r="U745" s="4"/>
      <c r="V745" s="4"/>
      <c r="W745" s="4"/>
    </row>
    <row r="746">
      <c r="A746" s="4"/>
      <c r="B746" s="69"/>
      <c r="C746" s="4"/>
      <c r="D746" s="4"/>
      <c r="E746" s="4"/>
      <c r="F746" s="4"/>
      <c r="G746" s="4"/>
      <c r="H746" s="4"/>
      <c r="I746" s="4"/>
      <c r="J746" s="4"/>
      <c r="K746" s="4"/>
      <c r="L746" s="4"/>
      <c r="M746" s="4"/>
      <c r="N746" s="4"/>
      <c r="O746" s="4"/>
      <c r="P746" s="4"/>
      <c r="Q746" s="4"/>
      <c r="R746" s="4"/>
      <c r="S746" s="4"/>
      <c r="T746" s="4"/>
      <c r="U746" s="4"/>
      <c r="V746" s="4"/>
      <c r="W746" s="4"/>
    </row>
    <row r="747">
      <c r="A747" s="4"/>
      <c r="B747" s="69"/>
      <c r="C747" s="4"/>
      <c r="D747" s="4"/>
      <c r="E747" s="4"/>
      <c r="F747" s="4"/>
      <c r="G747" s="4"/>
      <c r="H747" s="4"/>
      <c r="I747" s="4"/>
      <c r="J747" s="4"/>
      <c r="K747" s="4"/>
      <c r="L747" s="4"/>
      <c r="M747" s="4"/>
      <c r="N747" s="4"/>
      <c r="O747" s="4"/>
      <c r="P747" s="4"/>
      <c r="Q747" s="4"/>
      <c r="R747" s="4"/>
      <c r="S747" s="4"/>
      <c r="T747" s="4"/>
      <c r="U747" s="4"/>
      <c r="V747" s="4"/>
      <c r="W747" s="4"/>
    </row>
    <row r="748">
      <c r="A748" s="4"/>
      <c r="B748" s="69"/>
      <c r="C748" s="4"/>
      <c r="D748" s="4"/>
      <c r="E748" s="4"/>
      <c r="F748" s="4"/>
      <c r="G748" s="4"/>
      <c r="H748" s="4"/>
      <c r="I748" s="4"/>
      <c r="J748" s="4"/>
      <c r="K748" s="4"/>
      <c r="L748" s="4"/>
      <c r="M748" s="4"/>
      <c r="N748" s="4"/>
      <c r="O748" s="4"/>
      <c r="P748" s="4"/>
      <c r="Q748" s="4"/>
      <c r="R748" s="4"/>
      <c r="S748" s="4"/>
      <c r="T748" s="4"/>
      <c r="U748" s="4"/>
      <c r="V748" s="4"/>
      <c r="W748" s="4"/>
    </row>
    <row r="749">
      <c r="A749" s="4"/>
      <c r="B749" s="69"/>
      <c r="C749" s="4"/>
      <c r="D749" s="4"/>
      <c r="E749" s="4"/>
      <c r="F749" s="4"/>
      <c r="G749" s="4"/>
      <c r="H749" s="4"/>
      <c r="I749" s="4"/>
      <c r="J749" s="4"/>
      <c r="K749" s="4"/>
      <c r="L749" s="4"/>
      <c r="M749" s="4"/>
      <c r="N749" s="4"/>
      <c r="O749" s="4"/>
      <c r="P749" s="4"/>
      <c r="Q749" s="4"/>
      <c r="R749" s="4"/>
      <c r="S749" s="4"/>
      <c r="T749" s="4"/>
      <c r="U749" s="4"/>
      <c r="V749" s="4"/>
      <c r="W749" s="4"/>
    </row>
    <row r="750">
      <c r="A750" s="4"/>
      <c r="B750" s="69"/>
      <c r="C750" s="4"/>
      <c r="D750" s="4"/>
      <c r="E750" s="4"/>
      <c r="F750" s="4"/>
      <c r="G750" s="4"/>
      <c r="H750" s="4"/>
      <c r="I750" s="4"/>
      <c r="J750" s="4"/>
      <c r="K750" s="4"/>
      <c r="L750" s="4"/>
      <c r="M750" s="4"/>
      <c r="N750" s="4"/>
      <c r="O750" s="4"/>
      <c r="P750" s="4"/>
      <c r="Q750" s="4"/>
      <c r="R750" s="4"/>
      <c r="S750" s="4"/>
      <c r="T750" s="4"/>
      <c r="U750" s="4"/>
      <c r="V750" s="4"/>
      <c r="W750" s="4"/>
    </row>
    <row r="751">
      <c r="A751" s="4"/>
      <c r="B751" s="69"/>
      <c r="C751" s="4"/>
      <c r="D751" s="4"/>
      <c r="E751" s="4"/>
      <c r="F751" s="4"/>
      <c r="G751" s="4"/>
      <c r="H751" s="4"/>
      <c r="I751" s="4"/>
      <c r="J751" s="4"/>
      <c r="K751" s="4"/>
      <c r="L751" s="4"/>
      <c r="M751" s="4"/>
      <c r="N751" s="4"/>
      <c r="O751" s="4"/>
      <c r="P751" s="4"/>
      <c r="Q751" s="4"/>
      <c r="R751" s="4"/>
      <c r="S751" s="4"/>
      <c r="T751" s="4"/>
      <c r="U751" s="4"/>
      <c r="V751" s="4"/>
      <c r="W751" s="4"/>
    </row>
    <row r="752">
      <c r="A752" s="4"/>
      <c r="B752" s="69"/>
      <c r="C752" s="4"/>
      <c r="D752" s="4"/>
      <c r="E752" s="4"/>
      <c r="F752" s="4"/>
      <c r="G752" s="4"/>
      <c r="H752" s="4"/>
      <c r="I752" s="4"/>
      <c r="J752" s="4"/>
      <c r="K752" s="4"/>
      <c r="L752" s="4"/>
      <c r="M752" s="4"/>
      <c r="N752" s="4"/>
      <c r="O752" s="4"/>
      <c r="P752" s="4"/>
      <c r="Q752" s="4"/>
      <c r="R752" s="4"/>
      <c r="S752" s="4"/>
      <c r="T752" s="4"/>
      <c r="U752" s="4"/>
      <c r="V752" s="4"/>
      <c r="W752" s="4"/>
    </row>
    <row r="753">
      <c r="A753" s="4"/>
      <c r="B753" s="69"/>
      <c r="C753" s="4"/>
      <c r="D753" s="4"/>
      <c r="E753" s="4"/>
      <c r="F753" s="4"/>
      <c r="G753" s="4"/>
      <c r="H753" s="4"/>
      <c r="I753" s="4"/>
      <c r="J753" s="4"/>
      <c r="K753" s="4"/>
      <c r="L753" s="4"/>
      <c r="M753" s="4"/>
      <c r="N753" s="4"/>
      <c r="O753" s="4"/>
      <c r="P753" s="4"/>
      <c r="Q753" s="4"/>
      <c r="R753" s="4"/>
      <c r="S753" s="4"/>
      <c r="T753" s="4"/>
      <c r="U753" s="4"/>
      <c r="V753" s="4"/>
      <c r="W753" s="4"/>
    </row>
    <row r="754">
      <c r="A754" s="4"/>
      <c r="B754" s="69"/>
      <c r="C754" s="4"/>
      <c r="D754" s="4"/>
      <c r="E754" s="4"/>
      <c r="F754" s="4"/>
      <c r="G754" s="4"/>
      <c r="H754" s="4"/>
      <c r="I754" s="4"/>
      <c r="J754" s="4"/>
      <c r="K754" s="4"/>
      <c r="L754" s="4"/>
      <c r="M754" s="4"/>
      <c r="N754" s="4"/>
      <c r="O754" s="4"/>
      <c r="P754" s="4"/>
      <c r="Q754" s="4"/>
      <c r="R754" s="4"/>
      <c r="S754" s="4"/>
      <c r="T754" s="4"/>
      <c r="U754" s="4"/>
      <c r="V754" s="4"/>
      <c r="W754" s="4"/>
    </row>
    <row r="755">
      <c r="A755" s="4"/>
      <c r="B755" s="69"/>
      <c r="C755" s="4"/>
      <c r="D755" s="4"/>
      <c r="E755" s="4"/>
      <c r="F755" s="4"/>
      <c r="G755" s="4"/>
      <c r="H755" s="4"/>
      <c r="I755" s="4"/>
      <c r="J755" s="4"/>
      <c r="K755" s="4"/>
      <c r="L755" s="4"/>
      <c r="M755" s="4"/>
      <c r="N755" s="4"/>
      <c r="O755" s="4"/>
      <c r="P755" s="4"/>
      <c r="Q755" s="4"/>
      <c r="R755" s="4"/>
      <c r="S755" s="4"/>
      <c r="T755" s="4"/>
      <c r="U755" s="4"/>
      <c r="V755" s="4"/>
      <c r="W755" s="4"/>
    </row>
    <row r="756">
      <c r="A756" s="4"/>
      <c r="B756" s="69"/>
      <c r="C756" s="4"/>
      <c r="D756" s="4"/>
      <c r="E756" s="4"/>
      <c r="F756" s="4"/>
      <c r="G756" s="4"/>
      <c r="H756" s="4"/>
      <c r="I756" s="4"/>
      <c r="J756" s="4"/>
      <c r="K756" s="4"/>
      <c r="L756" s="4"/>
      <c r="M756" s="4"/>
      <c r="N756" s="4"/>
      <c r="O756" s="4"/>
      <c r="P756" s="4"/>
      <c r="Q756" s="4"/>
      <c r="R756" s="4"/>
      <c r="S756" s="4"/>
      <c r="T756" s="4"/>
      <c r="U756" s="4"/>
      <c r="V756" s="4"/>
      <c r="W756" s="4"/>
    </row>
    <row r="757">
      <c r="A757" s="4"/>
      <c r="B757" s="69"/>
      <c r="C757" s="4"/>
      <c r="D757" s="4"/>
      <c r="E757" s="4"/>
      <c r="F757" s="4"/>
      <c r="G757" s="4"/>
      <c r="H757" s="4"/>
      <c r="I757" s="4"/>
      <c r="J757" s="4"/>
      <c r="K757" s="4"/>
      <c r="L757" s="4"/>
      <c r="M757" s="4"/>
      <c r="N757" s="4"/>
      <c r="O757" s="4"/>
      <c r="P757" s="4"/>
      <c r="Q757" s="4"/>
      <c r="R757" s="4"/>
      <c r="S757" s="4"/>
      <c r="T757" s="4"/>
      <c r="U757" s="4"/>
      <c r="V757" s="4"/>
      <c r="W757" s="4"/>
    </row>
    <row r="758">
      <c r="A758" s="4"/>
      <c r="B758" s="69"/>
      <c r="C758" s="4"/>
      <c r="D758" s="4"/>
      <c r="E758" s="4"/>
      <c r="F758" s="4"/>
      <c r="G758" s="4"/>
      <c r="H758" s="4"/>
      <c r="I758" s="4"/>
      <c r="J758" s="4"/>
      <c r="K758" s="4"/>
      <c r="L758" s="4"/>
      <c r="M758" s="4"/>
      <c r="N758" s="4"/>
      <c r="O758" s="4"/>
      <c r="P758" s="4"/>
      <c r="Q758" s="4"/>
      <c r="R758" s="4"/>
      <c r="S758" s="4"/>
      <c r="T758" s="4"/>
      <c r="U758" s="4"/>
      <c r="V758" s="4"/>
      <c r="W758" s="4"/>
    </row>
    <row r="759">
      <c r="A759" s="4"/>
      <c r="B759" s="69"/>
      <c r="C759" s="4"/>
      <c r="D759" s="4"/>
      <c r="E759" s="4"/>
      <c r="F759" s="4"/>
      <c r="G759" s="4"/>
      <c r="H759" s="4"/>
      <c r="I759" s="4"/>
      <c r="J759" s="4"/>
      <c r="K759" s="4"/>
      <c r="L759" s="4"/>
      <c r="M759" s="4"/>
      <c r="N759" s="4"/>
      <c r="O759" s="4"/>
      <c r="P759" s="4"/>
      <c r="Q759" s="4"/>
      <c r="R759" s="4"/>
      <c r="S759" s="4"/>
      <c r="T759" s="4"/>
      <c r="U759" s="4"/>
      <c r="V759" s="4"/>
      <c r="W759" s="4"/>
    </row>
    <row r="760">
      <c r="A760" s="4"/>
      <c r="B760" s="69"/>
      <c r="C760" s="4"/>
      <c r="D760" s="4"/>
      <c r="E760" s="4"/>
      <c r="F760" s="4"/>
      <c r="G760" s="4"/>
      <c r="H760" s="4"/>
      <c r="I760" s="4"/>
      <c r="J760" s="4"/>
      <c r="K760" s="4"/>
      <c r="L760" s="4"/>
      <c r="M760" s="4"/>
      <c r="N760" s="4"/>
      <c r="O760" s="4"/>
      <c r="P760" s="4"/>
      <c r="Q760" s="4"/>
      <c r="R760" s="4"/>
      <c r="S760" s="4"/>
      <c r="T760" s="4"/>
      <c r="U760" s="4"/>
      <c r="V760" s="4"/>
      <c r="W760" s="4"/>
    </row>
    <row r="761">
      <c r="A761" s="4"/>
      <c r="B761" s="69"/>
      <c r="C761" s="4"/>
      <c r="D761" s="4"/>
      <c r="E761" s="4"/>
      <c r="F761" s="4"/>
      <c r="G761" s="4"/>
      <c r="H761" s="4"/>
      <c r="I761" s="4"/>
      <c r="J761" s="4"/>
      <c r="K761" s="4"/>
      <c r="L761" s="4"/>
      <c r="M761" s="4"/>
      <c r="N761" s="4"/>
      <c r="O761" s="4"/>
      <c r="P761" s="4"/>
      <c r="Q761" s="4"/>
      <c r="R761" s="4"/>
      <c r="S761" s="4"/>
      <c r="T761" s="4"/>
      <c r="U761" s="4"/>
      <c r="V761" s="4"/>
      <c r="W761" s="4"/>
    </row>
    <row r="762">
      <c r="A762" s="4"/>
      <c r="B762" s="69"/>
      <c r="C762" s="4"/>
      <c r="D762" s="4"/>
      <c r="E762" s="4"/>
      <c r="F762" s="4"/>
      <c r="G762" s="4"/>
      <c r="H762" s="4"/>
      <c r="I762" s="4"/>
      <c r="J762" s="4"/>
      <c r="K762" s="4"/>
      <c r="L762" s="4"/>
      <c r="M762" s="4"/>
      <c r="N762" s="4"/>
      <c r="O762" s="4"/>
      <c r="P762" s="4"/>
      <c r="Q762" s="4"/>
      <c r="R762" s="4"/>
      <c r="S762" s="4"/>
      <c r="T762" s="4"/>
      <c r="U762" s="4"/>
      <c r="V762" s="4"/>
      <c r="W762" s="4"/>
    </row>
    <row r="763">
      <c r="A763" s="4"/>
      <c r="B763" s="69"/>
      <c r="C763" s="4"/>
      <c r="D763" s="4"/>
      <c r="E763" s="4"/>
      <c r="F763" s="4"/>
      <c r="G763" s="4"/>
      <c r="H763" s="4"/>
      <c r="I763" s="4"/>
      <c r="J763" s="4"/>
      <c r="K763" s="4"/>
      <c r="L763" s="4"/>
      <c r="M763" s="4"/>
      <c r="N763" s="4"/>
      <c r="O763" s="4"/>
      <c r="P763" s="4"/>
      <c r="Q763" s="4"/>
      <c r="R763" s="4"/>
      <c r="S763" s="4"/>
      <c r="T763" s="4"/>
      <c r="U763" s="4"/>
      <c r="V763" s="4"/>
      <c r="W763" s="4"/>
    </row>
    <row r="764">
      <c r="A764" s="4"/>
      <c r="B764" s="69"/>
      <c r="C764" s="4"/>
      <c r="D764" s="4"/>
      <c r="E764" s="4"/>
      <c r="F764" s="4"/>
      <c r="G764" s="4"/>
      <c r="H764" s="4"/>
      <c r="I764" s="4"/>
      <c r="J764" s="4"/>
      <c r="K764" s="4"/>
      <c r="L764" s="4"/>
      <c r="M764" s="4"/>
      <c r="N764" s="4"/>
      <c r="O764" s="4"/>
      <c r="P764" s="4"/>
      <c r="Q764" s="4"/>
      <c r="R764" s="4"/>
      <c r="S764" s="4"/>
      <c r="T764" s="4"/>
      <c r="U764" s="4"/>
      <c r="V764" s="4"/>
      <c r="W764" s="4"/>
    </row>
    <row r="765">
      <c r="A765" s="4"/>
      <c r="B765" s="69"/>
      <c r="C765" s="4"/>
      <c r="D765" s="4"/>
      <c r="E765" s="4"/>
      <c r="F765" s="4"/>
      <c r="G765" s="4"/>
      <c r="H765" s="4"/>
      <c r="I765" s="4"/>
      <c r="J765" s="4"/>
      <c r="K765" s="4"/>
      <c r="L765" s="4"/>
      <c r="M765" s="4"/>
      <c r="N765" s="4"/>
      <c r="O765" s="4"/>
      <c r="P765" s="4"/>
      <c r="Q765" s="4"/>
      <c r="R765" s="4"/>
      <c r="S765" s="4"/>
      <c r="T765" s="4"/>
      <c r="U765" s="4"/>
      <c r="V765" s="4"/>
      <c r="W765" s="4"/>
    </row>
    <row r="766">
      <c r="A766" s="4"/>
      <c r="B766" s="69"/>
      <c r="C766" s="4"/>
      <c r="D766" s="4"/>
      <c r="E766" s="4"/>
      <c r="F766" s="4"/>
      <c r="G766" s="4"/>
      <c r="H766" s="4"/>
      <c r="I766" s="4"/>
      <c r="J766" s="4"/>
      <c r="K766" s="4"/>
      <c r="L766" s="4"/>
      <c r="M766" s="4"/>
      <c r="N766" s="4"/>
      <c r="O766" s="4"/>
      <c r="P766" s="4"/>
      <c r="Q766" s="4"/>
      <c r="R766" s="4"/>
      <c r="S766" s="4"/>
      <c r="T766" s="4"/>
      <c r="U766" s="4"/>
      <c r="V766" s="4"/>
      <c r="W766" s="4"/>
    </row>
    <row r="767">
      <c r="A767" s="4"/>
      <c r="B767" s="69"/>
      <c r="C767" s="4"/>
      <c r="D767" s="4"/>
      <c r="E767" s="4"/>
      <c r="F767" s="4"/>
      <c r="G767" s="4"/>
      <c r="H767" s="4"/>
      <c r="I767" s="4"/>
      <c r="J767" s="4"/>
      <c r="K767" s="4"/>
      <c r="L767" s="4"/>
      <c r="M767" s="4"/>
      <c r="N767" s="4"/>
      <c r="O767" s="4"/>
      <c r="P767" s="4"/>
      <c r="Q767" s="4"/>
      <c r="R767" s="4"/>
      <c r="S767" s="4"/>
      <c r="T767" s="4"/>
      <c r="U767" s="4"/>
      <c r="V767" s="4"/>
      <c r="W767" s="4"/>
    </row>
    <row r="768">
      <c r="A768" s="4"/>
      <c r="B768" s="69"/>
      <c r="C768" s="4"/>
      <c r="D768" s="4"/>
      <c r="E768" s="4"/>
      <c r="F768" s="4"/>
      <c r="G768" s="4"/>
      <c r="H768" s="4"/>
      <c r="I768" s="4"/>
      <c r="J768" s="4"/>
      <c r="K768" s="4"/>
      <c r="L768" s="4"/>
      <c r="M768" s="4"/>
      <c r="N768" s="4"/>
      <c r="O768" s="4"/>
      <c r="P768" s="4"/>
      <c r="Q768" s="4"/>
      <c r="R768" s="4"/>
      <c r="S768" s="4"/>
      <c r="T768" s="4"/>
      <c r="U768" s="4"/>
      <c r="V768" s="4"/>
      <c r="W768" s="4"/>
    </row>
    <row r="769">
      <c r="A769" s="4"/>
      <c r="B769" s="69"/>
      <c r="C769" s="4"/>
      <c r="D769" s="4"/>
      <c r="E769" s="4"/>
      <c r="F769" s="4"/>
      <c r="G769" s="4"/>
      <c r="H769" s="4"/>
      <c r="I769" s="4"/>
      <c r="J769" s="4"/>
      <c r="K769" s="4"/>
      <c r="L769" s="4"/>
      <c r="M769" s="4"/>
      <c r="N769" s="4"/>
      <c r="O769" s="4"/>
      <c r="P769" s="4"/>
      <c r="Q769" s="4"/>
      <c r="R769" s="4"/>
      <c r="S769" s="4"/>
      <c r="T769" s="4"/>
      <c r="U769" s="4"/>
      <c r="V769" s="4"/>
      <c r="W769" s="4"/>
    </row>
    <row r="770">
      <c r="A770" s="4"/>
      <c r="B770" s="69"/>
      <c r="C770" s="4"/>
      <c r="D770" s="4"/>
      <c r="E770" s="4"/>
      <c r="F770" s="4"/>
      <c r="G770" s="4"/>
      <c r="H770" s="4"/>
      <c r="I770" s="4"/>
      <c r="J770" s="4"/>
      <c r="K770" s="4"/>
      <c r="L770" s="4"/>
      <c r="M770" s="4"/>
      <c r="N770" s="4"/>
      <c r="O770" s="4"/>
      <c r="P770" s="4"/>
      <c r="Q770" s="4"/>
      <c r="R770" s="4"/>
      <c r="S770" s="4"/>
      <c r="T770" s="4"/>
      <c r="U770" s="4"/>
      <c r="V770" s="4"/>
      <c r="W770" s="4"/>
    </row>
    <row r="771">
      <c r="A771" s="4"/>
      <c r="B771" s="69"/>
      <c r="C771" s="4"/>
      <c r="D771" s="4"/>
      <c r="E771" s="4"/>
      <c r="F771" s="4"/>
      <c r="G771" s="4"/>
      <c r="H771" s="4"/>
      <c r="I771" s="4"/>
      <c r="J771" s="4"/>
      <c r="K771" s="4"/>
      <c r="L771" s="4"/>
      <c r="M771" s="4"/>
      <c r="N771" s="4"/>
      <c r="O771" s="4"/>
      <c r="P771" s="4"/>
      <c r="Q771" s="4"/>
      <c r="R771" s="4"/>
      <c r="S771" s="4"/>
      <c r="T771" s="4"/>
      <c r="U771" s="4"/>
      <c r="V771" s="4"/>
      <c r="W771" s="4"/>
    </row>
    <row r="772">
      <c r="A772" s="4"/>
      <c r="B772" s="69"/>
      <c r="C772" s="4"/>
      <c r="D772" s="4"/>
      <c r="E772" s="4"/>
      <c r="F772" s="4"/>
      <c r="G772" s="4"/>
      <c r="H772" s="4"/>
      <c r="I772" s="4"/>
      <c r="J772" s="4"/>
      <c r="K772" s="4"/>
      <c r="L772" s="4"/>
      <c r="M772" s="4"/>
      <c r="N772" s="4"/>
      <c r="O772" s="4"/>
      <c r="P772" s="4"/>
      <c r="Q772" s="4"/>
      <c r="R772" s="4"/>
      <c r="S772" s="4"/>
      <c r="T772" s="4"/>
      <c r="U772" s="4"/>
      <c r="V772" s="4"/>
      <c r="W772" s="4"/>
    </row>
    <row r="773">
      <c r="A773" s="4"/>
      <c r="B773" s="69"/>
      <c r="C773" s="4"/>
      <c r="D773" s="4"/>
      <c r="E773" s="4"/>
      <c r="F773" s="4"/>
      <c r="G773" s="4"/>
      <c r="H773" s="4"/>
      <c r="I773" s="4"/>
      <c r="J773" s="4"/>
      <c r="K773" s="4"/>
      <c r="L773" s="4"/>
      <c r="M773" s="4"/>
      <c r="N773" s="4"/>
      <c r="O773" s="4"/>
      <c r="P773" s="4"/>
      <c r="Q773" s="4"/>
      <c r="R773" s="4"/>
      <c r="S773" s="4"/>
      <c r="T773" s="4"/>
      <c r="U773" s="4"/>
      <c r="V773" s="4"/>
      <c r="W773" s="4"/>
    </row>
    <row r="774">
      <c r="A774" s="4"/>
      <c r="B774" s="69"/>
      <c r="C774" s="4"/>
      <c r="D774" s="4"/>
      <c r="E774" s="4"/>
      <c r="F774" s="4"/>
      <c r="G774" s="4"/>
      <c r="H774" s="4"/>
      <c r="I774" s="4"/>
      <c r="J774" s="4"/>
      <c r="K774" s="4"/>
      <c r="L774" s="4"/>
      <c r="M774" s="4"/>
      <c r="N774" s="4"/>
      <c r="O774" s="4"/>
      <c r="P774" s="4"/>
      <c r="Q774" s="4"/>
      <c r="R774" s="4"/>
      <c r="S774" s="4"/>
      <c r="T774" s="4"/>
      <c r="U774" s="4"/>
      <c r="V774" s="4"/>
      <c r="W774" s="4"/>
    </row>
    <row r="775">
      <c r="A775" s="4"/>
      <c r="B775" s="69"/>
      <c r="C775" s="4"/>
      <c r="D775" s="4"/>
      <c r="E775" s="4"/>
      <c r="F775" s="4"/>
      <c r="G775" s="4"/>
      <c r="H775" s="4"/>
      <c r="I775" s="4"/>
      <c r="J775" s="4"/>
      <c r="K775" s="4"/>
      <c r="L775" s="4"/>
      <c r="M775" s="4"/>
      <c r="N775" s="4"/>
      <c r="O775" s="4"/>
      <c r="P775" s="4"/>
      <c r="Q775" s="4"/>
      <c r="R775" s="4"/>
      <c r="S775" s="4"/>
      <c r="T775" s="4"/>
      <c r="U775" s="4"/>
      <c r="V775" s="4"/>
      <c r="W775" s="4"/>
    </row>
    <row r="776">
      <c r="A776" s="4"/>
      <c r="B776" s="69"/>
      <c r="C776" s="4"/>
      <c r="D776" s="4"/>
      <c r="E776" s="4"/>
      <c r="F776" s="4"/>
      <c r="G776" s="4"/>
      <c r="H776" s="4"/>
      <c r="I776" s="4"/>
      <c r="J776" s="4"/>
      <c r="K776" s="4"/>
      <c r="L776" s="4"/>
      <c r="M776" s="4"/>
      <c r="N776" s="4"/>
      <c r="O776" s="4"/>
      <c r="P776" s="4"/>
      <c r="Q776" s="4"/>
      <c r="R776" s="4"/>
      <c r="S776" s="4"/>
      <c r="T776" s="4"/>
      <c r="U776" s="4"/>
      <c r="V776" s="4"/>
      <c r="W776" s="4"/>
    </row>
    <row r="777">
      <c r="A777" s="4"/>
      <c r="B777" s="69"/>
      <c r="C777" s="4"/>
      <c r="D777" s="4"/>
      <c r="E777" s="4"/>
      <c r="F777" s="4"/>
      <c r="G777" s="4"/>
      <c r="H777" s="4"/>
      <c r="I777" s="4"/>
      <c r="J777" s="4"/>
      <c r="K777" s="4"/>
      <c r="L777" s="4"/>
      <c r="M777" s="4"/>
      <c r="N777" s="4"/>
      <c r="O777" s="4"/>
      <c r="P777" s="4"/>
      <c r="Q777" s="4"/>
      <c r="R777" s="4"/>
      <c r="S777" s="4"/>
      <c r="T777" s="4"/>
      <c r="U777" s="4"/>
      <c r="V777" s="4"/>
      <c r="W777" s="4"/>
    </row>
    <row r="778">
      <c r="A778" s="4"/>
      <c r="B778" s="69"/>
      <c r="C778" s="4"/>
      <c r="D778" s="4"/>
      <c r="E778" s="4"/>
      <c r="F778" s="4"/>
      <c r="G778" s="4"/>
      <c r="H778" s="4"/>
      <c r="I778" s="4"/>
      <c r="J778" s="4"/>
      <c r="K778" s="4"/>
      <c r="L778" s="4"/>
      <c r="M778" s="4"/>
      <c r="N778" s="4"/>
      <c r="O778" s="4"/>
      <c r="P778" s="4"/>
      <c r="Q778" s="4"/>
      <c r="R778" s="4"/>
      <c r="S778" s="4"/>
      <c r="T778" s="4"/>
      <c r="U778" s="4"/>
      <c r="V778" s="4"/>
      <c r="W778" s="4"/>
    </row>
    <row r="779">
      <c r="A779" s="4"/>
      <c r="B779" s="69"/>
      <c r="C779" s="4"/>
      <c r="D779" s="4"/>
      <c r="E779" s="4"/>
      <c r="F779" s="4"/>
      <c r="G779" s="4"/>
      <c r="H779" s="4"/>
      <c r="I779" s="4"/>
      <c r="J779" s="4"/>
      <c r="K779" s="4"/>
      <c r="L779" s="4"/>
      <c r="M779" s="4"/>
      <c r="N779" s="4"/>
      <c r="O779" s="4"/>
      <c r="P779" s="4"/>
      <c r="Q779" s="4"/>
      <c r="R779" s="4"/>
      <c r="S779" s="4"/>
      <c r="T779" s="4"/>
      <c r="U779" s="4"/>
      <c r="V779" s="4"/>
      <c r="W779" s="4"/>
    </row>
    <row r="780">
      <c r="A780" s="4"/>
      <c r="B780" s="69"/>
      <c r="C780" s="4"/>
      <c r="D780" s="4"/>
      <c r="E780" s="4"/>
      <c r="F780" s="4"/>
      <c r="G780" s="4"/>
      <c r="H780" s="4"/>
      <c r="I780" s="4"/>
      <c r="J780" s="4"/>
      <c r="K780" s="4"/>
      <c r="L780" s="4"/>
      <c r="M780" s="4"/>
      <c r="N780" s="4"/>
      <c r="O780" s="4"/>
      <c r="P780" s="4"/>
      <c r="Q780" s="4"/>
      <c r="R780" s="4"/>
      <c r="S780" s="4"/>
      <c r="T780" s="4"/>
      <c r="U780" s="4"/>
      <c r="V780" s="4"/>
      <c r="W780" s="4"/>
    </row>
    <row r="781">
      <c r="A781" s="4"/>
      <c r="B781" s="69"/>
      <c r="C781" s="4"/>
      <c r="D781" s="4"/>
      <c r="E781" s="4"/>
      <c r="F781" s="4"/>
      <c r="G781" s="4"/>
      <c r="H781" s="4"/>
      <c r="I781" s="4"/>
      <c r="J781" s="4"/>
      <c r="K781" s="4"/>
      <c r="L781" s="4"/>
      <c r="M781" s="4"/>
      <c r="N781" s="4"/>
      <c r="O781" s="4"/>
      <c r="P781" s="4"/>
      <c r="Q781" s="4"/>
      <c r="R781" s="4"/>
      <c r="S781" s="4"/>
      <c r="T781" s="4"/>
      <c r="U781" s="4"/>
      <c r="V781" s="4"/>
      <c r="W781" s="4"/>
    </row>
    <row r="782">
      <c r="A782" s="4"/>
      <c r="B782" s="69"/>
      <c r="C782" s="4"/>
      <c r="D782" s="4"/>
      <c r="E782" s="4"/>
      <c r="F782" s="4"/>
      <c r="G782" s="4"/>
      <c r="H782" s="4"/>
      <c r="I782" s="4"/>
      <c r="J782" s="4"/>
      <c r="K782" s="4"/>
      <c r="L782" s="4"/>
      <c r="M782" s="4"/>
      <c r="N782" s="4"/>
      <c r="O782" s="4"/>
      <c r="P782" s="4"/>
      <c r="Q782" s="4"/>
      <c r="R782" s="4"/>
      <c r="S782" s="4"/>
      <c r="T782" s="4"/>
      <c r="U782" s="4"/>
      <c r="V782" s="4"/>
      <c r="W782" s="4"/>
    </row>
    <row r="783">
      <c r="A783" s="4"/>
      <c r="B783" s="69"/>
      <c r="C783" s="4"/>
      <c r="D783" s="4"/>
      <c r="E783" s="4"/>
      <c r="F783" s="4"/>
      <c r="G783" s="4"/>
      <c r="H783" s="4"/>
      <c r="I783" s="4"/>
      <c r="J783" s="4"/>
      <c r="K783" s="4"/>
      <c r="L783" s="4"/>
      <c r="M783" s="4"/>
      <c r="N783" s="4"/>
      <c r="O783" s="4"/>
      <c r="P783" s="4"/>
      <c r="Q783" s="4"/>
      <c r="R783" s="4"/>
      <c r="S783" s="4"/>
      <c r="T783" s="4"/>
      <c r="U783" s="4"/>
      <c r="V783" s="4"/>
      <c r="W783" s="4"/>
    </row>
    <row r="784">
      <c r="A784" s="4"/>
      <c r="B784" s="69"/>
      <c r="C784" s="4"/>
      <c r="D784" s="4"/>
      <c r="E784" s="4"/>
      <c r="F784" s="4"/>
      <c r="G784" s="4"/>
      <c r="H784" s="4"/>
      <c r="I784" s="4"/>
      <c r="J784" s="4"/>
      <c r="K784" s="4"/>
      <c r="L784" s="4"/>
      <c r="M784" s="4"/>
      <c r="N784" s="4"/>
      <c r="O784" s="4"/>
      <c r="P784" s="4"/>
      <c r="Q784" s="4"/>
      <c r="R784" s="4"/>
      <c r="S784" s="4"/>
      <c r="T784" s="4"/>
      <c r="U784" s="4"/>
      <c r="V784" s="4"/>
      <c r="W784" s="4"/>
    </row>
    <row r="785">
      <c r="A785" s="4"/>
      <c r="B785" s="69"/>
      <c r="C785" s="4"/>
      <c r="D785" s="4"/>
      <c r="E785" s="4"/>
      <c r="F785" s="4"/>
      <c r="G785" s="4"/>
      <c r="H785" s="4"/>
      <c r="I785" s="4"/>
      <c r="J785" s="4"/>
      <c r="K785" s="4"/>
      <c r="L785" s="4"/>
      <c r="M785" s="4"/>
      <c r="N785" s="4"/>
      <c r="O785" s="4"/>
      <c r="P785" s="4"/>
      <c r="Q785" s="4"/>
      <c r="R785" s="4"/>
      <c r="S785" s="4"/>
      <c r="T785" s="4"/>
      <c r="U785" s="4"/>
      <c r="V785" s="4"/>
      <c r="W785" s="4"/>
    </row>
    <row r="786">
      <c r="A786" s="4"/>
      <c r="B786" s="69"/>
      <c r="C786" s="4"/>
      <c r="D786" s="4"/>
      <c r="E786" s="4"/>
      <c r="F786" s="4"/>
      <c r="G786" s="4"/>
      <c r="H786" s="4"/>
      <c r="I786" s="4"/>
      <c r="J786" s="4"/>
      <c r="K786" s="4"/>
      <c r="L786" s="4"/>
      <c r="M786" s="4"/>
      <c r="N786" s="4"/>
      <c r="O786" s="4"/>
      <c r="P786" s="4"/>
      <c r="Q786" s="4"/>
      <c r="R786" s="4"/>
      <c r="S786" s="4"/>
      <c r="T786" s="4"/>
      <c r="U786" s="4"/>
      <c r="V786" s="4"/>
      <c r="W786" s="4"/>
    </row>
    <row r="787">
      <c r="A787" s="4"/>
      <c r="B787" s="69"/>
      <c r="C787" s="4"/>
      <c r="D787" s="4"/>
      <c r="E787" s="4"/>
      <c r="F787" s="4"/>
      <c r="G787" s="4"/>
      <c r="H787" s="4"/>
      <c r="I787" s="4"/>
      <c r="J787" s="4"/>
      <c r="K787" s="4"/>
      <c r="L787" s="4"/>
      <c r="M787" s="4"/>
      <c r="N787" s="4"/>
      <c r="O787" s="4"/>
      <c r="P787" s="4"/>
      <c r="Q787" s="4"/>
      <c r="R787" s="4"/>
      <c r="S787" s="4"/>
      <c r="T787" s="4"/>
      <c r="U787" s="4"/>
      <c r="V787" s="4"/>
      <c r="W787" s="4"/>
    </row>
    <row r="788">
      <c r="A788" s="4"/>
      <c r="B788" s="69"/>
      <c r="C788" s="4"/>
      <c r="D788" s="4"/>
      <c r="E788" s="4"/>
      <c r="F788" s="4"/>
      <c r="G788" s="4"/>
      <c r="H788" s="4"/>
      <c r="I788" s="4"/>
      <c r="J788" s="4"/>
      <c r="K788" s="4"/>
      <c r="L788" s="4"/>
      <c r="M788" s="4"/>
      <c r="N788" s="4"/>
      <c r="O788" s="4"/>
      <c r="P788" s="4"/>
      <c r="Q788" s="4"/>
      <c r="R788" s="4"/>
      <c r="S788" s="4"/>
      <c r="T788" s="4"/>
      <c r="U788" s="4"/>
      <c r="V788" s="4"/>
      <c r="W788" s="4"/>
    </row>
    <row r="789">
      <c r="A789" s="4"/>
      <c r="B789" s="69"/>
      <c r="C789" s="4"/>
      <c r="D789" s="4"/>
      <c r="E789" s="4"/>
      <c r="F789" s="4"/>
      <c r="G789" s="4"/>
      <c r="H789" s="4"/>
      <c r="I789" s="4"/>
      <c r="J789" s="4"/>
      <c r="K789" s="4"/>
      <c r="L789" s="4"/>
      <c r="M789" s="4"/>
      <c r="N789" s="4"/>
      <c r="O789" s="4"/>
      <c r="P789" s="4"/>
      <c r="Q789" s="4"/>
      <c r="R789" s="4"/>
      <c r="S789" s="4"/>
      <c r="T789" s="4"/>
      <c r="U789" s="4"/>
      <c r="V789" s="4"/>
      <c r="W789" s="4"/>
    </row>
    <row r="790">
      <c r="A790" s="4"/>
      <c r="B790" s="69"/>
      <c r="C790" s="4"/>
      <c r="D790" s="4"/>
      <c r="E790" s="4"/>
      <c r="F790" s="4"/>
      <c r="G790" s="4"/>
      <c r="H790" s="4"/>
      <c r="I790" s="4"/>
      <c r="J790" s="4"/>
      <c r="K790" s="4"/>
      <c r="L790" s="4"/>
      <c r="M790" s="4"/>
      <c r="N790" s="4"/>
      <c r="O790" s="4"/>
      <c r="P790" s="4"/>
      <c r="Q790" s="4"/>
      <c r="R790" s="4"/>
      <c r="S790" s="4"/>
      <c r="T790" s="4"/>
      <c r="U790" s="4"/>
      <c r="V790" s="4"/>
      <c r="W790" s="4"/>
    </row>
    <row r="791">
      <c r="A791" s="4"/>
      <c r="B791" s="69"/>
      <c r="C791" s="4"/>
      <c r="D791" s="4"/>
      <c r="E791" s="4"/>
      <c r="F791" s="4"/>
      <c r="G791" s="4"/>
      <c r="H791" s="4"/>
      <c r="I791" s="4"/>
      <c r="J791" s="4"/>
      <c r="K791" s="4"/>
      <c r="L791" s="4"/>
      <c r="M791" s="4"/>
      <c r="N791" s="4"/>
      <c r="O791" s="4"/>
      <c r="P791" s="4"/>
      <c r="Q791" s="4"/>
      <c r="R791" s="4"/>
      <c r="S791" s="4"/>
      <c r="T791" s="4"/>
      <c r="U791" s="4"/>
      <c r="V791" s="4"/>
      <c r="W791" s="4"/>
    </row>
    <row r="792">
      <c r="A792" s="4"/>
      <c r="B792" s="69"/>
      <c r="C792" s="4"/>
      <c r="D792" s="4"/>
      <c r="E792" s="4"/>
      <c r="F792" s="4"/>
      <c r="G792" s="4"/>
      <c r="H792" s="4"/>
      <c r="I792" s="4"/>
      <c r="J792" s="4"/>
      <c r="K792" s="4"/>
      <c r="L792" s="4"/>
      <c r="M792" s="4"/>
      <c r="N792" s="4"/>
      <c r="O792" s="4"/>
      <c r="P792" s="4"/>
      <c r="Q792" s="4"/>
      <c r="R792" s="4"/>
      <c r="S792" s="4"/>
      <c r="T792" s="4"/>
      <c r="U792" s="4"/>
      <c r="V792" s="4"/>
      <c r="W792" s="4"/>
    </row>
    <row r="793">
      <c r="A793" s="4"/>
      <c r="B793" s="69"/>
      <c r="C793" s="4"/>
      <c r="D793" s="4"/>
      <c r="E793" s="4"/>
      <c r="F793" s="4"/>
      <c r="G793" s="4"/>
      <c r="H793" s="4"/>
      <c r="I793" s="4"/>
      <c r="J793" s="4"/>
      <c r="K793" s="4"/>
      <c r="L793" s="4"/>
      <c r="M793" s="4"/>
      <c r="N793" s="4"/>
      <c r="O793" s="4"/>
      <c r="P793" s="4"/>
      <c r="Q793" s="4"/>
      <c r="R793" s="4"/>
      <c r="S793" s="4"/>
      <c r="T793" s="4"/>
      <c r="U793" s="4"/>
      <c r="V793" s="4"/>
      <c r="W793" s="4"/>
    </row>
    <row r="794">
      <c r="A794" s="4"/>
      <c r="B794" s="69"/>
      <c r="C794" s="4"/>
      <c r="D794" s="4"/>
      <c r="E794" s="4"/>
      <c r="F794" s="4"/>
      <c r="G794" s="4"/>
      <c r="H794" s="4"/>
      <c r="I794" s="4"/>
      <c r="J794" s="4"/>
      <c r="K794" s="4"/>
      <c r="L794" s="4"/>
      <c r="M794" s="4"/>
      <c r="N794" s="4"/>
      <c r="O794" s="4"/>
      <c r="P794" s="4"/>
      <c r="Q794" s="4"/>
      <c r="R794" s="4"/>
      <c r="S794" s="4"/>
      <c r="T794" s="4"/>
      <c r="U794" s="4"/>
      <c r="V794" s="4"/>
      <c r="W794" s="4"/>
    </row>
    <row r="795">
      <c r="A795" s="4"/>
      <c r="B795" s="69"/>
      <c r="C795" s="4"/>
      <c r="D795" s="4"/>
      <c r="E795" s="4"/>
      <c r="F795" s="4"/>
      <c r="G795" s="4"/>
      <c r="H795" s="4"/>
      <c r="I795" s="4"/>
      <c r="J795" s="4"/>
      <c r="K795" s="4"/>
      <c r="L795" s="4"/>
      <c r="M795" s="4"/>
      <c r="N795" s="4"/>
      <c r="O795" s="4"/>
      <c r="P795" s="4"/>
      <c r="Q795" s="4"/>
      <c r="R795" s="4"/>
      <c r="S795" s="4"/>
      <c r="T795" s="4"/>
      <c r="U795" s="4"/>
      <c r="V795" s="4"/>
      <c r="W795" s="4"/>
    </row>
    <row r="796">
      <c r="A796" s="4"/>
      <c r="B796" s="69"/>
      <c r="C796" s="4"/>
      <c r="D796" s="4"/>
      <c r="E796" s="4"/>
      <c r="F796" s="4"/>
      <c r="G796" s="4"/>
      <c r="H796" s="4"/>
      <c r="I796" s="4"/>
      <c r="J796" s="4"/>
      <c r="K796" s="4"/>
      <c r="L796" s="4"/>
      <c r="M796" s="4"/>
      <c r="N796" s="4"/>
      <c r="O796" s="4"/>
      <c r="P796" s="4"/>
      <c r="Q796" s="4"/>
      <c r="R796" s="4"/>
      <c r="S796" s="4"/>
      <c r="T796" s="4"/>
      <c r="U796" s="4"/>
      <c r="V796" s="4"/>
      <c r="W796" s="4"/>
    </row>
    <row r="797">
      <c r="A797" s="4"/>
      <c r="B797" s="69"/>
      <c r="C797" s="4"/>
      <c r="D797" s="4"/>
      <c r="E797" s="4"/>
      <c r="F797" s="4"/>
      <c r="G797" s="4"/>
      <c r="H797" s="4"/>
      <c r="I797" s="4"/>
      <c r="J797" s="4"/>
      <c r="K797" s="4"/>
      <c r="L797" s="4"/>
      <c r="M797" s="4"/>
      <c r="N797" s="4"/>
      <c r="O797" s="4"/>
      <c r="P797" s="4"/>
      <c r="Q797" s="4"/>
      <c r="R797" s="4"/>
      <c r="S797" s="4"/>
      <c r="T797" s="4"/>
      <c r="U797" s="4"/>
      <c r="V797" s="4"/>
      <c r="W797" s="4"/>
    </row>
    <row r="798">
      <c r="A798" s="4"/>
      <c r="B798" s="69"/>
      <c r="C798" s="4"/>
      <c r="D798" s="4"/>
      <c r="E798" s="4"/>
      <c r="F798" s="4"/>
      <c r="G798" s="4"/>
      <c r="H798" s="4"/>
      <c r="I798" s="4"/>
      <c r="J798" s="4"/>
      <c r="K798" s="4"/>
      <c r="L798" s="4"/>
      <c r="M798" s="4"/>
      <c r="N798" s="4"/>
      <c r="O798" s="4"/>
      <c r="P798" s="4"/>
      <c r="Q798" s="4"/>
      <c r="R798" s="4"/>
      <c r="S798" s="4"/>
      <c r="T798" s="4"/>
      <c r="U798" s="4"/>
      <c r="V798" s="4"/>
      <c r="W798" s="4"/>
    </row>
    <row r="799">
      <c r="A799" s="4"/>
      <c r="B799" s="69"/>
      <c r="C799" s="4"/>
      <c r="D799" s="4"/>
      <c r="E799" s="4"/>
      <c r="F799" s="4"/>
      <c r="G799" s="4"/>
      <c r="H799" s="4"/>
      <c r="I799" s="4"/>
      <c r="J799" s="4"/>
      <c r="K799" s="4"/>
      <c r="L799" s="4"/>
      <c r="M799" s="4"/>
      <c r="N799" s="4"/>
      <c r="O799" s="4"/>
      <c r="P799" s="4"/>
      <c r="Q799" s="4"/>
      <c r="R799" s="4"/>
      <c r="S799" s="4"/>
      <c r="T799" s="4"/>
      <c r="U799" s="4"/>
      <c r="V799" s="4"/>
      <c r="W799" s="4"/>
    </row>
    <row r="800">
      <c r="A800" s="4"/>
      <c r="B800" s="69"/>
      <c r="C800" s="4"/>
      <c r="D800" s="4"/>
      <c r="E800" s="4"/>
      <c r="F800" s="4"/>
      <c r="G800" s="4"/>
      <c r="H800" s="4"/>
      <c r="I800" s="4"/>
      <c r="J800" s="4"/>
      <c r="K800" s="4"/>
      <c r="L800" s="4"/>
      <c r="M800" s="4"/>
      <c r="N800" s="4"/>
      <c r="O800" s="4"/>
      <c r="P800" s="4"/>
      <c r="Q800" s="4"/>
      <c r="R800" s="4"/>
      <c r="S800" s="4"/>
      <c r="T800" s="4"/>
      <c r="U800" s="4"/>
      <c r="V800" s="4"/>
      <c r="W800" s="4"/>
    </row>
    <row r="801">
      <c r="A801" s="4"/>
      <c r="B801" s="69"/>
      <c r="C801" s="4"/>
      <c r="D801" s="4"/>
      <c r="E801" s="4"/>
      <c r="F801" s="4"/>
      <c r="G801" s="4"/>
      <c r="H801" s="4"/>
      <c r="I801" s="4"/>
      <c r="J801" s="4"/>
      <c r="K801" s="4"/>
      <c r="L801" s="4"/>
      <c r="M801" s="4"/>
      <c r="N801" s="4"/>
      <c r="O801" s="4"/>
      <c r="P801" s="4"/>
      <c r="Q801" s="4"/>
      <c r="R801" s="4"/>
      <c r="S801" s="4"/>
      <c r="T801" s="4"/>
      <c r="U801" s="4"/>
      <c r="V801" s="4"/>
      <c r="W801" s="4"/>
    </row>
    <row r="802">
      <c r="A802" s="4"/>
      <c r="B802" s="69"/>
      <c r="C802" s="4"/>
      <c r="D802" s="4"/>
      <c r="E802" s="4"/>
      <c r="F802" s="4"/>
      <c r="G802" s="4"/>
      <c r="H802" s="4"/>
      <c r="I802" s="4"/>
      <c r="J802" s="4"/>
      <c r="K802" s="4"/>
      <c r="L802" s="4"/>
      <c r="M802" s="4"/>
      <c r="N802" s="4"/>
      <c r="O802" s="4"/>
      <c r="P802" s="4"/>
      <c r="Q802" s="4"/>
      <c r="R802" s="4"/>
      <c r="S802" s="4"/>
      <c r="T802" s="4"/>
      <c r="U802" s="4"/>
      <c r="V802" s="4"/>
      <c r="W802" s="4"/>
    </row>
    <row r="803">
      <c r="A803" s="4"/>
      <c r="B803" s="69"/>
      <c r="C803" s="4"/>
      <c r="D803" s="4"/>
      <c r="E803" s="4"/>
      <c r="F803" s="4"/>
      <c r="G803" s="4"/>
      <c r="H803" s="4"/>
      <c r="I803" s="4"/>
      <c r="J803" s="4"/>
      <c r="K803" s="4"/>
      <c r="L803" s="4"/>
      <c r="M803" s="4"/>
      <c r="N803" s="4"/>
      <c r="O803" s="4"/>
      <c r="P803" s="4"/>
      <c r="Q803" s="4"/>
      <c r="R803" s="4"/>
      <c r="S803" s="4"/>
      <c r="T803" s="4"/>
      <c r="U803" s="4"/>
      <c r="V803" s="4"/>
      <c r="W803" s="4"/>
    </row>
    <row r="804">
      <c r="A804" s="4"/>
      <c r="B804" s="69"/>
      <c r="C804" s="4"/>
      <c r="D804" s="4"/>
      <c r="E804" s="4"/>
      <c r="F804" s="4"/>
      <c r="G804" s="4"/>
      <c r="H804" s="4"/>
      <c r="I804" s="4"/>
      <c r="J804" s="4"/>
      <c r="K804" s="4"/>
      <c r="L804" s="4"/>
      <c r="M804" s="4"/>
      <c r="N804" s="4"/>
      <c r="O804" s="4"/>
      <c r="P804" s="4"/>
      <c r="Q804" s="4"/>
      <c r="R804" s="4"/>
      <c r="S804" s="4"/>
      <c r="T804" s="4"/>
      <c r="U804" s="4"/>
      <c r="V804" s="4"/>
      <c r="W804" s="4"/>
    </row>
    <row r="805">
      <c r="A805" s="4"/>
      <c r="B805" s="69"/>
      <c r="C805" s="4"/>
      <c r="D805" s="4"/>
      <c r="E805" s="4"/>
      <c r="F805" s="4"/>
      <c r="G805" s="4"/>
      <c r="H805" s="4"/>
      <c r="I805" s="4"/>
      <c r="J805" s="4"/>
      <c r="K805" s="4"/>
      <c r="L805" s="4"/>
      <c r="M805" s="4"/>
      <c r="N805" s="4"/>
      <c r="O805" s="4"/>
      <c r="P805" s="4"/>
      <c r="Q805" s="4"/>
      <c r="R805" s="4"/>
      <c r="S805" s="4"/>
      <c r="T805" s="4"/>
      <c r="U805" s="4"/>
      <c r="V805" s="4"/>
      <c r="W805" s="4"/>
    </row>
    <row r="806">
      <c r="A806" s="4"/>
      <c r="B806" s="69"/>
      <c r="C806" s="4"/>
      <c r="D806" s="4"/>
      <c r="E806" s="4"/>
      <c r="F806" s="4"/>
      <c r="G806" s="4"/>
      <c r="H806" s="4"/>
      <c r="I806" s="4"/>
      <c r="J806" s="4"/>
      <c r="K806" s="4"/>
      <c r="L806" s="4"/>
      <c r="M806" s="4"/>
      <c r="N806" s="4"/>
      <c r="O806" s="4"/>
      <c r="P806" s="4"/>
      <c r="Q806" s="4"/>
      <c r="R806" s="4"/>
      <c r="S806" s="4"/>
      <c r="T806" s="4"/>
      <c r="U806" s="4"/>
      <c r="V806" s="4"/>
      <c r="W806" s="4"/>
    </row>
    <row r="807">
      <c r="A807" s="4"/>
      <c r="B807" s="69"/>
      <c r="C807" s="4"/>
      <c r="D807" s="4"/>
      <c r="E807" s="4"/>
      <c r="F807" s="4"/>
      <c r="G807" s="4"/>
      <c r="H807" s="4"/>
      <c r="I807" s="4"/>
      <c r="J807" s="4"/>
      <c r="K807" s="4"/>
      <c r="L807" s="4"/>
      <c r="M807" s="4"/>
      <c r="N807" s="4"/>
      <c r="O807" s="4"/>
      <c r="P807" s="4"/>
      <c r="Q807" s="4"/>
      <c r="R807" s="4"/>
      <c r="S807" s="4"/>
      <c r="T807" s="4"/>
      <c r="U807" s="4"/>
      <c r="V807" s="4"/>
      <c r="W807" s="4"/>
    </row>
    <row r="808">
      <c r="A808" s="4"/>
      <c r="B808" s="69"/>
      <c r="C808" s="4"/>
      <c r="D808" s="4"/>
      <c r="E808" s="4"/>
      <c r="F808" s="4"/>
      <c r="G808" s="4"/>
      <c r="H808" s="4"/>
      <c r="I808" s="4"/>
      <c r="J808" s="4"/>
      <c r="K808" s="4"/>
      <c r="L808" s="4"/>
      <c r="M808" s="4"/>
      <c r="N808" s="4"/>
      <c r="O808" s="4"/>
      <c r="P808" s="4"/>
      <c r="Q808" s="4"/>
      <c r="R808" s="4"/>
      <c r="S808" s="4"/>
      <c r="T808" s="4"/>
      <c r="U808" s="4"/>
      <c r="V808" s="4"/>
      <c r="W808" s="4"/>
    </row>
    <row r="809">
      <c r="A809" s="4"/>
      <c r="B809" s="69"/>
      <c r="C809" s="4"/>
      <c r="D809" s="4"/>
      <c r="E809" s="4"/>
      <c r="F809" s="4"/>
      <c r="G809" s="4"/>
      <c r="H809" s="4"/>
      <c r="I809" s="4"/>
      <c r="J809" s="4"/>
      <c r="K809" s="4"/>
      <c r="L809" s="4"/>
      <c r="M809" s="4"/>
      <c r="N809" s="4"/>
      <c r="O809" s="4"/>
      <c r="P809" s="4"/>
      <c r="Q809" s="4"/>
      <c r="R809" s="4"/>
      <c r="S809" s="4"/>
      <c r="T809" s="4"/>
      <c r="U809" s="4"/>
      <c r="V809" s="4"/>
      <c r="W809" s="4"/>
    </row>
    <row r="810">
      <c r="A810" s="4"/>
      <c r="B810" s="69"/>
      <c r="C810" s="4"/>
      <c r="D810" s="4"/>
      <c r="E810" s="4"/>
      <c r="F810" s="4"/>
      <c r="G810" s="4"/>
      <c r="H810" s="4"/>
      <c r="I810" s="4"/>
      <c r="J810" s="4"/>
      <c r="K810" s="4"/>
      <c r="L810" s="4"/>
      <c r="M810" s="4"/>
      <c r="N810" s="4"/>
      <c r="O810" s="4"/>
      <c r="P810" s="4"/>
      <c r="Q810" s="4"/>
      <c r="R810" s="4"/>
      <c r="S810" s="4"/>
      <c r="T810" s="4"/>
      <c r="U810" s="4"/>
      <c r="V810" s="4"/>
      <c r="W810" s="4"/>
    </row>
    <row r="811">
      <c r="A811" s="4"/>
      <c r="B811" s="69"/>
      <c r="C811" s="4"/>
      <c r="D811" s="4"/>
      <c r="E811" s="4"/>
      <c r="F811" s="4"/>
      <c r="G811" s="4"/>
      <c r="H811" s="4"/>
      <c r="I811" s="4"/>
      <c r="J811" s="4"/>
      <c r="K811" s="4"/>
      <c r="L811" s="4"/>
      <c r="M811" s="4"/>
      <c r="N811" s="4"/>
      <c r="O811" s="4"/>
      <c r="P811" s="4"/>
      <c r="Q811" s="4"/>
      <c r="R811" s="4"/>
      <c r="S811" s="4"/>
      <c r="T811" s="4"/>
      <c r="U811" s="4"/>
      <c r="V811" s="4"/>
      <c r="W811" s="4"/>
    </row>
    <row r="812">
      <c r="A812" s="4"/>
      <c r="B812" s="69"/>
      <c r="C812" s="4"/>
      <c r="D812" s="4"/>
      <c r="E812" s="4"/>
      <c r="F812" s="4"/>
      <c r="G812" s="4"/>
      <c r="H812" s="4"/>
      <c r="I812" s="4"/>
      <c r="J812" s="4"/>
      <c r="K812" s="4"/>
      <c r="L812" s="4"/>
      <c r="M812" s="4"/>
      <c r="N812" s="4"/>
      <c r="O812" s="4"/>
      <c r="P812" s="4"/>
      <c r="Q812" s="4"/>
      <c r="R812" s="4"/>
      <c r="S812" s="4"/>
      <c r="T812" s="4"/>
      <c r="U812" s="4"/>
      <c r="V812" s="4"/>
      <c r="W812" s="4"/>
    </row>
    <row r="813">
      <c r="A813" s="4"/>
      <c r="B813" s="69"/>
      <c r="C813" s="4"/>
      <c r="D813" s="4"/>
      <c r="E813" s="4"/>
      <c r="F813" s="4"/>
      <c r="G813" s="4"/>
      <c r="H813" s="4"/>
      <c r="I813" s="4"/>
      <c r="J813" s="4"/>
      <c r="K813" s="4"/>
      <c r="L813" s="4"/>
      <c r="M813" s="4"/>
      <c r="N813" s="4"/>
      <c r="O813" s="4"/>
      <c r="P813" s="4"/>
      <c r="Q813" s="4"/>
      <c r="R813" s="4"/>
      <c r="S813" s="4"/>
      <c r="T813" s="4"/>
      <c r="U813" s="4"/>
      <c r="V813" s="4"/>
      <c r="W813" s="4"/>
    </row>
    <row r="814">
      <c r="A814" s="4"/>
      <c r="B814" s="69"/>
      <c r="C814" s="4"/>
      <c r="D814" s="4"/>
      <c r="E814" s="4"/>
      <c r="F814" s="4"/>
      <c r="G814" s="4"/>
      <c r="H814" s="4"/>
      <c r="I814" s="4"/>
      <c r="J814" s="4"/>
      <c r="K814" s="4"/>
      <c r="L814" s="4"/>
      <c r="M814" s="4"/>
      <c r="N814" s="4"/>
      <c r="O814" s="4"/>
      <c r="P814" s="4"/>
      <c r="Q814" s="4"/>
      <c r="R814" s="4"/>
      <c r="S814" s="4"/>
      <c r="T814" s="4"/>
      <c r="U814" s="4"/>
      <c r="V814" s="4"/>
      <c r="W814" s="4"/>
    </row>
    <row r="815">
      <c r="A815" s="4"/>
      <c r="B815" s="69"/>
      <c r="C815" s="4"/>
      <c r="D815" s="4"/>
      <c r="E815" s="4"/>
      <c r="F815" s="4"/>
      <c r="G815" s="4"/>
      <c r="H815" s="4"/>
      <c r="I815" s="4"/>
      <c r="J815" s="4"/>
      <c r="K815" s="4"/>
      <c r="L815" s="4"/>
      <c r="M815" s="4"/>
      <c r="N815" s="4"/>
      <c r="O815" s="4"/>
      <c r="P815" s="4"/>
      <c r="Q815" s="4"/>
      <c r="R815" s="4"/>
      <c r="S815" s="4"/>
      <c r="T815" s="4"/>
      <c r="U815" s="4"/>
      <c r="V815" s="4"/>
      <c r="W815" s="4"/>
    </row>
    <row r="816">
      <c r="A816" s="4"/>
      <c r="B816" s="69"/>
      <c r="C816" s="4"/>
      <c r="D816" s="4"/>
      <c r="E816" s="4"/>
      <c r="F816" s="4"/>
      <c r="G816" s="4"/>
      <c r="H816" s="4"/>
      <c r="I816" s="4"/>
      <c r="J816" s="4"/>
      <c r="K816" s="4"/>
      <c r="L816" s="4"/>
      <c r="M816" s="4"/>
      <c r="N816" s="4"/>
      <c r="O816" s="4"/>
      <c r="P816" s="4"/>
      <c r="Q816" s="4"/>
      <c r="R816" s="4"/>
      <c r="S816" s="4"/>
      <c r="T816" s="4"/>
      <c r="U816" s="4"/>
      <c r="V816" s="4"/>
      <c r="W816" s="4"/>
    </row>
    <row r="817">
      <c r="A817" s="4"/>
      <c r="B817" s="69"/>
      <c r="C817" s="4"/>
      <c r="D817" s="4"/>
      <c r="E817" s="4"/>
      <c r="F817" s="4"/>
      <c r="G817" s="4"/>
      <c r="H817" s="4"/>
      <c r="I817" s="4"/>
      <c r="J817" s="4"/>
      <c r="K817" s="4"/>
      <c r="L817" s="4"/>
      <c r="M817" s="4"/>
      <c r="N817" s="4"/>
      <c r="O817" s="4"/>
      <c r="P817" s="4"/>
      <c r="Q817" s="4"/>
      <c r="R817" s="4"/>
      <c r="S817" s="4"/>
      <c r="T817" s="4"/>
      <c r="U817" s="4"/>
      <c r="V817" s="4"/>
      <c r="W817" s="4"/>
    </row>
    <row r="818">
      <c r="A818" s="4"/>
      <c r="B818" s="69"/>
      <c r="C818" s="4"/>
      <c r="D818" s="4"/>
      <c r="E818" s="4"/>
      <c r="F818" s="4"/>
      <c r="G818" s="4"/>
      <c r="H818" s="4"/>
      <c r="I818" s="4"/>
      <c r="J818" s="4"/>
      <c r="K818" s="4"/>
      <c r="L818" s="4"/>
      <c r="M818" s="4"/>
      <c r="N818" s="4"/>
      <c r="O818" s="4"/>
      <c r="P818" s="4"/>
      <c r="Q818" s="4"/>
      <c r="R818" s="4"/>
      <c r="S818" s="4"/>
      <c r="T818" s="4"/>
      <c r="U818" s="4"/>
      <c r="V818" s="4"/>
      <c r="W818" s="4"/>
    </row>
    <row r="819">
      <c r="A819" s="4"/>
      <c r="B819" s="69"/>
      <c r="C819" s="4"/>
      <c r="D819" s="4"/>
      <c r="E819" s="4"/>
      <c r="F819" s="4"/>
      <c r="G819" s="4"/>
      <c r="H819" s="4"/>
      <c r="I819" s="4"/>
      <c r="J819" s="4"/>
      <c r="K819" s="4"/>
      <c r="L819" s="4"/>
      <c r="M819" s="4"/>
      <c r="N819" s="4"/>
      <c r="O819" s="4"/>
      <c r="P819" s="4"/>
      <c r="Q819" s="4"/>
      <c r="R819" s="4"/>
      <c r="S819" s="4"/>
      <c r="T819" s="4"/>
      <c r="U819" s="4"/>
      <c r="V819" s="4"/>
      <c r="W819" s="4"/>
    </row>
    <row r="820">
      <c r="A820" s="4"/>
      <c r="B820" s="69"/>
      <c r="C820" s="4"/>
      <c r="D820" s="4"/>
      <c r="E820" s="4"/>
      <c r="F820" s="4"/>
      <c r="G820" s="4"/>
      <c r="H820" s="4"/>
      <c r="I820" s="4"/>
      <c r="J820" s="4"/>
      <c r="K820" s="4"/>
      <c r="L820" s="4"/>
      <c r="M820" s="4"/>
      <c r="N820" s="4"/>
      <c r="O820" s="4"/>
      <c r="P820" s="4"/>
      <c r="Q820" s="4"/>
      <c r="R820" s="4"/>
      <c r="S820" s="4"/>
      <c r="T820" s="4"/>
      <c r="U820" s="4"/>
      <c r="V820" s="4"/>
      <c r="W820" s="4"/>
    </row>
    <row r="821">
      <c r="A821" s="4"/>
      <c r="B821" s="69"/>
      <c r="C821" s="4"/>
      <c r="D821" s="4"/>
      <c r="E821" s="4"/>
      <c r="F821" s="4"/>
      <c r="G821" s="4"/>
      <c r="H821" s="4"/>
      <c r="I821" s="4"/>
      <c r="J821" s="4"/>
      <c r="K821" s="4"/>
      <c r="L821" s="4"/>
      <c r="M821" s="4"/>
      <c r="N821" s="4"/>
      <c r="O821" s="4"/>
      <c r="P821" s="4"/>
      <c r="Q821" s="4"/>
      <c r="R821" s="4"/>
      <c r="S821" s="4"/>
      <c r="T821" s="4"/>
      <c r="U821" s="4"/>
      <c r="V821" s="4"/>
      <c r="W821" s="4"/>
    </row>
    <row r="822">
      <c r="A822" s="4"/>
      <c r="B822" s="69"/>
      <c r="C822" s="4"/>
      <c r="D822" s="4"/>
      <c r="E822" s="4"/>
      <c r="F822" s="4"/>
      <c r="G822" s="4"/>
      <c r="H822" s="4"/>
      <c r="I822" s="4"/>
      <c r="J822" s="4"/>
      <c r="K822" s="4"/>
      <c r="L822" s="4"/>
      <c r="M822" s="4"/>
      <c r="N822" s="4"/>
      <c r="O822" s="4"/>
      <c r="P822" s="4"/>
      <c r="Q822" s="4"/>
      <c r="R822" s="4"/>
      <c r="S822" s="4"/>
      <c r="T822" s="4"/>
      <c r="U822" s="4"/>
      <c r="V822" s="4"/>
      <c r="W822" s="4"/>
    </row>
    <row r="823">
      <c r="A823" s="4"/>
      <c r="B823" s="69"/>
      <c r="C823" s="4"/>
      <c r="D823" s="4"/>
      <c r="E823" s="4"/>
      <c r="F823" s="4"/>
      <c r="G823" s="4"/>
      <c r="H823" s="4"/>
      <c r="I823" s="4"/>
      <c r="J823" s="4"/>
      <c r="K823" s="4"/>
      <c r="L823" s="4"/>
      <c r="M823" s="4"/>
      <c r="N823" s="4"/>
      <c r="O823" s="4"/>
      <c r="P823" s="4"/>
      <c r="Q823" s="4"/>
      <c r="R823" s="4"/>
      <c r="S823" s="4"/>
      <c r="T823" s="4"/>
      <c r="U823" s="4"/>
      <c r="V823" s="4"/>
      <c r="W823" s="4"/>
    </row>
    <row r="824">
      <c r="A824" s="4"/>
      <c r="B824" s="69"/>
      <c r="C824" s="4"/>
      <c r="D824" s="4"/>
      <c r="E824" s="4"/>
      <c r="F824" s="4"/>
      <c r="G824" s="4"/>
      <c r="H824" s="4"/>
      <c r="I824" s="4"/>
      <c r="J824" s="4"/>
      <c r="K824" s="4"/>
      <c r="L824" s="4"/>
      <c r="M824" s="4"/>
      <c r="N824" s="4"/>
      <c r="O824" s="4"/>
      <c r="P824" s="4"/>
      <c r="Q824" s="4"/>
      <c r="R824" s="4"/>
      <c r="S824" s="4"/>
      <c r="T824" s="4"/>
      <c r="U824" s="4"/>
      <c r="V824" s="4"/>
      <c r="W824" s="4"/>
    </row>
    <row r="825">
      <c r="A825" s="4"/>
      <c r="B825" s="69"/>
      <c r="C825" s="4"/>
      <c r="D825" s="4"/>
      <c r="E825" s="4"/>
      <c r="F825" s="4"/>
      <c r="G825" s="4"/>
      <c r="H825" s="4"/>
      <c r="I825" s="4"/>
      <c r="J825" s="4"/>
      <c r="K825" s="4"/>
      <c r="L825" s="4"/>
      <c r="M825" s="4"/>
      <c r="N825" s="4"/>
      <c r="O825" s="4"/>
      <c r="P825" s="4"/>
      <c r="Q825" s="4"/>
      <c r="R825" s="4"/>
      <c r="S825" s="4"/>
      <c r="T825" s="4"/>
      <c r="U825" s="4"/>
      <c r="V825" s="4"/>
      <c r="W825" s="4"/>
    </row>
    <row r="826">
      <c r="A826" s="4"/>
      <c r="B826" s="69"/>
      <c r="C826" s="4"/>
      <c r="D826" s="4"/>
      <c r="E826" s="4"/>
      <c r="F826" s="4"/>
      <c r="G826" s="4"/>
      <c r="H826" s="4"/>
      <c r="I826" s="4"/>
      <c r="J826" s="4"/>
      <c r="K826" s="4"/>
      <c r="L826" s="4"/>
      <c r="M826" s="4"/>
      <c r="N826" s="4"/>
      <c r="O826" s="4"/>
      <c r="P826" s="4"/>
      <c r="Q826" s="4"/>
      <c r="R826" s="4"/>
      <c r="S826" s="4"/>
      <c r="T826" s="4"/>
      <c r="U826" s="4"/>
      <c r="V826" s="4"/>
      <c r="W826" s="4"/>
    </row>
    <row r="827">
      <c r="A827" s="4"/>
      <c r="B827" s="69"/>
      <c r="C827" s="4"/>
      <c r="D827" s="4"/>
      <c r="E827" s="4"/>
      <c r="F827" s="4"/>
      <c r="G827" s="4"/>
      <c r="H827" s="4"/>
      <c r="I827" s="4"/>
      <c r="J827" s="4"/>
      <c r="K827" s="4"/>
      <c r="L827" s="4"/>
      <c r="M827" s="4"/>
      <c r="N827" s="4"/>
      <c r="O827" s="4"/>
      <c r="P827" s="4"/>
      <c r="Q827" s="4"/>
      <c r="R827" s="4"/>
      <c r="S827" s="4"/>
      <c r="T827" s="4"/>
      <c r="U827" s="4"/>
      <c r="V827" s="4"/>
      <c r="W827" s="4"/>
    </row>
    <row r="828">
      <c r="A828" s="4"/>
      <c r="B828" s="69"/>
      <c r="C828" s="4"/>
      <c r="D828" s="4"/>
      <c r="E828" s="4"/>
      <c r="F828" s="4"/>
      <c r="G828" s="4"/>
      <c r="H828" s="4"/>
      <c r="I828" s="4"/>
      <c r="J828" s="4"/>
      <c r="K828" s="4"/>
      <c r="L828" s="4"/>
      <c r="M828" s="4"/>
      <c r="N828" s="4"/>
      <c r="O828" s="4"/>
      <c r="P828" s="4"/>
      <c r="Q828" s="4"/>
      <c r="R828" s="4"/>
      <c r="S828" s="4"/>
      <c r="T828" s="4"/>
      <c r="U828" s="4"/>
      <c r="V828" s="4"/>
      <c r="W828" s="4"/>
    </row>
    <row r="829">
      <c r="A829" s="4"/>
      <c r="B829" s="69"/>
      <c r="C829" s="4"/>
      <c r="D829" s="4"/>
      <c r="E829" s="4"/>
      <c r="F829" s="4"/>
      <c r="G829" s="4"/>
      <c r="H829" s="4"/>
      <c r="I829" s="4"/>
      <c r="J829" s="4"/>
      <c r="K829" s="4"/>
      <c r="L829" s="4"/>
      <c r="M829" s="4"/>
      <c r="N829" s="4"/>
      <c r="O829" s="4"/>
      <c r="P829" s="4"/>
      <c r="Q829" s="4"/>
      <c r="R829" s="4"/>
      <c r="S829" s="4"/>
      <c r="T829" s="4"/>
      <c r="U829" s="4"/>
      <c r="V829" s="4"/>
      <c r="W829" s="4"/>
    </row>
    <row r="830">
      <c r="A830" s="4"/>
      <c r="B830" s="69"/>
      <c r="C830" s="4"/>
      <c r="D830" s="4"/>
      <c r="E830" s="4"/>
      <c r="F830" s="4"/>
      <c r="G830" s="4"/>
      <c r="H830" s="4"/>
      <c r="I830" s="4"/>
      <c r="J830" s="4"/>
      <c r="K830" s="4"/>
      <c r="L830" s="4"/>
      <c r="M830" s="4"/>
      <c r="N830" s="4"/>
      <c r="O830" s="4"/>
      <c r="P830" s="4"/>
      <c r="Q830" s="4"/>
      <c r="R830" s="4"/>
      <c r="S830" s="4"/>
      <c r="T830" s="4"/>
      <c r="U830" s="4"/>
      <c r="V830" s="4"/>
      <c r="W830" s="4"/>
    </row>
    <row r="831">
      <c r="A831" s="4"/>
      <c r="B831" s="69"/>
      <c r="C831" s="4"/>
      <c r="D831" s="4"/>
      <c r="E831" s="4"/>
      <c r="F831" s="4"/>
      <c r="G831" s="4"/>
      <c r="H831" s="4"/>
      <c r="I831" s="4"/>
      <c r="J831" s="4"/>
      <c r="K831" s="4"/>
      <c r="L831" s="4"/>
      <c r="M831" s="4"/>
      <c r="N831" s="4"/>
      <c r="O831" s="4"/>
      <c r="P831" s="4"/>
      <c r="Q831" s="4"/>
      <c r="R831" s="4"/>
      <c r="S831" s="4"/>
      <c r="T831" s="4"/>
      <c r="U831" s="4"/>
      <c r="V831" s="4"/>
      <c r="W831" s="4"/>
    </row>
    <row r="832">
      <c r="A832" s="4"/>
      <c r="B832" s="69"/>
      <c r="C832" s="4"/>
      <c r="D832" s="4"/>
      <c r="E832" s="4"/>
      <c r="F832" s="4"/>
      <c r="G832" s="4"/>
      <c r="H832" s="4"/>
      <c r="I832" s="4"/>
      <c r="J832" s="4"/>
      <c r="K832" s="4"/>
      <c r="L832" s="4"/>
      <c r="M832" s="4"/>
      <c r="N832" s="4"/>
      <c r="O832" s="4"/>
      <c r="P832" s="4"/>
      <c r="Q832" s="4"/>
      <c r="R832" s="4"/>
      <c r="S832" s="4"/>
      <c r="T832" s="4"/>
      <c r="U832" s="4"/>
      <c r="V832" s="4"/>
      <c r="W832" s="4"/>
    </row>
    <row r="833">
      <c r="A833" s="4"/>
      <c r="B833" s="69"/>
      <c r="C833" s="4"/>
      <c r="D833" s="4"/>
      <c r="E833" s="4"/>
      <c r="F833" s="4"/>
      <c r="G833" s="4"/>
      <c r="H833" s="4"/>
      <c r="I833" s="4"/>
      <c r="J833" s="4"/>
      <c r="K833" s="4"/>
      <c r="L833" s="4"/>
      <c r="M833" s="4"/>
      <c r="N833" s="4"/>
      <c r="O833" s="4"/>
      <c r="P833" s="4"/>
      <c r="Q833" s="4"/>
      <c r="R833" s="4"/>
      <c r="S833" s="4"/>
      <c r="T833" s="4"/>
      <c r="U833" s="4"/>
      <c r="V833" s="4"/>
      <c r="W833" s="4"/>
    </row>
    <row r="834">
      <c r="A834" s="4"/>
      <c r="B834" s="69"/>
      <c r="C834" s="4"/>
      <c r="D834" s="4"/>
      <c r="E834" s="4"/>
      <c r="F834" s="4"/>
      <c r="G834" s="4"/>
      <c r="H834" s="4"/>
      <c r="I834" s="4"/>
      <c r="J834" s="4"/>
      <c r="K834" s="4"/>
      <c r="L834" s="4"/>
      <c r="M834" s="4"/>
      <c r="N834" s="4"/>
      <c r="O834" s="4"/>
      <c r="P834" s="4"/>
      <c r="Q834" s="4"/>
      <c r="R834" s="4"/>
      <c r="S834" s="4"/>
      <c r="T834" s="4"/>
      <c r="U834" s="4"/>
      <c r="V834" s="4"/>
      <c r="W834" s="4"/>
    </row>
    <row r="835">
      <c r="A835" s="4"/>
      <c r="B835" s="69"/>
      <c r="C835" s="4"/>
      <c r="D835" s="4"/>
      <c r="E835" s="4"/>
      <c r="F835" s="4"/>
      <c r="G835" s="4"/>
      <c r="H835" s="4"/>
      <c r="I835" s="4"/>
      <c r="J835" s="4"/>
      <c r="K835" s="4"/>
      <c r="L835" s="4"/>
      <c r="M835" s="4"/>
      <c r="N835" s="4"/>
      <c r="O835" s="4"/>
      <c r="P835" s="4"/>
      <c r="Q835" s="4"/>
      <c r="R835" s="4"/>
      <c r="S835" s="4"/>
      <c r="T835" s="4"/>
      <c r="U835" s="4"/>
      <c r="V835" s="4"/>
      <c r="W835" s="4"/>
    </row>
    <row r="836">
      <c r="A836" s="4"/>
      <c r="B836" s="69"/>
      <c r="C836" s="4"/>
      <c r="D836" s="4"/>
      <c r="E836" s="4"/>
      <c r="F836" s="4"/>
      <c r="G836" s="4"/>
      <c r="H836" s="4"/>
      <c r="I836" s="4"/>
      <c r="J836" s="4"/>
      <c r="K836" s="4"/>
      <c r="L836" s="4"/>
      <c r="M836" s="4"/>
      <c r="N836" s="4"/>
      <c r="O836" s="4"/>
      <c r="P836" s="4"/>
      <c r="Q836" s="4"/>
      <c r="R836" s="4"/>
      <c r="S836" s="4"/>
      <c r="T836" s="4"/>
      <c r="U836" s="4"/>
      <c r="V836" s="4"/>
      <c r="W836" s="4"/>
    </row>
    <row r="837">
      <c r="A837" s="4"/>
      <c r="B837" s="69"/>
      <c r="C837" s="4"/>
      <c r="D837" s="4"/>
      <c r="E837" s="4"/>
      <c r="F837" s="4"/>
      <c r="G837" s="4"/>
      <c r="H837" s="4"/>
      <c r="I837" s="4"/>
      <c r="J837" s="4"/>
      <c r="K837" s="4"/>
      <c r="L837" s="4"/>
      <c r="M837" s="4"/>
      <c r="N837" s="4"/>
      <c r="O837" s="4"/>
      <c r="P837" s="4"/>
      <c r="Q837" s="4"/>
      <c r="R837" s="4"/>
      <c r="S837" s="4"/>
      <c r="T837" s="4"/>
      <c r="U837" s="4"/>
      <c r="V837" s="4"/>
      <c r="W837" s="4"/>
    </row>
    <row r="838">
      <c r="A838" s="4"/>
      <c r="B838" s="69"/>
      <c r="C838" s="4"/>
      <c r="D838" s="4"/>
      <c r="E838" s="4"/>
      <c r="F838" s="4"/>
      <c r="G838" s="4"/>
      <c r="H838" s="4"/>
      <c r="I838" s="4"/>
      <c r="J838" s="4"/>
      <c r="K838" s="4"/>
      <c r="L838" s="4"/>
      <c r="M838" s="4"/>
      <c r="N838" s="4"/>
      <c r="O838" s="4"/>
      <c r="P838" s="4"/>
      <c r="Q838" s="4"/>
      <c r="R838" s="4"/>
      <c r="S838" s="4"/>
      <c r="T838" s="4"/>
      <c r="U838" s="4"/>
      <c r="V838" s="4"/>
      <c r="W838" s="4"/>
    </row>
    <row r="839">
      <c r="A839" s="4"/>
      <c r="B839" s="69"/>
      <c r="C839" s="4"/>
      <c r="D839" s="4"/>
      <c r="E839" s="4"/>
      <c r="F839" s="4"/>
      <c r="G839" s="4"/>
      <c r="H839" s="4"/>
      <c r="I839" s="4"/>
      <c r="J839" s="4"/>
      <c r="K839" s="4"/>
      <c r="L839" s="4"/>
      <c r="M839" s="4"/>
      <c r="N839" s="4"/>
      <c r="O839" s="4"/>
      <c r="P839" s="4"/>
      <c r="Q839" s="4"/>
      <c r="R839" s="4"/>
      <c r="S839" s="4"/>
      <c r="T839" s="4"/>
      <c r="U839" s="4"/>
      <c r="V839" s="4"/>
      <c r="W839" s="4"/>
    </row>
    <row r="840">
      <c r="A840" s="4"/>
      <c r="B840" s="69"/>
      <c r="C840" s="4"/>
      <c r="D840" s="4"/>
      <c r="E840" s="4"/>
      <c r="F840" s="4"/>
      <c r="G840" s="4"/>
      <c r="H840" s="4"/>
      <c r="I840" s="4"/>
      <c r="J840" s="4"/>
      <c r="K840" s="4"/>
      <c r="L840" s="4"/>
      <c r="M840" s="4"/>
      <c r="N840" s="4"/>
      <c r="O840" s="4"/>
      <c r="P840" s="4"/>
      <c r="Q840" s="4"/>
      <c r="R840" s="4"/>
      <c r="S840" s="4"/>
      <c r="T840" s="4"/>
      <c r="U840" s="4"/>
      <c r="V840" s="4"/>
      <c r="W840" s="4"/>
    </row>
    <row r="841">
      <c r="A841" s="4"/>
      <c r="B841" s="69"/>
      <c r="C841" s="4"/>
      <c r="D841" s="4"/>
      <c r="E841" s="4"/>
      <c r="F841" s="4"/>
      <c r="G841" s="4"/>
      <c r="H841" s="4"/>
      <c r="I841" s="4"/>
      <c r="J841" s="4"/>
      <c r="K841" s="4"/>
      <c r="L841" s="4"/>
      <c r="M841" s="4"/>
      <c r="N841" s="4"/>
      <c r="O841" s="4"/>
      <c r="P841" s="4"/>
      <c r="Q841" s="4"/>
      <c r="R841" s="4"/>
      <c r="S841" s="4"/>
      <c r="T841" s="4"/>
      <c r="U841" s="4"/>
      <c r="V841" s="4"/>
      <c r="W841" s="4"/>
    </row>
    <row r="842">
      <c r="A842" s="4"/>
      <c r="B842" s="69"/>
      <c r="C842" s="4"/>
      <c r="D842" s="4"/>
      <c r="E842" s="4"/>
      <c r="F842" s="4"/>
      <c r="G842" s="4"/>
      <c r="H842" s="4"/>
      <c r="I842" s="4"/>
      <c r="J842" s="4"/>
      <c r="K842" s="4"/>
      <c r="L842" s="4"/>
      <c r="M842" s="4"/>
      <c r="N842" s="4"/>
      <c r="O842" s="4"/>
      <c r="P842" s="4"/>
      <c r="Q842" s="4"/>
      <c r="R842" s="4"/>
      <c r="S842" s="4"/>
      <c r="T842" s="4"/>
      <c r="U842" s="4"/>
      <c r="V842" s="4"/>
      <c r="W842" s="4"/>
    </row>
    <row r="843">
      <c r="A843" s="4"/>
      <c r="B843" s="69"/>
      <c r="C843" s="4"/>
      <c r="D843" s="4"/>
      <c r="E843" s="4"/>
      <c r="F843" s="4"/>
      <c r="G843" s="4"/>
      <c r="H843" s="4"/>
      <c r="I843" s="4"/>
      <c r="J843" s="4"/>
      <c r="K843" s="4"/>
      <c r="L843" s="4"/>
      <c r="M843" s="4"/>
      <c r="N843" s="4"/>
      <c r="O843" s="4"/>
      <c r="P843" s="4"/>
      <c r="Q843" s="4"/>
      <c r="R843" s="4"/>
      <c r="S843" s="4"/>
      <c r="T843" s="4"/>
      <c r="U843" s="4"/>
      <c r="V843" s="4"/>
      <c r="W843" s="4"/>
    </row>
    <row r="844">
      <c r="A844" s="4"/>
      <c r="B844" s="69"/>
      <c r="C844" s="4"/>
      <c r="D844" s="4"/>
      <c r="E844" s="4"/>
      <c r="F844" s="4"/>
      <c r="G844" s="4"/>
      <c r="H844" s="4"/>
      <c r="I844" s="4"/>
      <c r="J844" s="4"/>
      <c r="K844" s="4"/>
      <c r="L844" s="4"/>
      <c r="M844" s="4"/>
      <c r="N844" s="4"/>
      <c r="O844" s="4"/>
      <c r="P844" s="4"/>
      <c r="Q844" s="4"/>
      <c r="R844" s="4"/>
      <c r="S844" s="4"/>
      <c r="T844" s="4"/>
      <c r="U844" s="4"/>
      <c r="V844" s="4"/>
      <c r="W844" s="4"/>
    </row>
    <row r="845">
      <c r="A845" s="4"/>
      <c r="B845" s="69"/>
      <c r="C845" s="4"/>
      <c r="D845" s="4"/>
      <c r="E845" s="4"/>
      <c r="F845" s="4"/>
      <c r="G845" s="4"/>
      <c r="H845" s="4"/>
      <c r="I845" s="4"/>
      <c r="J845" s="4"/>
      <c r="K845" s="4"/>
      <c r="L845" s="4"/>
      <c r="M845" s="4"/>
      <c r="N845" s="4"/>
      <c r="O845" s="4"/>
      <c r="P845" s="4"/>
      <c r="Q845" s="4"/>
      <c r="R845" s="4"/>
      <c r="S845" s="4"/>
      <c r="T845" s="4"/>
      <c r="U845" s="4"/>
      <c r="V845" s="4"/>
      <c r="W845" s="4"/>
    </row>
    <row r="846">
      <c r="A846" s="4"/>
      <c r="B846" s="69"/>
      <c r="C846" s="4"/>
      <c r="D846" s="4"/>
      <c r="E846" s="4"/>
      <c r="F846" s="4"/>
      <c r="G846" s="4"/>
      <c r="H846" s="4"/>
      <c r="I846" s="4"/>
      <c r="J846" s="4"/>
      <c r="K846" s="4"/>
      <c r="L846" s="4"/>
      <c r="M846" s="4"/>
      <c r="N846" s="4"/>
      <c r="O846" s="4"/>
      <c r="P846" s="4"/>
      <c r="Q846" s="4"/>
      <c r="R846" s="4"/>
      <c r="S846" s="4"/>
      <c r="T846" s="4"/>
      <c r="U846" s="4"/>
      <c r="V846" s="4"/>
      <c r="W846" s="4"/>
    </row>
    <row r="847">
      <c r="A847" s="4"/>
      <c r="B847" s="69"/>
      <c r="C847" s="4"/>
      <c r="D847" s="4"/>
      <c r="E847" s="4"/>
      <c r="F847" s="4"/>
      <c r="G847" s="4"/>
      <c r="H847" s="4"/>
      <c r="I847" s="4"/>
      <c r="J847" s="4"/>
      <c r="K847" s="4"/>
      <c r="L847" s="4"/>
      <c r="M847" s="4"/>
      <c r="N847" s="4"/>
      <c r="O847" s="4"/>
      <c r="P847" s="4"/>
      <c r="Q847" s="4"/>
      <c r="R847" s="4"/>
      <c r="S847" s="4"/>
      <c r="T847" s="4"/>
      <c r="U847" s="4"/>
      <c r="V847" s="4"/>
      <c r="W847" s="4"/>
    </row>
    <row r="848">
      <c r="A848" s="4"/>
      <c r="B848" s="69"/>
      <c r="C848" s="4"/>
      <c r="D848" s="4"/>
      <c r="E848" s="4"/>
      <c r="F848" s="4"/>
      <c r="G848" s="4"/>
      <c r="H848" s="4"/>
      <c r="I848" s="4"/>
      <c r="J848" s="4"/>
      <c r="K848" s="4"/>
      <c r="L848" s="4"/>
      <c r="M848" s="4"/>
      <c r="N848" s="4"/>
      <c r="O848" s="4"/>
      <c r="P848" s="4"/>
      <c r="Q848" s="4"/>
      <c r="R848" s="4"/>
      <c r="S848" s="4"/>
      <c r="T848" s="4"/>
      <c r="U848" s="4"/>
      <c r="V848" s="4"/>
      <c r="W848" s="4"/>
    </row>
    <row r="849">
      <c r="A849" s="4"/>
      <c r="B849" s="69"/>
      <c r="C849" s="4"/>
      <c r="D849" s="4"/>
      <c r="E849" s="4"/>
      <c r="F849" s="4"/>
      <c r="G849" s="4"/>
      <c r="H849" s="4"/>
      <c r="I849" s="4"/>
      <c r="J849" s="4"/>
      <c r="K849" s="4"/>
      <c r="L849" s="4"/>
      <c r="M849" s="4"/>
      <c r="N849" s="4"/>
      <c r="O849" s="4"/>
      <c r="P849" s="4"/>
      <c r="Q849" s="4"/>
      <c r="R849" s="4"/>
      <c r="S849" s="4"/>
      <c r="T849" s="4"/>
      <c r="U849" s="4"/>
      <c r="V849" s="4"/>
      <c r="W849" s="4"/>
    </row>
    <row r="850">
      <c r="A850" s="4"/>
      <c r="B850" s="69"/>
      <c r="C850" s="4"/>
      <c r="D850" s="4"/>
      <c r="E850" s="4"/>
      <c r="F850" s="4"/>
      <c r="G850" s="4"/>
      <c r="H850" s="4"/>
      <c r="I850" s="4"/>
      <c r="J850" s="4"/>
      <c r="K850" s="4"/>
      <c r="L850" s="4"/>
      <c r="M850" s="4"/>
      <c r="N850" s="4"/>
      <c r="O850" s="4"/>
      <c r="P850" s="4"/>
      <c r="Q850" s="4"/>
      <c r="R850" s="4"/>
      <c r="S850" s="4"/>
      <c r="T850" s="4"/>
      <c r="U850" s="4"/>
      <c r="V850" s="4"/>
      <c r="W850" s="4"/>
    </row>
    <row r="851">
      <c r="A851" s="4"/>
      <c r="B851" s="69"/>
      <c r="C851" s="4"/>
      <c r="D851" s="4"/>
      <c r="E851" s="4"/>
      <c r="F851" s="4"/>
      <c r="G851" s="4"/>
      <c r="H851" s="4"/>
      <c r="I851" s="4"/>
      <c r="J851" s="4"/>
      <c r="K851" s="4"/>
      <c r="L851" s="4"/>
      <c r="M851" s="4"/>
      <c r="N851" s="4"/>
      <c r="O851" s="4"/>
      <c r="P851" s="4"/>
      <c r="Q851" s="4"/>
      <c r="R851" s="4"/>
      <c r="S851" s="4"/>
      <c r="T851" s="4"/>
      <c r="U851" s="4"/>
      <c r="V851" s="4"/>
      <c r="W851" s="4"/>
    </row>
    <row r="852">
      <c r="A852" s="4"/>
      <c r="B852" s="69"/>
      <c r="C852" s="4"/>
      <c r="D852" s="4"/>
      <c r="E852" s="4"/>
      <c r="F852" s="4"/>
      <c r="G852" s="4"/>
      <c r="H852" s="4"/>
      <c r="I852" s="4"/>
      <c r="J852" s="4"/>
      <c r="K852" s="4"/>
      <c r="L852" s="4"/>
      <c r="M852" s="4"/>
      <c r="N852" s="4"/>
      <c r="O852" s="4"/>
      <c r="P852" s="4"/>
      <c r="Q852" s="4"/>
      <c r="R852" s="4"/>
      <c r="S852" s="4"/>
      <c r="T852" s="4"/>
      <c r="U852" s="4"/>
      <c r="V852" s="4"/>
      <c r="W852" s="4"/>
    </row>
    <row r="853">
      <c r="A853" s="4"/>
      <c r="B853" s="69"/>
      <c r="C853" s="4"/>
      <c r="D853" s="4"/>
      <c r="E853" s="4"/>
      <c r="F853" s="4"/>
      <c r="G853" s="4"/>
      <c r="H853" s="4"/>
      <c r="I853" s="4"/>
      <c r="J853" s="4"/>
      <c r="K853" s="4"/>
      <c r="L853" s="4"/>
      <c r="M853" s="4"/>
      <c r="N853" s="4"/>
      <c r="O853" s="4"/>
      <c r="P853" s="4"/>
      <c r="Q853" s="4"/>
      <c r="R853" s="4"/>
      <c r="S853" s="4"/>
      <c r="T853" s="4"/>
      <c r="U853" s="4"/>
      <c r="V853" s="4"/>
      <c r="W853" s="4"/>
    </row>
    <row r="854">
      <c r="A854" s="4"/>
      <c r="B854" s="69"/>
      <c r="C854" s="4"/>
      <c r="D854" s="4"/>
      <c r="E854" s="4"/>
      <c r="F854" s="4"/>
      <c r="G854" s="4"/>
      <c r="H854" s="4"/>
      <c r="I854" s="4"/>
      <c r="J854" s="4"/>
      <c r="K854" s="4"/>
      <c r="L854" s="4"/>
      <c r="M854" s="4"/>
      <c r="N854" s="4"/>
      <c r="O854" s="4"/>
      <c r="P854" s="4"/>
      <c r="Q854" s="4"/>
      <c r="R854" s="4"/>
      <c r="S854" s="4"/>
      <c r="T854" s="4"/>
      <c r="U854" s="4"/>
      <c r="V854" s="4"/>
      <c r="W854" s="4"/>
    </row>
    <row r="855">
      <c r="A855" s="4"/>
      <c r="B855" s="69"/>
      <c r="C855" s="4"/>
      <c r="D855" s="4"/>
      <c r="E855" s="4"/>
      <c r="F855" s="4"/>
      <c r="G855" s="4"/>
      <c r="H855" s="4"/>
      <c r="I855" s="4"/>
      <c r="J855" s="4"/>
      <c r="K855" s="4"/>
      <c r="L855" s="4"/>
      <c r="M855" s="4"/>
      <c r="N855" s="4"/>
      <c r="O855" s="4"/>
      <c r="P855" s="4"/>
      <c r="Q855" s="4"/>
      <c r="R855" s="4"/>
      <c r="S855" s="4"/>
      <c r="T855" s="4"/>
      <c r="U855" s="4"/>
      <c r="V855" s="4"/>
      <c r="W855" s="4"/>
    </row>
    <row r="856">
      <c r="A856" s="4"/>
      <c r="B856" s="69"/>
      <c r="C856" s="4"/>
      <c r="D856" s="4"/>
      <c r="E856" s="4"/>
      <c r="F856" s="4"/>
      <c r="G856" s="4"/>
      <c r="H856" s="4"/>
      <c r="I856" s="4"/>
      <c r="J856" s="4"/>
      <c r="K856" s="4"/>
      <c r="L856" s="4"/>
      <c r="M856" s="4"/>
      <c r="N856" s="4"/>
      <c r="O856" s="4"/>
      <c r="P856" s="4"/>
      <c r="Q856" s="4"/>
      <c r="R856" s="4"/>
      <c r="S856" s="4"/>
      <c r="T856" s="4"/>
      <c r="U856" s="4"/>
      <c r="V856" s="4"/>
      <c r="W856" s="4"/>
    </row>
    <row r="857">
      <c r="A857" s="4"/>
      <c r="B857" s="69"/>
      <c r="C857" s="4"/>
      <c r="D857" s="4"/>
      <c r="E857" s="4"/>
      <c r="F857" s="4"/>
      <c r="G857" s="4"/>
      <c r="H857" s="4"/>
      <c r="I857" s="4"/>
      <c r="J857" s="4"/>
      <c r="K857" s="4"/>
      <c r="L857" s="4"/>
      <c r="M857" s="4"/>
      <c r="N857" s="4"/>
      <c r="O857" s="4"/>
      <c r="P857" s="4"/>
      <c r="Q857" s="4"/>
      <c r="R857" s="4"/>
      <c r="S857" s="4"/>
      <c r="T857" s="4"/>
      <c r="U857" s="4"/>
      <c r="V857" s="4"/>
      <c r="W857" s="4"/>
    </row>
    <row r="858">
      <c r="A858" s="4"/>
      <c r="B858" s="69"/>
      <c r="C858" s="4"/>
      <c r="D858" s="4"/>
      <c r="E858" s="4"/>
      <c r="F858" s="4"/>
      <c r="G858" s="4"/>
      <c r="H858" s="4"/>
      <c r="I858" s="4"/>
      <c r="J858" s="4"/>
      <c r="K858" s="4"/>
      <c r="L858" s="4"/>
      <c r="M858" s="4"/>
      <c r="N858" s="4"/>
      <c r="O858" s="4"/>
      <c r="P858" s="4"/>
      <c r="Q858" s="4"/>
      <c r="R858" s="4"/>
      <c r="S858" s="4"/>
      <c r="T858" s="4"/>
      <c r="U858" s="4"/>
      <c r="V858" s="4"/>
      <c r="W858" s="4"/>
    </row>
    <row r="859">
      <c r="A859" s="4"/>
      <c r="B859" s="69"/>
      <c r="C859" s="4"/>
      <c r="D859" s="4"/>
      <c r="E859" s="4"/>
      <c r="F859" s="4"/>
      <c r="G859" s="4"/>
      <c r="H859" s="4"/>
      <c r="I859" s="4"/>
      <c r="J859" s="4"/>
      <c r="K859" s="4"/>
      <c r="L859" s="4"/>
      <c r="M859" s="4"/>
      <c r="N859" s="4"/>
      <c r="O859" s="4"/>
      <c r="P859" s="4"/>
      <c r="Q859" s="4"/>
      <c r="R859" s="4"/>
      <c r="S859" s="4"/>
      <c r="T859" s="4"/>
      <c r="U859" s="4"/>
      <c r="V859" s="4"/>
      <c r="W859" s="4"/>
    </row>
    <row r="860">
      <c r="A860" s="4"/>
      <c r="B860" s="69"/>
      <c r="C860" s="4"/>
      <c r="D860" s="4"/>
      <c r="E860" s="4"/>
      <c r="F860" s="4"/>
      <c r="G860" s="4"/>
      <c r="H860" s="4"/>
      <c r="I860" s="4"/>
      <c r="J860" s="4"/>
      <c r="K860" s="4"/>
      <c r="L860" s="4"/>
      <c r="M860" s="4"/>
      <c r="N860" s="4"/>
      <c r="O860" s="4"/>
      <c r="P860" s="4"/>
      <c r="Q860" s="4"/>
      <c r="R860" s="4"/>
      <c r="S860" s="4"/>
      <c r="T860" s="4"/>
      <c r="U860" s="4"/>
      <c r="V860" s="4"/>
      <c r="W860" s="4"/>
    </row>
    <row r="861">
      <c r="A861" s="4"/>
      <c r="B861" s="69"/>
      <c r="C861" s="4"/>
      <c r="D861" s="4"/>
      <c r="E861" s="4"/>
      <c r="F861" s="4"/>
      <c r="G861" s="4"/>
      <c r="H861" s="4"/>
      <c r="I861" s="4"/>
      <c r="J861" s="4"/>
      <c r="K861" s="4"/>
      <c r="L861" s="4"/>
      <c r="M861" s="4"/>
      <c r="N861" s="4"/>
      <c r="O861" s="4"/>
      <c r="P861" s="4"/>
      <c r="Q861" s="4"/>
      <c r="R861" s="4"/>
      <c r="S861" s="4"/>
      <c r="T861" s="4"/>
      <c r="U861" s="4"/>
      <c r="V861" s="4"/>
      <c r="W861" s="4"/>
    </row>
    <row r="862">
      <c r="A862" s="4"/>
      <c r="B862" s="69"/>
      <c r="C862" s="4"/>
      <c r="D862" s="4"/>
      <c r="E862" s="4"/>
      <c r="F862" s="4"/>
      <c r="G862" s="4"/>
      <c r="H862" s="4"/>
      <c r="I862" s="4"/>
      <c r="J862" s="4"/>
      <c r="K862" s="4"/>
      <c r="L862" s="4"/>
      <c r="M862" s="4"/>
      <c r="N862" s="4"/>
      <c r="O862" s="4"/>
      <c r="P862" s="4"/>
      <c r="Q862" s="4"/>
      <c r="R862" s="4"/>
      <c r="S862" s="4"/>
      <c r="T862" s="4"/>
      <c r="U862" s="4"/>
      <c r="V862" s="4"/>
      <c r="W862" s="4"/>
    </row>
    <row r="863">
      <c r="A863" s="4"/>
      <c r="B863" s="69"/>
      <c r="C863" s="4"/>
      <c r="D863" s="4"/>
      <c r="E863" s="4"/>
      <c r="F863" s="4"/>
      <c r="G863" s="4"/>
      <c r="H863" s="4"/>
      <c r="I863" s="4"/>
      <c r="J863" s="4"/>
      <c r="K863" s="4"/>
      <c r="L863" s="4"/>
      <c r="M863" s="4"/>
      <c r="N863" s="4"/>
      <c r="O863" s="4"/>
      <c r="P863" s="4"/>
      <c r="Q863" s="4"/>
      <c r="R863" s="4"/>
      <c r="S863" s="4"/>
      <c r="T863" s="4"/>
      <c r="U863" s="4"/>
      <c r="V863" s="4"/>
      <c r="W863" s="4"/>
    </row>
    <row r="864">
      <c r="A864" s="4"/>
      <c r="B864" s="69"/>
      <c r="C864" s="4"/>
      <c r="D864" s="4"/>
      <c r="E864" s="4"/>
      <c r="F864" s="4"/>
      <c r="G864" s="4"/>
      <c r="H864" s="4"/>
      <c r="I864" s="4"/>
      <c r="J864" s="4"/>
      <c r="K864" s="4"/>
      <c r="L864" s="4"/>
      <c r="M864" s="4"/>
      <c r="N864" s="4"/>
      <c r="O864" s="4"/>
      <c r="P864" s="4"/>
      <c r="Q864" s="4"/>
      <c r="R864" s="4"/>
      <c r="S864" s="4"/>
      <c r="T864" s="4"/>
      <c r="U864" s="4"/>
      <c r="V864" s="4"/>
      <c r="W864" s="4"/>
    </row>
    <row r="865">
      <c r="A865" s="4"/>
      <c r="B865" s="69"/>
      <c r="C865" s="4"/>
      <c r="D865" s="4"/>
      <c r="E865" s="4"/>
      <c r="F865" s="4"/>
      <c r="G865" s="4"/>
      <c r="H865" s="4"/>
      <c r="I865" s="4"/>
      <c r="J865" s="4"/>
      <c r="K865" s="4"/>
      <c r="L865" s="4"/>
      <c r="M865" s="4"/>
      <c r="N865" s="4"/>
      <c r="O865" s="4"/>
      <c r="P865" s="4"/>
      <c r="Q865" s="4"/>
      <c r="R865" s="4"/>
      <c r="S865" s="4"/>
      <c r="T865" s="4"/>
      <c r="U865" s="4"/>
      <c r="V865" s="4"/>
      <c r="W865" s="4"/>
    </row>
    <row r="866">
      <c r="A866" s="4"/>
      <c r="B866" s="69"/>
      <c r="C866" s="4"/>
      <c r="D866" s="4"/>
      <c r="E866" s="4"/>
      <c r="F866" s="4"/>
      <c r="G866" s="4"/>
      <c r="H866" s="4"/>
      <c r="I866" s="4"/>
      <c r="J866" s="4"/>
      <c r="K866" s="4"/>
      <c r="L866" s="4"/>
      <c r="M866" s="4"/>
      <c r="N866" s="4"/>
      <c r="O866" s="4"/>
      <c r="P866" s="4"/>
      <c r="Q866" s="4"/>
      <c r="R866" s="4"/>
      <c r="S866" s="4"/>
      <c r="T866" s="4"/>
      <c r="U866" s="4"/>
      <c r="V866" s="4"/>
      <c r="W866" s="4"/>
    </row>
    <row r="867">
      <c r="A867" s="4"/>
      <c r="B867" s="69"/>
      <c r="C867" s="4"/>
      <c r="D867" s="4"/>
      <c r="E867" s="4"/>
      <c r="F867" s="4"/>
      <c r="G867" s="4"/>
      <c r="H867" s="4"/>
      <c r="I867" s="4"/>
      <c r="J867" s="4"/>
      <c r="K867" s="4"/>
      <c r="L867" s="4"/>
      <c r="M867" s="4"/>
      <c r="N867" s="4"/>
      <c r="O867" s="4"/>
      <c r="P867" s="4"/>
      <c r="Q867" s="4"/>
      <c r="R867" s="4"/>
      <c r="S867" s="4"/>
      <c r="T867" s="4"/>
      <c r="U867" s="4"/>
      <c r="V867" s="4"/>
      <c r="W867" s="4"/>
    </row>
    <row r="868">
      <c r="A868" s="4"/>
      <c r="B868" s="69"/>
      <c r="C868" s="4"/>
      <c r="D868" s="4"/>
      <c r="E868" s="4"/>
      <c r="F868" s="4"/>
      <c r="G868" s="4"/>
      <c r="H868" s="4"/>
      <c r="I868" s="4"/>
      <c r="J868" s="4"/>
      <c r="K868" s="4"/>
      <c r="L868" s="4"/>
      <c r="M868" s="4"/>
      <c r="N868" s="4"/>
      <c r="O868" s="4"/>
      <c r="P868" s="4"/>
      <c r="Q868" s="4"/>
      <c r="R868" s="4"/>
      <c r="S868" s="4"/>
      <c r="T868" s="4"/>
      <c r="U868" s="4"/>
      <c r="V868" s="4"/>
      <c r="W868" s="4"/>
    </row>
    <row r="869">
      <c r="A869" s="4"/>
      <c r="B869" s="69"/>
      <c r="C869" s="4"/>
      <c r="D869" s="4"/>
      <c r="E869" s="4"/>
      <c r="F869" s="4"/>
      <c r="G869" s="4"/>
      <c r="H869" s="4"/>
      <c r="I869" s="4"/>
      <c r="J869" s="4"/>
      <c r="K869" s="4"/>
      <c r="L869" s="4"/>
      <c r="M869" s="4"/>
      <c r="N869" s="4"/>
      <c r="O869" s="4"/>
      <c r="P869" s="4"/>
      <c r="Q869" s="4"/>
      <c r="R869" s="4"/>
      <c r="S869" s="4"/>
      <c r="T869" s="4"/>
      <c r="U869" s="4"/>
      <c r="V869" s="4"/>
      <c r="W869" s="4"/>
    </row>
    <row r="870">
      <c r="A870" s="4"/>
      <c r="B870" s="69"/>
      <c r="C870" s="4"/>
      <c r="D870" s="4"/>
      <c r="E870" s="4"/>
      <c r="F870" s="4"/>
      <c r="G870" s="4"/>
      <c r="H870" s="4"/>
      <c r="I870" s="4"/>
      <c r="J870" s="4"/>
      <c r="K870" s="4"/>
      <c r="L870" s="4"/>
      <c r="M870" s="4"/>
      <c r="N870" s="4"/>
      <c r="O870" s="4"/>
      <c r="P870" s="4"/>
      <c r="Q870" s="4"/>
      <c r="R870" s="4"/>
      <c r="S870" s="4"/>
      <c r="T870" s="4"/>
      <c r="U870" s="4"/>
      <c r="V870" s="4"/>
      <c r="W870" s="4"/>
    </row>
    <row r="871">
      <c r="A871" s="4"/>
      <c r="B871" s="69"/>
      <c r="C871" s="4"/>
      <c r="D871" s="4"/>
      <c r="E871" s="4"/>
      <c r="F871" s="4"/>
      <c r="G871" s="4"/>
      <c r="H871" s="4"/>
      <c r="I871" s="4"/>
      <c r="J871" s="4"/>
      <c r="K871" s="4"/>
      <c r="L871" s="4"/>
      <c r="M871" s="4"/>
      <c r="N871" s="4"/>
      <c r="O871" s="4"/>
      <c r="P871" s="4"/>
      <c r="Q871" s="4"/>
      <c r="R871" s="4"/>
      <c r="S871" s="4"/>
      <c r="T871" s="4"/>
      <c r="U871" s="4"/>
      <c r="V871" s="4"/>
      <c r="W871" s="4"/>
    </row>
    <row r="872">
      <c r="A872" s="4"/>
      <c r="B872" s="69"/>
      <c r="C872" s="4"/>
      <c r="D872" s="4"/>
      <c r="E872" s="4"/>
      <c r="F872" s="4"/>
      <c r="G872" s="4"/>
      <c r="H872" s="4"/>
      <c r="I872" s="4"/>
      <c r="J872" s="4"/>
      <c r="K872" s="4"/>
      <c r="L872" s="4"/>
      <c r="M872" s="4"/>
      <c r="N872" s="4"/>
      <c r="O872" s="4"/>
      <c r="P872" s="4"/>
      <c r="Q872" s="4"/>
      <c r="R872" s="4"/>
      <c r="S872" s="4"/>
      <c r="T872" s="4"/>
      <c r="U872" s="4"/>
      <c r="V872" s="4"/>
      <c r="W872" s="4"/>
    </row>
    <row r="873">
      <c r="A873" s="4"/>
      <c r="B873" s="69"/>
      <c r="C873" s="4"/>
      <c r="D873" s="4"/>
      <c r="E873" s="4"/>
      <c r="F873" s="4"/>
      <c r="G873" s="4"/>
      <c r="H873" s="4"/>
      <c r="I873" s="4"/>
      <c r="J873" s="4"/>
      <c r="K873" s="4"/>
      <c r="L873" s="4"/>
      <c r="M873" s="4"/>
      <c r="N873" s="4"/>
      <c r="O873" s="4"/>
      <c r="P873" s="4"/>
      <c r="Q873" s="4"/>
      <c r="R873" s="4"/>
      <c r="S873" s="4"/>
      <c r="T873" s="4"/>
      <c r="U873" s="4"/>
      <c r="V873" s="4"/>
      <c r="W873" s="4"/>
    </row>
    <row r="874">
      <c r="A874" s="4"/>
      <c r="B874" s="69"/>
      <c r="C874" s="4"/>
      <c r="D874" s="4"/>
      <c r="E874" s="4"/>
      <c r="F874" s="4"/>
      <c r="G874" s="4"/>
      <c r="H874" s="4"/>
      <c r="I874" s="4"/>
      <c r="J874" s="4"/>
      <c r="K874" s="4"/>
      <c r="L874" s="4"/>
      <c r="M874" s="4"/>
      <c r="N874" s="4"/>
      <c r="O874" s="4"/>
      <c r="P874" s="4"/>
      <c r="Q874" s="4"/>
      <c r="R874" s="4"/>
      <c r="S874" s="4"/>
      <c r="T874" s="4"/>
      <c r="U874" s="4"/>
      <c r="V874" s="4"/>
      <c r="W874" s="4"/>
    </row>
    <row r="875">
      <c r="A875" s="4"/>
      <c r="B875" s="69"/>
      <c r="C875" s="4"/>
      <c r="D875" s="4"/>
      <c r="E875" s="4"/>
      <c r="F875" s="4"/>
      <c r="G875" s="4"/>
      <c r="H875" s="4"/>
      <c r="I875" s="4"/>
      <c r="J875" s="4"/>
      <c r="K875" s="4"/>
      <c r="L875" s="4"/>
      <c r="M875" s="4"/>
      <c r="N875" s="4"/>
      <c r="O875" s="4"/>
      <c r="P875" s="4"/>
      <c r="Q875" s="4"/>
      <c r="R875" s="4"/>
      <c r="S875" s="4"/>
      <c r="T875" s="4"/>
      <c r="U875" s="4"/>
      <c r="V875" s="4"/>
      <c r="W875" s="4"/>
    </row>
    <row r="876">
      <c r="A876" s="4"/>
      <c r="B876" s="69"/>
      <c r="C876" s="4"/>
      <c r="D876" s="4"/>
      <c r="E876" s="4"/>
      <c r="F876" s="4"/>
      <c r="G876" s="4"/>
      <c r="H876" s="4"/>
      <c r="I876" s="4"/>
      <c r="J876" s="4"/>
      <c r="K876" s="4"/>
      <c r="L876" s="4"/>
      <c r="M876" s="4"/>
      <c r="N876" s="4"/>
      <c r="O876" s="4"/>
      <c r="P876" s="4"/>
      <c r="Q876" s="4"/>
      <c r="R876" s="4"/>
      <c r="S876" s="4"/>
      <c r="T876" s="4"/>
      <c r="U876" s="4"/>
      <c r="V876" s="4"/>
      <c r="W876" s="4"/>
    </row>
    <row r="877">
      <c r="A877" s="4"/>
      <c r="B877" s="69"/>
      <c r="C877" s="4"/>
      <c r="D877" s="4"/>
      <c r="E877" s="4"/>
      <c r="F877" s="4"/>
      <c r="G877" s="4"/>
      <c r="H877" s="4"/>
      <c r="I877" s="4"/>
      <c r="J877" s="4"/>
      <c r="K877" s="4"/>
      <c r="L877" s="4"/>
      <c r="M877" s="4"/>
      <c r="N877" s="4"/>
      <c r="O877" s="4"/>
      <c r="P877" s="4"/>
      <c r="Q877" s="4"/>
      <c r="R877" s="4"/>
      <c r="S877" s="4"/>
      <c r="T877" s="4"/>
      <c r="U877" s="4"/>
      <c r="V877" s="4"/>
      <c r="W877" s="4"/>
    </row>
    <row r="878">
      <c r="A878" s="4"/>
      <c r="B878" s="69"/>
      <c r="C878" s="4"/>
      <c r="D878" s="4"/>
      <c r="E878" s="4"/>
      <c r="F878" s="4"/>
      <c r="G878" s="4"/>
      <c r="H878" s="4"/>
      <c r="I878" s="4"/>
      <c r="J878" s="4"/>
      <c r="K878" s="4"/>
      <c r="L878" s="4"/>
      <c r="M878" s="4"/>
      <c r="N878" s="4"/>
      <c r="O878" s="4"/>
      <c r="P878" s="4"/>
      <c r="Q878" s="4"/>
      <c r="R878" s="4"/>
      <c r="S878" s="4"/>
      <c r="T878" s="4"/>
      <c r="U878" s="4"/>
      <c r="V878" s="4"/>
      <c r="W878" s="4"/>
    </row>
    <row r="879">
      <c r="A879" s="4"/>
      <c r="B879" s="69"/>
      <c r="C879" s="4"/>
      <c r="D879" s="4"/>
      <c r="E879" s="4"/>
      <c r="F879" s="4"/>
      <c r="G879" s="4"/>
      <c r="H879" s="4"/>
      <c r="I879" s="4"/>
      <c r="J879" s="4"/>
      <c r="K879" s="4"/>
      <c r="L879" s="4"/>
      <c r="M879" s="4"/>
      <c r="N879" s="4"/>
      <c r="O879" s="4"/>
      <c r="P879" s="4"/>
      <c r="Q879" s="4"/>
      <c r="R879" s="4"/>
      <c r="S879" s="4"/>
      <c r="T879" s="4"/>
      <c r="U879" s="4"/>
      <c r="V879" s="4"/>
      <c r="W879" s="4"/>
    </row>
    <row r="880">
      <c r="A880" s="4"/>
      <c r="B880" s="69"/>
      <c r="C880" s="4"/>
      <c r="D880" s="4"/>
      <c r="E880" s="4"/>
      <c r="F880" s="4"/>
      <c r="G880" s="4"/>
      <c r="H880" s="4"/>
      <c r="I880" s="4"/>
      <c r="J880" s="4"/>
      <c r="K880" s="4"/>
      <c r="L880" s="4"/>
      <c r="M880" s="4"/>
      <c r="N880" s="4"/>
      <c r="O880" s="4"/>
      <c r="P880" s="4"/>
      <c r="Q880" s="4"/>
      <c r="R880" s="4"/>
      <c r="S880" s="4"/>
      <c r="T880" s="4"/>
      <c r="U880" s="4"/>
      <c r="V880" s="4"/>
      <c r="W880" s="4"/>
    </row>
    <row r="881">
      <c r="A881" s="4"/>
      <c r="B881" s="69"/>
      <c r="C881" s="4"/>
      <c r="D881" s="4"/>
      <c r="E881" s="4"/>
      <c r="F881" s="4"/>
      <c r="G881" s="4"/>
      <c r="H881" s="4"/>
      <c r="I881" s="4"/>
      <c r="J881" s="4"/>
      <c r="K881" s="4"/>
      <c r="L881" s="4"/>
      <c r="M881" s="4"/>
      <c r="N881" s="4"/>
      <c r="O881" s="4"/>
      <c r="P881" s="4"/>
      <c r="Q881" s="4"/>
      <c r="R881" s="4"/>
      <c r="S881" s="4"/>
      <c r="T881" s="4"/>
      <c r="U881" s="4"/>
      <c r="V881" s="4"/>
      <c r="W881" s="4"/>
    </row>
    <row r="882">
      <c r="A882" s="4"/>
      <c r="B882" s="69"/>
      <c r="C882" s="4"/>
      <c r="D882" s="4"/>
      <c r="E882" s="4"/>
      <c r="F882" s="4"/>
      <c r="G882" s="4"/>
      <c r="H882" s="4"/>
      <c r="I882" s="4"/>
      <c r="J882" s="4"/>
      <c r="K882" s="4"/>
      <c r="L882" s="4"/>
      <c r="M882" s="4"/>
      <c r="N882" s="4"/>
      <c r="O882" s="4"/>
      <c r="P882" s="4"/>
      <c r="Q882" s="4"/>
      <c r="R882" s="4"/>
      <c r="S882" s="4"/>
      <c r="T882" s="4"/>
      <c r="U882" s="4"/>
      <c r="V882" s="4"/>
      <c r="W882" s="4"/>
    </row>
    <row r="883">
      <c r="A883" s="4"/>
      <c r="B883" s="69"/>
      <c r="C883" s="4"/>
      <c r="D883" s="4"/>
      <c r="E883" s="4"/>
      <c r="F883" s="4"/>
      <c r="G883" s="4"/>
      <c r="H883" s="4"/>
      <c r="I883" s="4"/>
      <c r="J883" s="4"/>
      <c r="K883" s="4"/>
      <c r="L883" s="4"/>
      <c r="M883" s="4"/>
      <c r="N883" s="4"/>
      <c r="O883" s="4"/>
      <c r="P883" s="4"/>
      <c r="Q883" s="4"/>
      <c r="R883" s="4"/>
      <c r="S883" s="4"/>
      <c r="T883" s="4"/>
      <c r="U883" s="4"/>
      <c r="V883" s="4"/>
      <c r="W883" s="4"/>
    </row>
    <row r="884">
      <c r="A884" s="4"/>
      <c r="B884" s="69"/>
      <c r="C884" s="4"/>
      <c r="D884" s="4"/>
      <c r="E884" s="4"/>
      <c r="F884" s="4"/>
      <c r="G884" s="4"/>
      <c r="H884" s="4"/>
      <c r="I884" s="4"/>
      <c r="J884" s="4"/>
      <c r="K884" s="4"/>
      <c r="L884" s="4"/>
      <c r="M884" s="4"/>
      <c r="N884" s="4"/>
      <c r="O884" s="4"/>
      <c r="P884" s="4"/>
      <c r="Q884" s="4"/>
      <c r="R884" s="4"/>
      <c r="S884" s="4"/>
      <c r="T884" s="4"/>
      <c r="U884" s="4"/>
      <c r="V884" s="4"/>
      <c r="W884" s="4"/>
    </row>
    <row r="885">
      <c r="A885" s="4"/>
      <c r="B885" s="69"/>
      <c r="C885" s="4"/>
      <c r="D885" s="4"/>
      <c r="E885" s="4"/>
      <c r="F885" s="4"/>
      <c r="G885" s="4"/>
      <c r="H885" s="4"/>
      <c r="I885" s="4"/>
      <c r="J885" s="4"/>
      <c r="K885" s="4"/>
      <c r="L885" s="4"/>
      <c r="M885" s="4"/>
      <c r="N885" s="4"/>
      <c r="O885" s="4"/>
      <c r="P885" s="4"/>
      <c r="Q885" s="4"/>
      <c r="R885" s="4"/>
      <c r="S885" s="4"/>
      <c r="T885" s="4"/>
      <c r="U885" s="4"/>
      <c r="V885" s="4"/>
      <c r="W885" s="4"/>
    </row>
    <row r="886">
      <c r="A886" s="4"/>
      <c r="B886" s="69"/>
      <c r="C886" s="4"/>
      <c r="D886" s="4"/>
      <c r="E886" s="4"/>
      <c r="F886" s="4"/>
      <c r="G886" s="4"/>
      <c r="H886" s="4"/>
      <c r="I886" s="4"/>
      <c r="J886" s="4"/>
      <c r="K886" s="4"/>
      <c r="L886" s="4"/>
      <c r="M886" s="4"/>
      <c r="N886" s="4"/>
      <c r="O886" s="4"/>
      <c r="P886" s="4"/>
      <c r="Q886" s="4"/>
      <c r="R886" s="4"/>
      <c r="S886" s="4"/>
      <c r="T886" s="4"/>
      <c r="U886" s="4"/>
      <c r="V886" s="4"/>
      <c r="W886" s="4"/>
    </row>
    <row r="887">
      <c r="A887" s="4"/>
      <c r="B887" s="69"/>
      <c r="C887" s="4"/>
      <c r="D887" s="4"/>
      <c r="E887" s="4"/>
      <c r="F887" s="4"/>
      <c r="G887" s="4"/>
      <c r="H887" s="4"/>
      <c r="I887" s="4"/>
      <c r="J887" s="4"/>
      <c r="K887" s="4"/>
      <c r="L887" s="4"/>
      <c r="M887" s="4"/>
      <c r="N887" s="4"/>
      <c r="O887" s="4"/>
      <c r="P887" s="4"/>
      <c r="Q887" s="4"/>
      <c r="R887" s="4"/>
      <c r="S887" s="4"/>
      <c r="T887" s="4"/>
      <c r="U887" s="4"/>
      <c r="V887" s="4"/>
      <c r="W887" s="4"/>
    </row>
    <row r="888">
      <c r="A888" s="4"/>
      <c r="B888" s="69"/>
      <c r="C888" s="4"/>
      <c r="D888" s="4"/>
      <c r="E888" s="4"/>
      <c r="F888" s="4"/>
      <c r="G888" s="4"/>
      <c r="H888" s="4"/>
      <c r="I888" s="4"/>
      <c r="J888" s="4"/>
      <c r="K888" s="4"/>
      <c r="L888" s="4"/>
      <c r="M888" s="4"/>
      <c r="N888" s="4"/>
      <c r="O888" s="4"/>
      <c r="P888" s="4"/>
      <c r="Q888" s="4"/>
      <c r="R888" s="4"/>
      <c r="S888" s="4"/>
      <c r="T888" s="4"/>
      <c r="U888" s="4"/>
      <c r="V888" s="4"/>
      <c r="W888" s="4"/>
    </row>
    <row r="889">
      <c r="A889" s="4"/>
      <c r="B889" s="69"/>
      <c r="C889" s="4"/>
      <c r="D889" s="4"/>
      <c r="E889" s="4"/>
      <c r="F889" s="4"/>
      <c r="G889" s="4"/>
      <c r="H889" s="4"/>
      <c r="I889" s="4"/>
      <c r="J889" s="4"/>
      <c r="K889" s="4"/>
      <c r="L889" s="4"/>
      <c r="M889" s="4"/>
      <c r="N889" s="4"/>
      <c r="O889" s="4"/>
      <c r="P889" s="4"/>
      <c r="Q889" s="4"/>
      <c r="R889" s="4"/>
      <c r="S889" s="4"/>
      <c r="T889" s="4"/>
      <c r="U889" s="4"/>
      <c r="V889" s="4"/>
      <c r="W889" s="4"/>
    </row>
    <row r="890">
      <c r="A890" s="4"/>
      <c r="B890" s="69"/>
      <c r="C890" s="4"/>
      <c r="D890" s="4"/>
      <c r="E890" s="4"/>
      <c r="F890" s="4"/>
      <c r="G890" s="4"/>
      <c r="H890" s="4"/>
      <c r="I890" s="4"/>
      <c r="J890" s="4"/>
      <c r="K890" s="4"/>
      <c r="L890" s="4"/>
      <c r="M890" s="4"/>
      <c r="N890" s="4"/>
      <c r="O890" s="4"/>
      <c r="P890" s="4"/>
      <c r="Q890" s="4"/>
      <c r="R890" s="4"/>
      <c r="S890" s="4"/>
      <c r="T890" s="4"/>
      <c r="U890" s="4"/>
      <c r="V890" s="4"/>
      <c r="W890" s="4"/>
    </row>
    <row r="891">
      <c r="A891" s="4"/>
      <c r="B891" s="69"/>
      <c r="C891" s="4"/>
      <c r="D891" s="4"/>
      <c r="E891" s="4"/>
      <c r="F891" s="4"/>
      <c r="G891" s="4"/>
      <c r="H891" s="4"/>
      <c r="I891" s="4"/>
      <c r="J891" s="4"/>
      <c r="K891" s="4"/>
      <c r="L891" s="4"/>
      <c r="M891" s="4"/>
      <c r="N891" s="4"/>
      <c r="O891" s="4"/>
      <c r="P891" s="4"/>
      <c r="Q891" s="4"/>
      <c r="R891" s="4"/>
      <c r="S891" s="4"/>
      <c r="T891" s="4"/>
      <c r="U891" s="4"/>
      <c r="V891" s="4"/>
      <c r="W891" s="4"/>
    </row>
    <row r="892">
      <c r="A892" s="4"/>
      <c r="B892" s="69"/>
      <c r="C892" s="4"/>
      <c r="D892" s="4"/>
      <c r="E892" s="4"/>
      <c r="F892" s="4"/>
      <c r="G892" s="4"/>
      <c r="H892" s="4"/>
      <c r="I892" s="4"/>
      <c r="J892" s="4"/>
      <c r="K892" s="4"/>
      <c r="L892" s="4"/>
      <c r="M892" s="4"/>
      <c r="N892" s="4"/>
      <c r="O892" s="4"/>
      <c r="P892" s="4"/>
      <c r="Q892" s="4"/>
      <c r="R892" s="4"/>
      <c r="S892" s="4"/>
      <c r="T892" s="4"/>
      <c r="U892" s="4"/>
      <c r="V892" s="4"/>
      <c r="W892" s="4"/>
    </row>
    <row r="893">
      <c r="A893" s="4"/>
      <c r="B893" s="69"/>
      <c r="C893" s="4"/>
      <c r="D893" s="4"/>
      <c r="E893" s="4"/>
      <c r="F893" s="4"/>
      <c r="G893" s="4"/>
      <c r="H893" s="4"/>
      <c r="I893" s="4"/>
      <c r="J893" s="4"/>
      <c r="K893" s="4"/>
      <c r="L893" s="4"/>
      <c r="M893" s="4"/>
      <c r="N893" s="4"/>
      <c r="O893" s="4"/>
      <c r="P893" s="4"/>
      <c r="Q893" s="4"/>
      <c r="R893" s="4"/>
      <c r="S893" s="4"/>
      <c r="T893" s="4"/>
      <c r="U893" s="4"/>
      <c r="V893" s="4"/>
      <c r="W893" s="4"/>
    </row>
    <row r="894">
      <c r="A894" s="4"/>
      <c r="B894" s="69"/>
      <c r="C894" s="4"/>
      <c r="D894" s="4"/>
      <c r="E894" s="4"/>
      <c r="F894" s="4"/>
      <c r="G894" s="4"/>
      <c r="H894" s="4"/>
      <c r="I894" s="4"/>
      <c r="J894" s="4"/>
      <c r="K894" s="4"/>
      <c r="L894" s="4"/>
      <c r="M894" s="4"/>
      <c r="N894" s="4"/>
      <c r="O894" s="4"/>
      <c r="P894" s="4"/>
      <c r="Q894" s="4"/>
      <c r="R894" s="4"/>
      <c r="S894" s="4"/>
      <c r="T894" s="4"/>
      <c r="U894" s="4"/>
      <c r="V894" s="4"/>
      <c r="W894" s="4"/>
    </row>
    <row r="895">
      <c r="A895" s="4"/>
      <c r="B895" s="69"/>
      <c r="C895" s="4"/>
      <c r="D895" s="4"/>
      <c r="E895" s="4"/>
      <c r="F895" s="4"/>
      <c r="G895" s="4"/>
      <c r="H895" s="4"/>
      <c r="I895" s="4"/>
      <c r="J895" s="4"/>
      <c r="K895" s="4"/>
      <c r="L895" s="4"/>
      <c r="M895" s="4"/>
      <c r="N895" s="4"/>
      <c r="O895" s="4"/>
      <c r="P895" s="4"/>
      <c r="Q895" s="4"/>
      <c r="R895" s="4"/>
      <c r="S895" s="4"/>
      <c r="T895" s="4"/>
      <c r="U895" s="4"/>
      <c r="V895" s="4"/>
      <c r="W895" s="4"/>
    </row>
    <row r="896">
      <c r="A896" s="4"/>
      <c r="B896" s="69"/>
      <c r="C896" s="4"/>
      <c r="D896" s="4"/>
      <c r="E896" s="4"/>
      <c r="F896" s="4"/>
      <c r="G896" s="4"/>
      <c r="H896" s="4"/>
      <c r="I896" s="4"/>
      <c r="J896" s="4"/>
      <c r="K896" s="4"/>
      <c r="L896" s="4"/>
      <c r="M896" s="4"/>
      <c r="N896" s="4"/>
      <c r="O896" s="4"/>
      <c r="P896" s="4"/>
      <c r="Q896" s="4"/>
      <c r="R896" s="4"/>
      <c r="S896" s="4"/>
      <c r="T896" s="4"/>
      <c r="U896" s="4"/>
      <c r="V896" s="4"/>
      <c r="W896" s="4"/>
    </row>
    <row r="897">
      <c r="A897" s="4"/>
      <c r="B897" s="69"/>
      <c r="C897" s="4"/>
      <c r="D897" s="4"/>
      <c r="E897" s="4"/>
      <c r="F897" s="4"/>
      <c r="G897" s="4"/>
      <c r="H897" s="4"/>
      <c r="I897" s="4"/>
      <c r="J897" s="4"/>
      <c r="K897" s="4"/>
      <c r="L897" s="4"/>
      <c r="M897" s="4"/>
      <c r="N897" s="4"/>
      <c r="O897" s="4"/>
      <c r="P897" s="4"/>
      <c r="Q897" s="4"/>
      <c r="R897" s="4"/>
      <c r="S897" s="4"/>
      <c r="T897" s="4"/>
      <c r="U897" s="4"/>
      <c r="V897" s="4"/>
      <c r="W897" s="4"/>
    </row>
    <row r="898">
      <c r="A898" s="4"/>
      <c r="B898" s="69"/>
      <c r="C898" s="4"/>
      <c r="D898" s="4"/>
      <c r="E898" s="4"/>
      <c r="F898" s="4"/>
      <c r="G898" s="4"/>
      <c r="H898" s="4"/>
      <c r="I898" s="4"/>
      <c r="J898" s="4"/>
      <c r="K898" s="4"/>
      <c r="L898" s="4"/>
      <c r="M898" s="4"/>
      <c r="N898" s="4"/>
      <c r="O898" s="4"/>
      <c r="P898" s="4"/>
      <c r="Q898" s="4"/>
      <c r="R898" s="4"/>
      <c r="S898" s="4"/>
      <c r="T898" s="4"/>
      <c r="U898" s="4"/>
      <c r="V898" s="4"/>
      <c r="W898" s="4"/>
    </row>
    <row r="899">
      <c r="A899" s="4"/>
      <c r="B899" s="69"/>
      <c r="C899" s="4"/>
      <c r="D899" s="4"/>
      <c r="E899" s="4"/>
      <c r="F899" s="4"/>
      <c r="G899" s="4"/>
      <c r="H899" s="4"/>
      <c r="I899" s="4"/>
      <c r="J899" s="4"/>
      <c r="K899" s="4"/>
      <c r="L899" s="4"/>
      <c r="M899" s="4"/>
      <c r="N899" s="4"/>
      <c r="O899" s="4"/>
      <c r="P899" s="4"/>
      <c r="Q899" s="4"/>
      <c r="R899" s="4"/>
      <c r="S899" s="4"/>
      <c r="T899" s="4"/>
      <c r="U899" s="4"/>
      <c r="V899" s="4"/>
      <c r="W899" s="4"/>
    </row>
    <row r="900">
      <c r="A900" s="4"/>
      <c r="B900" s="69"/>
      <c r="C900" s="4"/>
      <c r="D900" s="4"/>
      <c r="E900" s="4"/>
      <c r="F900" s="4"/>
      <c r="G900" s="4"/>
      <c r="H900" s="4"/>
      <c r="I900" s="4"/>
      <c r="J900" s="4"/>
      <c r="K900" s="4"/>
      <c r="L900" s="4"/>
      <c r="M900" s="4"/>
      <c r="N900" s="4"/>
      <c r="O900" s="4"/>
      <c r="P900" s="4"/>
      <c r="Q900" s="4"/>
      <c r="R900" s="4"/>
      <c r="S900" s="4"/>
      <c r="T900" s="4"/>
      <c r="U900" s="4"/>
      <c r="V900" s="4"/>
      <c r="W900" s="4"/>
    </row>
    <row r="901">
      <c r="A901" s="4"/>
      <c r="B901" s="69"/>
      <c r="C901" s="4"/>
      <c r="D901" s="4"/>
      <c r="E901" s="4"/>
      <c r="F901" s="4"/>
      <c r="G901" s="4"/>
      <c r="H901" s="4"/>
      <c r="I901" s="4"/>
      <c r="J901" s="4"/>
      <c r="K901" s="4"/>
      <c r="L901" s="4"/>
      <c r="M901" s="4"/>
      <c r="N901" s="4"/>
      <c r="O901" s="4"/>
      <c r="P901" s="4"/>
      <c r="Q901" s="4"/>
      <c r="R901" s="4"/>
      <c r="S901" s="4"/>
      <c r="T901" s="4"/>
      <c r="U901" s="4"/>
      <c r="V901" s="4"/>
      <c r="W901" s="4"/>
    </row>
    <row r="902">
      <c r="A902" s="4"/>
      <c r="B902" s="69"/>
      <c r="C902" s="4"/>
      <c r="D902" s="4"/>
      <c r="E902" s="4"/>
      <c r="F902" s="4"/>
      <c r="G902" s="4"/>
      <c r="H902" s="4"/>
      <c r="I902" s="4"/>
      <c r="J902" s="4"/>
      <c r="K902" s="4"/>
      <c r="L902" s="4"/>
      <c r="M902" s="4"/>
      <c r="N902" s="4"/>
      <c r="O902" s="4"/>
      <c r="P902" s="4"/>
      <c r="Q902" s="4"/>
      <c r="R902" s="4"/>
      <c r="S902" s="4"/>
      <c r="T902" s="4"/>
      <c r="U902" s="4"/>
      <c r="V902" s="4"/>
      <c r="W902" s="4"/>
    </row>
    <row r="903">
      <c r="A903" s="4"/>
      <c r="B903" s="69"/>
      <c r="C903" s="4"/>
      <c r="D903" s="4"/>
      <c r="E903" s="4"/>
      <c r="F903" s="4"/>
      <c r="G903" s="4"/>
      <c r="H903" s="4"/>
      <c r="I903" s="4"/>
      <c r="J903" s="4"/>
      <c r="K903" s="4"/>
      <c r="L903" s="4"/>
      <c r="M903" s="4"/>
      <c r="N903" s="4"/>
      <c r="O903" s="4"/>
      <c r="P903" s="4"/>
      <c r="Q903" s="4"/>
      <c r="R903" s="4"/>
      <c r="S903" s="4"/>
      <c r="T903" s="4"/>
      <c r="U903" s="4"/>
      <c r="V903" s="4"/>
      <c r="W903" s="4"/>
    </row>
    <row r="904">
      <c r="A904" s="4"/>
      <c r="B904" s="69"/>
      <c r="C904" s="4"/>
      <c r="D904" s="4"/>
      <c r="E904" s="4"/>
      <c r="F904" s="4"/>
      <c r="G904" s="4"/>
      <c r="H904" s="4"/>
      <c r="I904" s="4"/>
      <c r="J904" s="4"/>
      <c r="K904" s="4"/>
      <c r="L904" s="4"/>
      <c r="M904" s="4"/>
      <c r="N904" s="4"/>
      <c r="O904" s="4"/>
      <c r="P904" s="4"/>
      <c r="Q904" s="4"/>
      <c r="R904" s="4"/>
      <c r="S904" s="4"/>
      <c r="T904" s="4"/>
      <c r="U904" s="4"/>
      <c r="V904" s="4"/>
      <c r="W904" s="4"/>
    </row>
    <row r="905">
      <c r="A905" s="4"/>
      <c r="B905" s="69"/>
      <c r="C905" s="4"/>
      <c r="D905" s="4"/>
      <c r="E905" s="4"/>
      <c r="F905" s="4"/>
      <c r="G905" s="4"/>
      <c r="H905" s="4"/>
      <c r="I905" s="4"/>
      <c r="J905" s="4"/>
      <c r="K905" s="4"/>
      <c r="L905" s="4"/>
      <c r="M905" s="4"/>
      <c r="N905" s="4"/>
      <c r="O905" s="4"/>
      <c r="P905" s="4"/>
      <c r="Q905" s="4"/>
      <c r="R905" s="4"/>
      <c r="S905" s="4"/>
      <c r="T905" s="4"/>
      <c r="U905" s="4"/>
      <c r="V905" s="4"/>
      <c r="W905" s="4"/>
    </row>
    <row r="906">
      <c r="A906" s="4"/>
      <c r="B906" s="69"/>
      <c r="C906" s="4"/>
      <c r="D906" s="4"/>
      <c r="E906" s="4"/>
      <c r="F906" s="4"/>
      <c r="G906" s="4"/>
      <c r="H906" s="4"/>
      <c r="I906" s="4"/>
      <c r="J906" s="4"/>
      <c r="K906" s="4"/>
      <c r="L906" s="4"/>
      <c r="M906" s="4"/>
      <c r="N906" s="4"/>
      <c r="O906" s="4"/>
      <c r="P906" s="4"/>
      <c r="Q906" s="4"/>
      <c r="R906" s="4"/>
      <c r="S906" s="4"/>
      <c r="T906" s="4"/>
      <c r="U906" s="4"/>
      <c r="V906" s="4"/>
      <c r="W906" s="4"/>
    </row>
    <row r="907">
      <c r="A907" s="4"/>
      <c r="B907" s="69"/>
      <c r="C907" s="4"/>
      <c r="D907" s="4"/>
      <c r="E907" s="4"/>
      <c r="F907" s="4"/>
      <c r="G907" s="4"/>
      <c r="H907" s="4"/>
      <c r="I907" s="4"/>
      <c r="J907" s="4"/>
      <c r="K907" s="4"/>
      <c r="L907" s="4"/>
      <c r="M907" s="4"/>
      <c r="N907" s="4"/>
      <c r="O907" s="4"/>
      <c r="P907" s="4"/>
      <c r="Q907" s="4"/>
      <c r="R907" s="4"/>
      <c r="S907" s="4"/>
      <c r="T907" s="4"/>
      <c r="U907" s="4"/>
      <c r="V907" s="4"/>
      <c r="W907" s="4"/>
    </row>
    <row r="908">
      <c r="A908" s="4"/>
      <c r="B908" s="69"/>
      <c r="C908" s="4"/>
      <c r="D908" s="4"/>
      <c r="E908" s="4"/>
      <c r="F908" s="4"/>
      <c r="G908" s="4"/>
      <c r="H908" s="4"/>
      <c r="I908" s="4"/>
      <c r="J908" s="4"/>
      <c r="K908" s="4"/>
      <c r="L908" s="4"/>
      <c r="M908" s="4"/>
      <c r="N908" s="4"/>
      <c r="O908" s="4"/>
      <c r="P908" s="4"/>
      <c r="Q908" s="4"/>
      <c r="R908" s="4"/>
      <c r="S908" s="4"/>
      <c r="T908" s="4"/>
      <c r="U908" s="4"/>
      <c r="V908" s="4"/>
      <c r="W908" s="4"/>
    </row>
    <row r="909">
      <c r="A909" s="4"/>
      <c r="B909" s="69"/>
      <c r="C909" s="4"/>
      <c r="D909" s="4"/>
      <c r="E909" s="4"/>
      <c r="F909" s="4"/>
      <c r="G909" s="4"/>
      <c r="H909" s="4"/>
      <c r="I909" s="4"/>
      <c r="J909" s="4"/>
      <c r="K909" s="4"/>
      <c r="L909" s="4"/>
      <c r="M909" s="4"/>
      <c r="N909" s="4"/>
      <c r="O909" s="4"/>
      <c r="P909" s="4"/>
      <c r="Q909" s="4"/>
      <c r="R909" s="4"/>
      <c r="S909" s="4"/>
      <c r="T909" s="4"/>
      <c r="U909" s="4"/>
      <c r="V909" s="4"/>
      <c r="W909" s="4"/>
    </row>
    <row r="910">
      <c r="A910" s="4"/>
      <c r="B910" s="69"/>
      <c r="C910" s="4"/>
      <c r="D910" s="4"/>
      <c r="E910" s="4"/>
      <c r="F910" s="4"/>
      <c r="G910" s="4"/>
      <c r="H910" s="4"/>
      <c r="I910" s="4"/>
      <c r="J910" s="4"/>
      <c r="K910" s="4"/>
      <c r="L910" s="4"/>
      <c r="M910" s="4"/>
      <c r="N910" s="4"/>
      <c r="O910" s="4"/>
      <c r="P910" s="4"/>
      <c r="Q910" s="4"/>
      <c r="R910" s="4"/>
      <c r="S910" s="4"/>
      <c r="T910" s="4"/>
      <c r="U910" s="4"/>
      <c r="V910" s="4"/>
      <c r="W910" s="4"/>
    </row>
    <row r="911">
      <c r="A911" s="4"/>
      <c r="B911" s="69"/>
      <c r="C911" s="4"/>
      <c r="D911" s="4"/>
      <c r="E911" s="4"/>
      <c r="F911" s="4"/>
      <c r="G911" s="4"/>
      <c r="H911" s="4"/>
      <c r="I911" s="4"/>
      <c r="J911" s="4"/>
      <c r="K911" s="4"/>
      <c r="L911" s="4"/>
      <c r="M911" s="4"/>
      <c r="N911" s="4"/>
      <c r="O911" s="4"/>
      <c r="P911" s="4"/>
      <c r="Q911" s="4"/>
      <c r="R911" s="4"/>
      <c r="S911" s="4"/>
      <c r="T911" s="4"/>
      <c r="U911" s="4"/>
      <c r="V911" s="4"/>
      <c r="W911" s="4"/>
    </row>
    <row r="912">
      <c r="A912" s="4"/>
      <c r="B912" s="69"/>
      <c r="C912" s="4"/>
      <c r="D912" s="4"/>
      <c r="E912" s="4"/>
      <c r="F912" s="4"/>
      <c r="G912" s="4"/>
      <c r="H912" s="4"/>
      <c r="I912" s="4"/>
      <c r="J912" s="4"/>
      <c r="K912" s="4"/>
      <c r="L912" s="4"/>
      <c r="M912" s="4"/>
      <c r="N912" s="4"/>
      <c r="O912" s="4"/>
      <c r="P912" s="4"/>
      <c r="Q912" s="4"/>
      <c r="R912" s="4"/>
      <c r="S912" s="4"/>
      <c r="T912" s="4"/>
      <c r="U912" s="4"/>
      <c r="V912" s="4"/>
      <c r="W912" s="4"/>
    </row>
    <row r="913">
      <c r="A913" s="4"/>
      <c r="B913" s="69"/>
      <c r="C913" s="4"/>
      <c r="D913" s="4"/>
      <c r="E913" s="4"/>
      <c r="F913" s="4"/>
      <c r="G913" s="4"/>
      <c r="H913" s="4"/>
      <c r="I913" s="4"/>
      <c r="J913" s="4"/>
      <c r="K913" s="4"/>
      <c r="L913" s="4"/>
      <c r="M913" s="4"/>
      <c r="N913" s="4"/>
      <c r="O913" s="4"/>
      <c r="P913" s="4"/>
      <c r="Q913" s="4"/>
      <c r="R913" s="4"/>
      <c r="S913" s="4"/>
      <c r="T913" s="4"/>
      <c r="U913" s="4"/>
      <c r="V913" s="4"/>
      <c r="W913" s="4"/>
    </row>
    <row r="914">
      <c r="A914" s="4"/>
      <c r="B914" s="69"/>
      <c r="C914" s="4"/>
      <c r="D914" s="4"/>
      <c r="E914" s="4"/>
      <c r="F914" s="4"/>
      <c r="G914" s="4"/>
      <c r="H914" s="4"/>
      <c r="I914" s="4"/>
      <c r="J914" s="4"/>
      <c r="K914" s="4"/>
      <c r="L914" s="4"/>
      <c r="M914" s="4"/>
      <c r="N914" s="4"/>
      <c r="O914" s="4"/>
      <c r="P914" s="4"/>
      <c r="Q914" s="4"/>
      <c r="R914" s="4"/>
      <c r="S914" s="4"/>
      <c r="T914" s="4"/>
      <c r="U914" s="4"/>
      <c r="V914" s="4"/>
      <c r="W914" s="4"/>
    </row>
    <row r="915">
      <c r="A915" s="4"/>
      <c r="B915" s="69"/>
      <c r="C915" s="4"/>
      <c r="D915" s="4"/>
      <c r="E915" s="4"/>
      <c r="F915" s="4"/>
      <c r="G915" s="4"/>
      <c r="H915" s="4"/>
      <c r="I915" s="4"/>
      <c r="J915" s="4"/>
      <c r="K915" s="4"/>
      <c r="L915" s="4"/>
      <c r="M915" s="4"/>
      <c r="N915" s="4"/>
      <c r="O915" s="4"/>
      <c r="P915" s="4"/>
      <c r="Q915" s="4"/>
      <c r="R915" s="4"/>
      <c r="S915" s="4"/>
      <c r="T915" s="4"/>
      <c r="U915" s="4"/>
      <c r="V915" s="4"/>
      <c r="W915" s="4"/>
    </row>
    <row r="916">
      <c r="A916" s="4"/>
      <c r="B916" s="69"/>
      <c r="C916" s="4"/>
      <c r="D916" s="4"/>
      <c r="E916" s="4"/>
      <c r="F916" s="4"/>
      <c r="G916" s="4"/>
      <c r="H916" s="4"/>
      <c r="I916" s="4"/>
      <c r="J916" s="4"/>
      <c r="K916" s="4"/>
      <c r="L916" s="4"/>
      <c r="M916" s="4"/>
      <c r="N916" s="4"/>
      <c r="O916" s="4"/>
      <c r="P916" s="4"/>
      <c r="Q916" s="4"/>
      <c r="R916" s="4"/>
      <c r="S916" s="4"/>
      <c r="T916" s="4"/>
      <c r="U916" s="4"/>
      <c r="V916" s="4"/>
      <c r="W916" s="4"/>
    </row>
    <row r="917">
      <c r="A917" s="4"/>
      <c r="B917" s="69"/>
      <c r="C917" s="4"/>
      <c r="D917" s="4"/>
      <c r="E917" s="4"/>
      <c r="F917" s="4"/>
      <c r="G917" s="4"/>
      <c r="H917" s="4"/>
      <c r="I917" s="4"/>
      <c r="J917" s="4"/>
      <c r="K917" s="4"/>
      <c r="L917" s="4"/>
      <c r="M917" s="4"/>
      <c r="N917" s="4"/>
      <c r="O917" s="4"/>
      <c r="P917" s="4"/>
      <c r="Q917" s="4"/>
      <c r="R917" s="4"/>
      <c r="S917" s="4"/>
      <c r="T917" s="4"/>
      <c r="U917" s="4"/>
      <c r="V917" s="4"/>
      <c r="W917" s="4"/>
    </row>
    <row r="918">
      <c r="A918" s="4"/>
      <c r="B918" s="69"/>
      <c r="C918" s="4"/>
      <c r="D918" s="4"/>
      <c r="E918" s="4"/>
      <c r="F918" s="4"/>
      <c r="G918" s="4"/>
      <c r="H918" s="4"/>
      <c r="I918" s="4"/>
      <c r="J918" s="4"/>
      <c r="K918" s="4"/>
      <c r="L918" s="4"/>
      <c r="M918" s="4"/>
      <c r="N918" s="4"/>
      <c r="O918" s="4"/>
      <c r="P918" s="4"/>
      <c r="Q918" s="4"/>
      <c r="R918" s="4"/>
      <c r="S918" s="4"/>
      <c r="T918" s="4"/>
      <c r="U918" s="4"/>
      <c r="V918" s="4"/>
      <c r="W918" s="4"/>
    </row>
    <row r="919">
      <c r="A919" s="4"/>
      <c r="B919" s="69"/>
      <c r="C919" s="4"/>
      <c r="D919" s="4"/>
      <c r="E919" s="4"/>
      <c r="F919" s="4"/>
      <c r="G919" s="4"/>
      <c r="H919" s="4"/>
      <c r="I919" s="4"/>
      <c r="J919" s="4"/>
      <c r="K919" s="4"/>
      <c r="L919" s="4"/>
      <c r="M919" s="4"/>
      <c r="N919" s="4"/>
      <c r="O919" s="4"/>
      <c r="P919" s="4"/>
      <c r="Q919" s="4"/>
      <c r="R919" s="4"/>
      <c r="S919" s="4"/>
      <c r="T919" s="4"/>
      <c r="U919" s="4"/>
      <c r="V919" s="4"/>
      <c r="W919" s="4"/>
    </row>
    <row r="920">
      <c r="A920" s="4"/>
      <c r="B920" s="69"/>
      <c r="C920" s="4"/>
      <c r="D920" s="4"/>
      <c r="E920" s="4"/>
      <c r="F920" s="4"/>
      <c r="G920" s="4"/>
      <c r="H920" s="4"/>
      <c r="I920" s="4"/>
      <c r="J920" s="4"/>
      <c r="K920" s="4"/>
      <c r="L920" s="4"/>
      <c r="M920" s="4"/>
      <c r="N920" s="4"/>
      <c r="O920" s="4"/>
      <c r="P920" s="4"/>
      <c r="Q920" s="4"/>
      <c r="R920" s="4"/>
      <c r="S920" s="4"/>
      <c r="T920" s="4"/>
      <c r="U920" s="4"/>
      <c r="V920" s="4"/>
      <c r="W920" s="4"/>
    </row>
    <row r="921">
      <c r="A921" s="4"/>
      <c r="B921" s="69"/>
      <c r="C921" s="4"/>
      <c r="D921" s="4"/>
      <c r="E921" s="4"/>
      <c r="F921" s="4"/>
      <c r="G921" s="4"/>
      <c r="H921" s="4"/>
      <c r="I921" s="4"/>
      <c r="J921" s="4"/>
      <c r="K921" s="4"/>
      <c r="L921" s="4"/>
      <c r="M921" s="4"/>
      <c r="N921" s="4"/>
      <c r="O921" s="4"/>
      <c r="P921" s="4"/>
      <c r="Q921" s="4"/>
      <c r="R921" s="4"/>
      <c r="S921" s="4"/>
      <c r="T921" s="4"/>
      <c r="U921" s="4"/>
      <c r="V921" s="4"/>
      <c r="W921" s="4"/>
    </row>
    <row r="922">
      <c r="A922" s="4"/>
      <c r="B922" s="69"/>
      <c r="C922" s="4"/>
      <c r="D922" s="4"/>
      <c r="E922" s="4"/>
      <c r="F922" s="4"/>
      <c r="G922" s="4"/>
      <c r="H922" s="4"/>
      <c r="I922" s="4"/>
      <c r="J922" s="4"/>
      <c r="K922" s="4"/>
      <c r="L922" s="4"/>
      <c r="M922" s="4"/>
      <c r="N922" s="4"/>
      <c r="O922" s="4"/>
      <c r="P922" s="4"/>
      <c r="Q922" s="4"/>
      <c r="R922" s="4"/>
      <c r="S922" s="4"/>
      <c r="T922" s="4"/>
      <c r="U922" s="4"/>
      <c r="V922" s="4"/>
      <c r="W922" s="4"/>
    </row>
    <row r="923">
      <c r="A923" s="4"/>
      <c r="B923" s="69"/>
      <c r="C923" s="4"/>
      <c r="D923" s="4"/>
      <c r="E923" s="4"/>
      <c r="F923" s="4"/>
      <c r="G923" s="4"/>
      <c r="H923" s="4"/>
      <c r="I923" s="4"/>
      <c r="J923" s="4"/>
      <c r="K923" s="4"/>
      <c r="L923" s="4"/>
      <c r="M923" s="4"/>
      <c r="N923" s="4"/>
      <c r="O923" s="4"/>
      <c r="P923" s="4"/>
      <c r="Q923" s="4"/>
      <c r="R923" s="4"/>
      <c r="S923" s="4"/>
      <c r="T923" s="4"/>
      <c r="U923" s="4"/>
      <c r="V923" s="4"/>
      <c r="W923" s="4"/>
    </row>
    <row r="924">
      <c r="A924" s="4"/>
      <c r="B924" s="69"/>
      <c r="C924" s="4"/>
      <c r="D924" s="4"/>
      <c r="E924" s="4"/>
      <c r="F924" s="4"/>
      <c r="G924" s="4"/>
      <c r="H924" s="4"/>
      <c r="I924" s="4"/>
      <c r="J924" s="4"/>
      <c r="K924" s="4"/>
      <c r="L924" s="4"/>
      <c r="M924" s="4"/>
      <c r="N924" s="4"/>
      <c r="O924" s="4"/>
      <c r="P924" s="4"/>
      <c r="Q924" s="4"/>
      <c r="R924" s="4"/>
      <c r="S924" s="4"/>
      <c r="T924" s="4"/>
      <c r="U924" s="4"/>
      <c r="V924" s="4"/>
      <c r="W924" s="4"/>
    </row>
    <row r="925">
      <c r="A925" s="4"/>
      <c r="B925" s="69"/>
      <c r="C925" s="4"/>
      <c r="D925" s="4"/>
      <c r="E925" s="4"/>
      <c r="F925" s="4"/>
      <c r="G925" s="4"/>
      <c r="H925" s="4"/>
      <c r="I925" s="4"/>
      <c r="J925" s="4"/>
      <c r="K925" s="4"/>
      <c r="L925" s="4"/>
      <c r="M925" s="4"/>
      <c r="N925" s="4"/>
      <c r="O925" s="4"/>
      <c r="P925" s="4"/>
      <c r="Q925" s="4"/>
      <c r="R925" s="4"/>
      <c r="S925" s="4"/>
      <c r="T925" s="4"/>
      <c r="U925" s="4"/>
      <c r="V925" s="4"/>
      <c r="W925" s="4"/>
    </row>
    <row r="926">
      <c r="A926" s="4"/>
      <c r="B926" s="69"/>
      <c r="C926" s="4"/>
      <c r="D926" s="4"/>
      <c r="E926" s="4"/>
      <c r="F926" s="4"/>
      <c r="G926" s="4"/>
      <c r="H926" s="4"/>
      <c r="I926" s="4"/>
      <c r="J926" s="4"/>
      <c r="K926" s="4"/>
      <c r="L926" s="4"/>
      <c r="M926" s="4"/>
      <c r="N926" s="4"/>
      <c r="O926" s="4"/>
      <c r="P926" s="4"/>
      <c r="Q926" s="4"/>
      <c r="R926" s="4"/>
      <c r="S926" s="4"/>
      <c r="T926" s="4"/>
      <c r="U926" s="4"/>
      <c r="V926" s="4"/>
      <c r="W926" s="4"/>
    </row>
    <row r="927">
      <c r="A927" s="4"/>
      <c r="B927" s="69"/>
      <c r="C927" s="4"/>
      <c r="D927" s="4"/>
      <c r="E927" s="4"/>
      <c r="F927" s="4"/>
      <c r="G927" s="4"/>
      <c r="H927" s="4"/>
      <c r="I927" s="4"/>
      <c r="J927" s="4"/>
      <c r="K927" s="4"/>
      <c r="L927" s="4"/>
      <c r="M927" s="4"/>
      <c r="N927" s="4"/>
      <c r="O927" s="4"/>
      <c r="P927" s="4"/>
      <c r="Q927" s="4"/>
      <c r="R927" s="4"/>
      <c r="S927" s="4"/>
      <c r="T927" s="4"/>
      <c r="U927" s="4"/>
      <c r="V927" s="4"/>
      <c r="W927" s="4"/>
    </row>
    <row r="928">
      <c r="A928" s="4"/>
      <c r="B928" s="69"/>
      <c r="C928" s="4"/>
      <c r="D928" s="4"/>
      <c r="E928" s="4"/>
      <c r="F928" s="4"/>
      <c r="G928" s="4"/>
      <c r="H928" s="4"/>
      <c r="I928" s="4"/>
      <c r="J928" s="4"/>
      <c r="K928" s="4"/>
      <c r="L928" s="4"/>
      <c r="M928" s="4"/>
      <c r="N928" s="4"/>
      <c r="O928" s="4"/>
      <c r="P928" s="4"/>
      <c r="Q928" s="4"/>
      <c r="R928" s="4"/>
      <c r="S928" s="4"/>
      <c r="T928" s="4"/>
      <c r="U928" s="4"/>
      <c r="V928" s="4"/>
      <c r="W928" s="4"/>
    </row>
    <row r="929">
      <c r="A929" s="4"/>
      <c r="B929" s="69"/>
      <c r="C929" s="4"/>
      <c r="D929" s="4"/>
      <c r="E929" s="4"/>
      <c r="F929" s="4"/>
      <c r="G929" s="4"/>
      <c r="H929" s="4"/>
      <c r="I929" s="4"/>
      <c r="J929" s="4"/>
      <c r="K929" s="4"/>
      <c r="L929" s="4"/>
      <c r="M929" s="4"/>
      <c r="N929" s="4"/>
      <c r="O929" s="4"/>
      <c r="P929" s="4"/>
      <c r="Q929" s="4"/>
      <c r="R929" s="4"/>
      <c r="S929" s="4"/>
      <c r="T929" s="4"/>
      <c r="U929" s="4"/>
      <c r="V929" s="4"/>
      <c r="W929" s="4"/>
    </row>
    <row r="930">
      <c r="A930" s="4"/>
      <c r="B930" s="69"/>
      <c r="C930" s="4"/>
      <c r="D930" s="4"/>
      <c r="E930" s="4"/>
      <c r="F930" s="4"/>
      <c r="G930" s="4"/>
      <c r="H930" s="4"/>
      <c r="I930" s="4"/>
      <c r="J930" s="4"/>
      <c r="K930" s="4"/>
      <c r="L930" s="4"/>
      <c r="M930" s="4"/>
      <c r="N930" s="4"/>
      <c r="O930" s="4"/>
      <c r="P930" s="4"/>
      <c r="Q930" s="4"/>
      <c r="R930" s="4"/>
      <c r="S930" s="4"/>
      <c r="T930" s="4"/>
      <c r="U930" s="4"/>
      <c r="V930" s="4"/>
      <c r="W930" s="4"/>
    </row>
    <row r="931">
      <c r="A931" s="4"/>
      <c r="B931" s="69"/>
      <c r="C931" s="4"/>
      <c r="D931" s="4"/>
      <c r="E931" s="4"/>
      <c r="F931" s="4"/>
      <c r="G931" s="4"/>
      <c r="H931" s="4"/>
      <c r="I931" s="4"/>
      <c r="J931" s="4"/>
      <c r="K931" s="4"/>
      <c r="L931" s="4"/>
      <c r="M931" s="4"/>
      <c r="N931" s="4"/>
      <c r="O931" s="4"/>
      <c r="P931" s="4"/>
      <c r="Q931" s="4"/>
      <c r="R931" s="4"/>
      <c r="S931" s="4"/>
      <c r="T931" s="4"/>
      <c r="U931" s="4"/>
      <c r="V931" s="4"/>
      <c r="W931" s="4"/>
    </row>
    <row r="932">
      <c r="A932" s="4"/>
      <c r="B932" s="69"/>
      <c r="C932" s="4"/>
      <c r="D932" s="4"/>
      <c r="E932" s="4"/>
      <c r="F932" s="4"/>
      <c r="G932" s="4"/>
      <c r="H932" s="4"/>
      <c r="I932" s="4"/>
      <c r="J932" s="4"/>
      <c r="K932" s="4"/>
      <c r="L932" s="4"/>
      <c r="M932" s="4"/>
      <c r="N932" s="4"/>
      <c r="O932" s="4"/>
      <c r="P932" s="4"/>
      <c r="Q932" s="4"/>
      <c r="R932" s="4"/>
      <c r="S932" s="4"/>
      <c r="T932" s="4"/>
      <c r="U932" s="4"/>
      <c r="V932" s="4"/>
      <c r="W932" s="4"/>
    </row>
    <row r="933">
      <c r="A933" s="4"/>
      <c r="B933" s="69"/>
      <c r="C933" s="4"/>
      <c r="D933" s="4"/>
      <c r="E933" s="4"/>
      <c r="F933" s="4"/>
      <c r="G933" s="4"/>
      <c r="H933" s="4"/>
      <c r="I933" s="4"/>
      <c r="J933" s="4"/>
      <c r="K933" s="4"/>
      <c r="L933" s="4"/>
      <c r="M933" s="4"/>
      <c r="N933" s="4"/>
      <c r="O933" s="4"/>
      <c r="P933" s="4"/>
      <c r="Q933" s="4"/>
      <c r="R933" s="4"/>
      <c r="S933" s="4"/>
      <c r="T933" s="4"/>
      <c r="U933" s="4"/>
      <c r="V933" s="4"/>
      <c r="W933" s="4"/>
    </row>
    <row r="934">
      <c r="A934" s="4"/>
      <c r="B934" s="69"/>
      <c r="C934" s="4"/>
      <c r="D934" s="4"/>
      <c r="E934" s="4"/>
      <c r="F934" s="4"/>
      <c r="G934" s="4"/>
      <c r="H934" s="4"/>
      <c r="I934" s="4"/>
      <c r="J934" s="4"/>
      <c r="K934" s="4"/>
      <c r="L934" s="4"/>
      <c r="M934" s="4"/>
      <c r="N934" s="4"/>
      <c r="O934" s="4"/>
      <c r="P934" s="4"/>
      <c r="Q934" s="4"/>
      <c r="R934" s="4"/>
      <c r="S934" s="4"/>
      <c r="T934" s="4"/>
      <c r="U934" s="4"/>
      <c r="V934" s="4"/>
      <c r="W934" s="4"/>
    </row>
    <row r="935">
      <c r="A935" s="4"/>
      <c r="B935" s="69"/>
      <c r="C935" s="4"/>
      <c r="D935" s="4"/>
      <c r="E935" s="4"/>
      <c r="F935" s="4"/>
      <c r="G935" s="4"/>
      <c r="H935" s="4"/>
      <c r="I935" s="4"/>
      <c r="J935" s="4"/>
      <c r="K935" s="4"/>
      <c r="L935" s="4"/>
      <c r="M935" s="4"/>
      <c r="N935" s="4"/>
      <c r="O935" s="4"/>
      <c r="P935" s="4"/>
      <c r="Q935" s="4"/>
      <c r="R935" s="4"/>
      <c r="S935" s="4"/>
      <c r="T935" s="4"/>
      <c r="U935" s="4"/>
      <c r="V935" s="4"/>
      <c r="W935" s="4"/>
    </row>
    <row r="936">
      <c r="A936" s="4"/>
      <c r="B936" s="69"/>
      <c r="C936" s="4"/>
      <c r="D936" s="4"/>
      <c r="E936" s="4"/>
      <c r="F936" s="4"/>
      <c r="G936" s="4"/>
      <c r="H936" s="4"/>
      <c r="I936" s="4"/>
      <c r="J936" s="4"/>
      <c r="K936" s="4"/>
      <c r="L936" s="4"/>
      <c r="M936" s="4"/>
      <c r="N936" s="4"/>
      <c r="O936" s="4"/>
      <c r="P936" s="4"/>
      <c r="Q936" s="4"/>
      <c r="R936" s="4"/>
      <c r="S936" s="4"/>
      <c r="T936" s="4"/>
      <c r="U936" s="4"/>
      <c r="V936" s="4"/>
      <c r="W936" s="4"/>
    </row>
    <row r="937">
      <c r="A937" s="4"/>
      <c r="B937" s="69"/>
      <c r="C937" s="4"/>
      <c r="D937" s="4"/>
      <c r="E937" s="4"/>
      <c r="F937" s="4"/>
      <c r="G937" s="4"/>
      <c r="H937" s="4"/>
      <c r="I937" s="4"/>
      <c r="J937" s="4"/>
      <c r="K937" s="4"/>
      <c r="L937" s="4"/>
      <c r="M937" s="4"/>
      <c r="N937" s="4"/>
      <c r="O937" s="4"/>
      <c r="P937" s="4"/>
      <c r="Q937" s="4"/>
      <c r="R937" s="4"/>
      <c r="S937" s="4"/>
      <c r="T937" s="4"/>
      <c r="U937" s="4"/>
      <c r="V937" s="4"/>
      <c r="W937" s="4"/>
    </row>
    <row r="938">
      <c r="A938" s="4"/>
      <c r="B938" s="69"/>
      <c r="C938" s="4"/>
      <c r="D938" s="4"/>
      <c r="E938" s="4"/>
      <c r="F938" s="4"/>
      <c r="G938" s="4"/>
      <c r="H938" s="4"/>
      <c r="I938" s="4"/>
      <c r="J938" s="4"/>
      <c r="K938" s="4"/>
      <c r="L938" s="4"/>
      <c r="M938" s="4"/>
      <c r="N938" s="4"/>
      <c r="O938" s="4"/>
      <c r="P938" s="4"/>
      <c r="Q938" s="4"/>
      <c r="R938" s="4"/>
      <c r="S938" s="4"/>
      <c r="T938" s="4"/>
      <c r="U938" s="4"/>
      <c r="V938" s="4"/>
      <c r="W938" s="4"/>
    </row>
    <row r="939">
      <c r="A939" s="4"/>
      <c r="B939" s="69"/>
      <c r="C939" s="4"/>
      <c r="D939" s="4"/>
      <c r="E939" s="4"/>
      <c r="F939" s="4"/>
      <c r="G939" s="4"/>
      <c r="H939" s="4"/>
      <c r="I939" s="4"/>
      <c r="J939" s="4"/>
      <c r="K939" s="4"/>
      <c r="L939" s="4"/>
      <c r="M939" s="4"/>
      <c r="N939" s="4"/>
      <c r="O939" s="4"/>
      <c r="P939" s="4"/>
      <c r="Q939" s="4"/>
      <c r="R939" s="4"/>
      <c r="S939" s="4"/>
      <c r="T939" s="4"/>
      <c r="U939" s="4"/>
      <c r="V939" s="4"/>
      <c r="W939" s="4"/>
    </row>
    <row r="940">
      <c r="A940" s="4"/>
      <c r="B940" s="69"/>
      <c r="C940" s="4"/>
      <c r="D940" s="4"/>
      <c r="E940" s="4"/>
      <c r="F940" s="4"/>
      <c r="G940" s="4"/>
      <c r="H940" s="4"/>
      <c r="I940" s="4"/>
      <c r="J940" s="4"/>
      <c r="K940" s="4"/>
      <c r="L940" s="4"/>
      <c r="M940" s="4"/>
      <c r="N940" s="4"/>
      <c r="O940" s="4"/>
      <c r="P940" s="4"/>
      <c r="Q940" s="4"/>
      <c r="R940" s="4"/>
      <c r="S940" s="4"/>
      <c r="T940" s="4"/>
      <c r="U940" s="4"/>
      <c r="V940" s="4"/>
      <c r="W940" s="4"/>
    </row>
    <row r="941">
      <c r="A941" s="4"/>
      <c r="B941" s="69"/>
      <c r="C941" s="4"/>
      <c r="D941" s="4"/>
      <c r="E941" s="4"/>
      <c r="F941" s="4"/>
      <c r="G941" s="4"/>
      <c r="H941" s="4"/>
      <c r="I941" s="4"/>
      <c r="J941" s="4"/>
      <c r="K941" s="4"/>
      <c r="L941" s="4"/>
      <c r="M941" s="4"/>
      <c r="N941" s="4"/>
      <c r="O941" s="4"/>
      <c r="P941" s="4"/>
      <c r="Q941" s="4"/>
      <c r="R941" s="4"/>
      <c r="S941" s="4"/>
      <c r="T941" s="4"/>
      <c r="U941" s="4"/>
      <c r="V941" s="4"/>
      <c r="W941" s="4"/>
    </row>
    <row r="942">
      <c r="A942" s="4"/>
      <c r="B942" s="69"/>
      <c r="C942" s="4"/>
      <c r="D942" s="4"/>
      <c r="E942" s="4"/>
      <c r="F942" s="4"/>
      <c r="G942" s="4"/>
      <c r="H942" s="4"/>
      <c r="I942" s="4"/>
      <c r="J942" s="4"/>
      <c r="K942" s="4"/>
      <c r="L942" s="4"/>
      <c r="M942" s="4"/>
      <c r="N942" s="4"/>
      <c r="O942" s="4"/>
      <c r="P942" s="4"/>
      <c r="Q942" s="4"/>
      <c r="R942" s="4"/>
      <c r="S942" s="4"/>
      <c r="T942" s="4"/>
      <c r="U942" s="4"/>
      <c r="V942" s="4"/>
      <c r="W942" s="4"/>
    </row>
    <row r="943">
      <c r="A943" s="4"/>
      <c r="B943" s="69"/>
      <c r="C943" s="4"/>
      <c r="D943" s="4"/>
      <c r="E943" s="4"/>
      <c r="F943" s="4"/>
      <c r="G943" s="4"/>
      <c r="H943" s="4"/>
      <c r="I943" s="4"/>
      <c r="J943" s="4"/>
      <c r="K943" s="4"/>
      <c r="L943" s="4"/>
      <c r="M943" s="4"/>
      <c r="N943" s="4"/>
      <c r="O943" s="4"/>
      <c r="P943" s="4"/>
      <c r="Q943" s="4"/>
      <c r="R943" s="4"/>
      <c r="S943" s="4"/>
      <c r="T943" s="4"/>
      <c r="U943" s="4"/>
      <c r="V943" s="4"/>
      <c r="W943" s="4"/>
    </row>
    <row r="944">
      <c r="A944" s="4"/>
      <c r="B944" s="69"/>
      <c r="C944" s="4"/>
      <c r="D944" s="4"/>
      <c r="E944" s="4"/>
      <c r="F944" s="4"/>
      <c r="G944" s="4"/>
      <c r="H944" s="4"/>
      <c r="I944" s="4"/>
      <c r="J944" s="4"/>
      <c r="K944" s="4"/>
      <c r="L944" s="4"/>
      <c r="M944" s="4"/>
      <c r="N944" s="4"/>
      <c r="O944" s="4"/>
      <c r="P944" s="4"/>
      <c r="Q944" s="4"/>
      <c r="R944" s="4"/>
      <c r="S944" s="4"/>
      <c r="T944" s="4"/>
      <c r="U944" s="4"/>
      <c r="V944" s="4"/>
      <c r="W944" s="4"/>
    </row>
    <row r="945">
      <c r="A945" s="4"/>
      <c r="B945" s="69"/>
      <c r="C945" s="4"/>
      <c r="D945" s="4"/>
      <c r="E945" s="4"/>
      <c r="F945" s="4"/>
      <c r="G945" s="4"/>
      <c r="H945" s="4"/>
      <c r="I945" s="4"/>
      <c r="J945" s="4"/>
      <c r="K945" s="4"/>
      <c r="L945" s="4"/>
      <c r="M945" s="4"/>
      <c r="N945" s="4"/>
      <c r="O945" s="4"/>
      <c r="P945" s="4"/>
      <c r="Q945" s="4"/>
      <c r="R945" s="4"/>
      <c r="S945" s="4"/>
      <c r="T945" s="4"/>
      <c r="U945" s="4"/>
      <c r="V945" s="4"/>
      <c r="W945" s="4"/>
    </row>
    <row r="946">
      <c r="A946" s="4"/>
      <c r="B946" s="69"/>
      <c r="C946" s="4"/>
      <c r="D946" s="4"/>
      <c r="E946" s="4"/>
      <c r="F946" s="4"/>
      <c r="G946" s="4"/>
      <c r="H946" s="4"/>
      <c r="I946" s="4"/>
      <c r="J946" s="4"/>
      <c r="K946" s="4"/>
      <c r="L946" s="4"/>
      <c r="M946" s="4"/>
      <c r="N946" s="4"/>
      <c r="O946" s="4"/>
      <c r="P946" s="4"/>
      <c r="Q946" s="4"/>
      <c r="R946" s="4"/>
      <c r="S946" s="4"/>
      <c r="T946" s="4"/>
      <c r="U946" s="4"/>
      <c r="V946" s="4"/>
      <c r="W946" s="4"/>
    </row>
    <row r="947">
      <c r="A947" s="4"/>
      <c r="B947" s="69"/>
      <c r="C947" s="4"/>
      <c r="D947" s="4"/>
      <c r="E947" s="4"/>
      <c r="F947" s="4"/>
      <c r="G947" s="4"/>
      <c r="H947" s="4"/>
      <c r="I947" s="4"/>
      <c r="J947" s="4"/>
      <c r="K947" s="4"/>
      <c r="L947" s="4"/>
      <c r="M947" s="4"/>
      <c r="N947" s="4"/>
      <c r="O947" s="4"/>
      <c r="P947" s="4"/>
      <c r="Q947" s="4"/>
      <c r="R947" s="4"/>
      <c r="S947" s="4"/>
      <c r="T947" s="4"/>
      <c r="U947" s="4"/>
      <c r="V947" s="4"/>
      <c r="W947" s="4"/>
    </row>
    <row r="948">
      <c r="A948" s="4"/>
      <c r="B948" s="69"/>
      <c r="C948" s="4"/>
      <c r="D948" s="4"/>
      <c r="E948" s="4"/>
      <c r="F948" s="4"/>
      <c r="G948" s="4"/>
      <c r="H948" s="4"/>
      <c r="I948" s="4"/>
      <c r="J948" s="4"/>
      <c r="K948" s="4"/>
      <c r="L948" s="4"/>
      <c r="M948" s="4"/>
      <c r="N948" s="4"/>
      <c r="O948" s="4"/>
      <c r="P948" s="4"/>
      <c r="Q948" s="4"/>
      <c r="R948" s="4"/>
      <c r="S948" s="4"/>
      <c r="T948" s="4"/>
      <c r="U948" s="4"/>
      <c r="V948" s="4"/>
      <c r="W948" s="4"/>
    </row>
    <row r="949">
      <c r="A949" s="4"/>
      <c r="B949" s="69"/>
      <c r="C949" s="4"/>
      <c r="D949" s="4"/>
      <c r="E949" s="4"/>
      <c r="F949" s="4"/>
      <c r="G949" s="4"/>
      <c r="H949" s="4"/>
      <c r="I949" s="4"/>
      <c r="J949" s="4"/>
      <c r="K949" s="4"/>
      <c r="L949" s="4"/>
      <c r="M949" s="4"/>
      <c r="N949" s="4"/>
      <c r="O949" s="4"/>
      <c r="P949" s="4"/>
      <c r="Q949" s="4"/>
      <c r="R949" s="4"/>
      <c r="S949" s="4"/>
      <c r="T949" s="4"/>
      <c r="U949" s="4"/>
      <c r="V949" s="4"/>
      <c r="W949" s="4"/>
    </row>
    <row r="950">
      <c r="A950" s="4"/>
      <c r="B950" s="69"/>
      <c r="C950" s="4"/>
      <c r="D950" s="4"/>
      <c r="E950" s="4"/>
      <c r="F950" s="4"/>
      <c r="G950" s="4"/>
      <c r="H950" s="4"/>
      <c r="I950" s="4"/>
      <c r="J950" s="4"/>
      <c r="K950" s="4"/>
      <c r="L950" s="4"/>
      <c r="M950" s="4"/>
      <c r="N950" s="4"/>
      <c r="O950" s="4"/>
      <c r="P950" s="4"/>
      <c r="Q950" s="4"/>
      <c r="R950" s="4"/>
      <c r="S950" s="4"/>
      <c r="T950" s="4"/>
      <c r="U950" s="4"/>
      <c r="V950" s="4"/>
      <c r="W950" s="4"/>
    </row>
    <row r="951">
      <c r="A951" s="4"/>
      <c r="B951" s="69"/>
      <c r="C951" s="4"/>
      <c r="D951" s="4"/>
      <c r="E951" s="4"/>
      <c r="F951" s="4"/>
      <c r="G951" s="4"/>
      <c r="H951" s="4"/>
      <c r="I951" s="4"/>
      <c r="J951" s="4"/>
      <c r="K951" s="4"/>
      <c r="L951" s="4"/>
      <c r="M951" s="4"/>
      <c r="N951" s="4"/>
      <c r="O951" s="4"/>
      <c r="P951" s="4"/>
      <c r="Q951" s="4"/>
      <c r="R951" s="4"/>
      <c r="S951" s="4"/>
      <c r="T951" s="4"/>
      <c r="U951" s="4"/>
      <c r="V951" s="4"/>
      <c r="W951" s="4"/>
    </row>
    <row r="952">
      <c r="A952" s="4"/>
      <c r="B952" s="69"/>
      <c r="C952" s="4"/>
      <c r="D952" s="4"/>
      <c r="E952" s="4"/>
      <c r="F952" s="4"/>
      <c r="G952" s="4"/>
      <c r="H952" s="4"/>
      <c r="I952" s="4"/>
      <c r="J952" s="4"/>
      <c r="K952" s="4"/>
      <c r="L952" s="4"/>
      <c r="M952" s="4"/>
      <c r="N952" s="4"/>
      <c r="O952" s="4"/>
      <c r="P952" s="4"/>
      <c r="Q952" s="4"/>
      <c r="R952" s="4"/>
      <c r="S952" s="4"/>
      <c r="T952" s="4"/>
      <c r="U952" s="4"/>
      <c r="V952" s="4"/>
      <c r="W952" s="4"/>
    </row>
    <row r="953">
      <c r="A953" s="4"/>
      <c r="B953" s="69"/>
      <c r="C953" s="4"/>
      <c r="D953" s="4"/>
      <c r="E953" s="4"/>
      <c r="F953" s="4"/>
      <c r="G953" s="4"/>
      <c r="H953" s="4"/>
      <c r="I953" s="4"/>
      <c r="J953" s="4"/>
      <c r="K953" s="4"/>
      <c r="L953" s="4"/>
      <c r="M953" s="4"/>
      <c r="N953" s="4"/>
      <c r="O953" s="4"/>
      <c r="P953" s="4"/>
      <c r="Q953" s="4"/>
      <c r="R953" s="4"/>
      <c r="S953" s="4"/>
      <c r="T953" s="4"/>
      <c r="U953" s="4"/>
      <c r="V953" s="4"/>
      <c r="W953" s="4"/>
    </row>
    <row r="954">
      <c r="A954" s="4"/>
      <c r="B954" s="69"/>
      <c r="C954" s="4"/>
      <c r="D954" s="4"/>
      <c r="E954" s="4"/>
      <c r="F954" s="4"/>
      <c r="G954" s="4"/>
      <c r="H954" s="4"/>
      <c r="I954" s="4"/>
      <c r="J954" s="4"/>
      <c r="K954" s="4"/>
      <c r="L954" s="4"/>
      <c r="M954" s="4"/>
      <c r="N954" s="4"/>
      <c r="O954" s="4"/>
      <c r="P954" s="4"/>
      <c r="Q954" s="4"/>
      <c r="R954" s="4"/>
      <c r="S954" s="4"/>
      <c r="T954" s="4"/>
      <c r="U954" s="4"/>
      <c r="V954" s="4"/>
      <c r="W954" s="4"/>
    </row>
    <row r="955">
      <c r="A955" s="4"/>
      <c r="B955" s="69"/>
      <c r="C955" s="4"/>
      <c r="D955" s="4"/>
      <c r="E955" s="4"/>
      <c r="F955" s="4"/>
      <c r="G955" s="4"/>
      <c r="H955" s="4"/>
      <c r="I955" s="4"/>
      <c r="J955" s="4"/>
      <c r="K955" s="4"/>
      <c r="L955" s="4"/>
      <c r="M955" s="4"/>
      <c r="N955" s="4"/>
      <c r="O955" s="4"/>
      <c r="P955" s="4"/>
      <c r="Q955" s="4"/>
      <c r="R955" s="4"/>
      <c r="S955" s="4"/>
      <c r="T955" s="4"/>
      <c r="U955" s="4"/>
      <c r="V955" s="4"/>
      <c r="W955" s="4"/>
    </row>
    <row r="956">
      <c r="A956" s="4"/>
      <c r="B956" s="69"/>
      <c r="C956" s="4"/>
      <c r="D956" s="4"/>
      <c r="E956" s="4"/>
      <c r="F956" s="4"/>
      <c r="G956" s="4"/>
      <c r="H956" s="4"/>
      <c r="I956" s="4"/>
      <c r="J956" s="4"/>
      <c r="K956" s="4"/>
      <c r="L956" s="4"/>
      <c r="M956" s="4"/>
      <c r="N956" s="4"/>
      <c r="O956" s="4"/>
      <c r="P956" s="4"/>
      <c r="Q956" s="4"/>
      <c r="R956" s="4"/>
      <c r="S956" s="4"/>
      <c r="T956" s="4"/>
      <c r="U956" s="4"/>
      <c r="V956" s="4"/>
      <c r="W956" s="4"/>
    </row>
    <row r="957">
      <c r="A957" s="4"/>
      <c r="B957" s="69"/>
      <c r="C957" s="4"/>
      <c r="D957" s="4"/>
      <c r="E957" s="4"/>
      <c r="F957" s="4"/>
      <c r="G957" s="4"/>
      <c r="H957" s="4"/>
      <c r="I957" s="4"/>
      <c r="J957" s="4"/>
      <c r="K957" s="4"/>
      <c r="L957" s="4"/>
      <c r="M957" s="4"/>
      <c r="N957" s="4"/>
      <c r="O957" s="4"/>
      <c r="P957" s="4"/>
      <c r="Q957" s="4"/>
      <c r="R957" s="4"/>
      <c r="S957" s="4"/>
      <c r="T957" s="4"/>
      <c r="U957" s="4"/>
      <c r="V957" s="4"/>
      <c r="W957" s="4"/>
    </row>
    <row r="958">
      <c r="A958" s="4"/>
      <c r="B958" s="69"/>
      <c r="C958" s="4"/>
      <c r="D958" s="4"/>
      <c r="E958" s="4"/>
      <c r="F958" s="4"/>
      <c r="G958" s="4"/>
      <c r="H958" s="4"/>
      <c r="I958" s="4"/>
      <c r="J958" s="4"/>
      <c r="K958" s="4"/>
      <c r="L958" s="4"/>
      <c r="M958" s="4"/>
      <c r="N958" s="4"/>
      <c r="O958" s="4"/>
      <c r="P958" s="4"/>
      <c r="Q958" s="4"/>
      <c r="R958" s="4"/>
      <c r="S958" s="4"/>
      <c r="T958" s="4"/>
      <c r="U958" s="4"/>
      <c r="V958" s="4"/>
      <c r="W958" s="4"/>
    </row>
    <row r="959">
      <c r="A959" s="4"/>
      <c r="B959" s="69"/>
      <c r="C959" s="4"/>
      <c r="D959" s="4"/>
      <c r="E959" s="4"/>
      <c r="F959" s="4"/>
      <c r="G959" s="4"/>
      <c r="H959" s="4"/>
      <c r="I959" s="4"/>
      <c r="J959" s="4"/>
      <c r="K959" s="4"/>
      <c r="L959" s="4"/>
      <c r="M959" s="4"/>
      <c r="N959" s="4"/>
      <c r="O959" s="4"/>
      <c r="P959" s="4"/>
      <c r="Q959" s="4"/>
      <c r="R959" s="4"/>
      <c r="S959" s="4"/>
      <c r="T959" s="4"/>
      <c r="U959" s="4"/>
      <c r="V959" s="4"/>
      <c r="W959" s="4"/>
    </row>
    <row r="960">
      <c r="A960" s="4"/>
      <c r="B960" s="69"/>
      <c r="C960" s="4"/>
      <c r="D960" s="4"/>
      <c r="E960" s="4"/>
      <c r="F960" s="4"/>
      <c r="G960" s="4"/>
      <c r="H960" s="4"/>
      <c r="I960" s="4"/>
      <c r="J960" s="4"/>
      <c r="K960" s="4"/>
      <c r="L960" s="4"/>
      <c r="M960" s="4"/>
      <c r="N960" s="4"/>
      <c r="O960" s="4"/>
      <c r="P960" s="4"/>
      <c r="Q960" s="4"/>
      <c r="R960" s="4"/>
      <c r="S960" s="4"/>
      <c r="T960" s="4"/>
      <c r="U960" s="4"/>
      <c r="V960" s="4"/>
      <c r="W960" s="4"/>
    </row>
    <row r="961">
      <c r="A961" s="4"/>
      <c r="B961" s="69"/>
      <c r="C961" s="4"/>
      <c r="D961" s="4"/>
      <c r="E961" s="4"/>
      <c r="F961" s="4"/>
      <c r="G961" s="4"/>
      <c r="H961" s="4"/>
      <c r="I961" s="4"/>
      <c r="J961" s="4"/>
      <c r="K961" s="4"/>
      <c r="L961" s="4"/>
      <c r="M961" s="4"/>
      <c r="N961" s="4"/>
      <c r="O961" s="4"/>
      <c r="P961" s="4"/>
      <c r="Q961" s="4"/>
      <c r="R961" s="4"/>
      <c r="S961" s="4"/>
      <c r="T961" s="4"/>
      <c r="U961" s="4"/>
      <c r="V961" s="4"/>
      <c r="W961" s="4"/>
    </row>
    <row r="962">
      <c r="A962" s="4"/>
      <c r="B962" s="69"/>
      <c r="C962" s="4"/>
      <c r="D962" s="4"/>
      <c r="E962" s="4"/>
      <c r="F962" s="4"/>
      <c r="G962" s="4"/>
      <c r="H962" s="4"/>
      <c r="I962" s="4"/>
      <c r="J962" s="4"/>
      <c r="K962" s="4"/>
      <c r="L962" s="4"/>
      <c r="M962" s="4"/>
      <c r="N962" s="4"/>
      <c r="O962" s="4"/>
      <c r="P962" s="4"/>
      <c r="Q962" s="4"/>
      <c r="R962" s="4"/>
      <c r="S962" s="4"/>
      <c r="T962" s="4"/>
      <c r="U962" s="4"/>
      <c r="V962" s="4"/>
      <c r="W962" s="4"/>
    </row>
    <row r="963">
      <c r="A963" s="4"/>
      <c r="B963" s="69"/>
      <c r="C963" s="4"/>
      <c r="D963" s="4"/>
      <c r="E963" s="4"/>
      <c r="F963" s="4"/>
      <c r="G963" s="4"/>
      <c r="H963" s="4"/>
      <c r="I963" s="4"/>
      <c r="J963" s="4"/>
      <c r="K963" s="4"/>
      <c r="L963" s="4"/>
      <c r="M963" s="4"/>
      <c r="N963" s="4"/>
      <c r="O963" s="4"/>
      <c r="P963" s="4"/>
      <c r="Q963" s="4"/>
      <c r="R963" s="4"/>
      <c r="S963" s="4"/>
      <c r="T963" s="4"/>
      <c r="U963" s="4"/>
      <c r="V963" s="4"/>
      <c r="W963" s="4"/>
    </row>
    <row r="964">
      <c r="A964" s="4"/>
      <c r="B964" s="69"/>
      <c r="C964" s="4"/>
      <c r="D964" s="4"/>
      <c r="E964" s="4"/>
      <c r="F964" s="4"/>
      <c r="G964" s="4"/>
      <c r="H964" s="4"/>
      <c r="I964" s="4"/>
      <c r="J964" s="4"/>
      <c r="K964" s="4"/>
      <c r="L964" s="4"/>
      <c r="M964" s="4"/>
      <c r="N964" s="4"/>
      <c r="O964" s="4"/>
      <c r="P964" s="4"/>
      <c r="Q964" s="4"/>
      <c r="R964" s="4"/>
      <c r="S964" s="4"/>
      <c r="T964" s="4"/>
      <c r="U964" s="4"/>
      <c r="V964" s="4"/>
      <c r="W964" s="4"/>
    </row>
    <row r="965">
      <c r="A965" s="4"/>
      <c r="B965" s="69"/>
      <c r="C965" s="4"/>
      <c r="D965" s="4"/>
      <c r="E965" s="4"/>
      <c r="F965" s="4"/>
      <c r="G965" s="4"/>
      <c r="H965" s="4"/>
      <c r="I965" s="4"/>
      <c r="J965" s="4"/>
      <c r="K965" s="4"/>
      <c r="L965" s="4"/>
      <c r="M965" s="4"/>
      <c r="N965" s="4"/>
      <c r="O965" s="4"/>
      <c r="P965" s="4"/>
      <c r="Q965" s="4"/>
      <c r="R965" s="4"/>
      <c r="S965" s="4"/>
      <c r="T965" s="4"/>
      <c r="U965" s="4"/>
      <c r="V965" s="4"/>
      <c r="W965" s="4"/>
    </row>
    <row r="966">
      <c r="A966" s="4"/>
      <c r="B966" s="69"/>
      <c r="C966" s="4"/>
      <c r="D966" s="4"/>
      <c r="E966" s="4"/>
      <c r="F966" s="4"/>
      <c r="G966" s="4"/>
      <c r="H966" s="4"/>
      <c r="I966" s="4"/>
      <c r="J966" s="4"/>
      <c r="K966" s="4"/>
      <c r="L966" s="4"/>
      <c r="M966" s="4"/>
      <c r="N966" s="4"/>
      <c r="O966" s="4"/>
      <c r="P966" s="4"/>
      <c r="Q966" s="4"/>
      <c r="R966" s="4"/>
      <c r="S966" s="4"/>
      <c r="T966" s="4"/>
      <c r="U966" s="4"/>
      <c r="V966" s="4"/>
      <c r="W966" s="4"/>
    </row>
    <row r="967">
      <c r="A967" s="4"/>
      <c r="B967" s="69"/>
      <c r="C967" s="4"/>
      <c r="D967" s="4"/>
      <c r="E967" s="4"/>
      <c r="F967" s="4"/>
      <c r="G967" s="4"/>
      <c r="H967" s="4"/>
      <c r="I967" s="4"/>
      <c r="J967" s="4"/>
      <c r="K967" s="4"/>
      <c r="L967" s="4"/>
      <c r="M967" s="4"/>
      <c r="N967" s="4"/>
      <c r="O967" s="4"/>
      <c r="P967" s="4"/>
      <c r="Q967" s="4"/>
      <c r="R967" s="4"/>
      <c r="S967" s="4"/>
      <c r="T967" s="4"/>
      <c r="U967" s="4"/>
      <c r="V967" s="4"/>
      <c r="W967" s="4"/>
    </row>
    <row r="968">
      <c r="A968" s="4"/>
      <c r="B968" s="69"/>
      <c r="C968" s="4"/>
      <c r="D968" s="4"/>
      <c r="E968" s="4"/>
      <c r="F968" s="4"/>
      <c r="G968" s="4"/>
      <c r="H968" s="4"/>
      <c r="I968" s="4"/>
      <c r="J968" s="4"/>
      <c r="K968" s="4"/>
      <c r="L968" s="4"/>
      <c r="M968" s="4"/>
      <c r="N968" s="4"/>
      <c r="O968" s="4"/>
      <c r="P968" s="4"/>
      <c r="Q968" s="4"/>
      <c r="R968" s="4"/>
      <c r="S968" s="4"/>
      <c r="T968" s="4"/>
      <c r="U968" s="4"/>
      <c r="V968" s="4"/>
      <c r="W968" s="4"/>
    </row>
    <row r="969">
      <c r="A969" s="4"/>
      <c r="B969" s="69"/>
      <c r="C969" s="4"/>
      <c r="D969" s="4"/>
      <c r="E969" s="4"/>
      <c r="F969" s="4"/>
      <c r="G969" s="4"/>
      <c r="H969" s="4"/>
      <c r="I969" s="4"/>
      <c r="J969" s="4"/>
      <c r="K969" s="4"/>
      <c r="L969" s="4"/>
      <c r="M969" s="4"/>
      <c r="N969" s="4"/>
      <c r="O969" s="4"/>
      <c r="P969" s="4"/>
      <c r="Q969" s="4"/>
      <c r="R969" s="4"/>
      <c r="S969" s="4"/>
      <c r="T969" s="4"/>
      <c r="U969" s="4"/>
      <c r="V969" s="4"/>
      <c r="W969" s="4"/>
    </row>
    <row r="970">
      <c r="A970" s="4"/>
      <c r="B970" s="69"/>
      <c r="C970" s="4"/>
      <c r="D970" s="4"/>
      <c r="E970" s="4"/>
      <c r="F970" s="4"/>
      <c r="G970" s="4"/>
      <c r="H970" s="4"/>
      <c r="I970" s="4"/>
      <c r="J970" s="4"/>
      <c r="K970" s="4"/>
      <c r="L970" s="4"/>
      <c r="M970" s="4"/>
      <c r="N970" s="4"/>
      <c r="O970" s="4"/>
      <c r="P970" s="4"/>
      <c r="Q970" s="4"/>
      <c r="R970" s="4"/>
      <c r="S970" s="4"/>
      <c r="T970" s="4"/>
      <c r="U970" s="4"/>
      <c r="V970" s="4"/>
      <c r="W970" s="4"/>
    </row>
    <row r="971">
      <c r="A971" s="4"/>
      <c r="B971" s="69"/>
      <c r="C971" s="4"/>
      <c r="D971" s="4"/>
      <c r="E971" s="4"/>
      <c r="F971" s="4"/>
      <c r="G971" s="4"/>
      <c r="H971" s="4"/>
      <c r="I971" s="4"/>
      <c r="J971" s="4"/>
      <c r="K971" s="4"/>
      <c r="L971" s="4"/>
      <c r="M971" s="4"/>
      <c r="N971" s="4"/>
      <c r="O971" s="4"/>
      <c r="P971" s="4"/>
      <c r="Q971" s="4"/>
      <c r="R971" s="4"/>
      <c r="S971" s="4"/>
      <c r="T971" s="4"/>
      <c r="U971" s="4"/>
      <c r="V971" s="4"/>
      <c r="W971" s="4"/>
    </row>
    <row r="972">
      <c r="A972" s="4"/>
      <c r="B972" s="69"/>
      <c r="C972" s="4"/>
      <c r="D972" s="4"/>
      <c r="E972" s="4"/>
      <c r="F972" s="4"/>
      <c r="G972" s="4"/>
      <c r="H972" s="4"/>
      <c r="I972" s="4"/>
      <c r="J972" s="4"/>
      <c r="K972" s="4"/>
      <c r="L972" s="4"/>
      <c r="M972" s="4"/>
      <c r="N972" s="4"/>
      <c r="O972" s="4"/>
      <c r="P972" s="4"/>
      <c r="Q972" s="4"/>
      <c r="R972" s="4"/>
      <c r="S972" s="4"/>
      <c r="T972" s="4"/>
      <c r="U972" s="4"/>
      <c r="V972" s="4"/>
      <c r="W972" s="4"/>
    </row>
    <row r="973">
      <c r="A973" s="4"/>
      <c r="B973" s="69"/>
      <c r="C973" s="4"/>
      <c r="D973" s="4"/>
      <c r="E973" s="4"/>
      <c r="F973" s="4"/>
      <c r="G973" s="4"/>
      <c r="H973" s="4"/>
      <c r="I973" s="4"/>
      <c r="J973" s="4"/>
      <c r="K973" s="4"/>
      <c r="L973" s="4"/>
      <c r="M973" s="4"/>
      <c r="N973" s="4"/>
      <c r="O973" s="4"/>
      <c r="P973" s="4"/>
      <c r="Q973" s="4"/>
      <c r="R973" s="4"/>
      <c r="S973" s="4"/>
      <c r="T973" s="4"/>
      <c r="U973" s="4"/>
      <c r="V973" s="4"/>
      <c r="W973" s="4"/>
    </row>
    <row r="974">
      <c r="A974" s="4"/>
      <c r="B974" s="69"/>
      <c r="C974" s="4"/>
      <c r="D974" s="4"/>
      <c r="E974" s="4"/>
      <c r="F974" s="4"/>
      <c r="G974" s="4"/>
      <c r="H974" s="4"/>
      <c r="I974" s="4"/>
      <c r="J974" s="4"/>
      <c r="K974" s="4"/>
      <c r="L974" s="4"/>
      <c r="M974" s="4"/>
      <c r="N974" s="4"/>
      <c r="O974" s="4"/>
      <c r="P974" s="4"/>
      <c r="Q974" s="4"/>
      <c r="R974" s="4"/>
      <c r="S974" s="4"/>
      <c r="T974" s="4"/>
      <c r="U974" s="4"/>
      <c r="V974" s="4"/>
      <c r="W974" s="4"/>
    </row>
    <row r="975">
      <c r="A975" s="4"/>
      <c r="B975" s="69"/>
      <c r="C975" s="4"/>
      <c r="D975" s="4"/>
      <c r="E975" s="4"/>
      <c r="F975" s="4"/>
      <c r="G975" s="4"/>
      <c r="H975" s="4"/>
      <c r="I975" s="4"/>
      <c r="J975" s="4"/>
      <c r="K975" s="4"/>
      <c r="L975" s="4"/>
      <c r="M975" s="4"/>
      <c r="N975" s="4"/>
      <c r="O975" s="4"/>
      <c r="P975" s="4"/>
      <c r="Q975" s="4"/>
      <c r="R975" s="4"/>
      <c r="S975" s="4"/>
      <c r="T975" s="4"/>
      <c r="U975" s="4"/>
      <c r="V975" s="4"/>
      <c r="W975" s="4"/>
    </row>
    <row r="976">
      <c r="A976" s="4"/>
      <c r="B976" s="69"/>
      <c r="C976" s="4"/>
      <c r="D976" s="4"/>
      <c r="E976" s="4"/>
      <c r="F976" s="4"/>
      <c r="G976" s="4"/>
      <c r="H976" s="4"/>
      <c r="I976" s="4"/>
      <c r="J976" s="4"/>
      <c r="K976" s="4"/>
      <c r="L976" s="4"/>
      <c r="M976" s="4"/>
      <c r="N976" s="4"/>
      <c r="O976" s="4"/>
      <c r="P976" s="4"/>
      <c r="Q976" s="4"/>
      <c r="R976" s="4"/>
      <c r="S976" s="4"/>
      <c r="T976" s="4"/>
      <c r="U976" s="4"/>
      <c r="V976" s="4"/>
      <c r="W976" s="4"/>
    </row>
    <row r="977">
      <c r="A977" s="4"/>
      <c r="B977" s="69"/>
      <c r="C977" s="4"/>
      <c r="D977" s="4"/>
      <c r="E977" s="4"/>
      <c r="F977" s="4"/>
      <c r="G977" s="4"/>
      <c r="H977" s="4"/>
      <c r="I977" s="4"/>
      <c r="J977" s="4"/>
      <c r="K977" s="4"/>
      <c r="L977" s="4"/>
      <c r="M977" s="4"/>
      <c r="N977" s="4"/>
      <c r="O977" s="4"/>
      <c r="P977" s="4"/>
      <c r="Q977" s="4"/>
      <c r="R977" s="4"/>
      <c r="S977" s="4"/>
      <c r="T977" s="4"/>
      <c r="U977" s="4"/>
      <c r="V977" s="4"/>
      <c r="W977" s="4"/>
    </row>
    <row r="978">
      <c r="A978" s="4"/>
      <c r="B978" s="69"/>
      <c r="C978" s="4"/>
      <c r="D978" s="4"/>
      <c r="E978" s="4"/>
      <c r="F978" s="4"/>
      <c r="G978" s="4"/>
      <c r="H978" s="4"/>
      <c r="I978" s="4"/>
      <c r="J978" s="4"/>
      <c r="K978" s="4"/>
      <c r="L978" s="4"/>
      <c r="M978" s="4"/>
      <c r="N978" s="4"/>
      <c r="O978" s="4"/>
      <c r="P978" s="4"/>
      <c r="Q978" s="4"/>
      <c r="R978" s="4"/>
      <c r="S978" s="4"/>
      <c r="T978" s="4"/>
      <c r="U978" s="4"/>
      <c r="V978" s="4"/>
      <c r="W978" s="4"/>
    </row>
    <row r="979">
      <c r="A979" s="4"/>
      <c r="B979" s="69"/>
      <c r="C979" s="4"/>
      <c r="D979" s="4"/>
      <c r="E979" s="4"/>
      <c r="F979" s="4"/>
      <c r="G979" s="4"/>
      <c r="H979" s="4"/>
      <c r="I979" s="4"/>
      <c r="J979" s="4"/>
      <c r="K979" s="4"/>
      <c r="L979" s="4"/>
      <c r="M979" s="4"/>
      <c r="N979" s="4"/>
      <c r="O979" s="4"/>
      <c r="P979" s="4"/>
      <c r="Q979" s="4"/>
      <c r="R979" s="4"/>
      <c r="S979" s="4"/>
      <c r="T979" s="4"/>
      <c r="U979" s="4"/>
      <c r="V979" s="4"/>
      <c r="W979" s="4"/>
    </row>
    <row r="980">
      <c r="A980" s="4"/>
      <c r="B980" s="69"/>
      <c r="C980" s="4"/>
      <c r="D980" s="4"/>
      <c r="E980" s="4"/>
      <c r="F980" s="4"/>
      <c r="G980" s="4"/>
      <c r="H980" s="4"/>
      <c r="I980" s="4"/>
      <c r="J980" s="4"/>
      <c r="K980" s="4"/>
      <c r="L980" s="4"/>
      <c r="M980" s="4"/>
      <c r="N980" s="4"/>
      <c r="O980" s="4"/>
      <c r="P980" s="4"/>
      <c r="Q980" s="4"/>
      <c r="R980" s="4"/>
      <c r="S980" s="4"/>
      <c r="T980" s="4"/>
      <c r="U980" s="4"/>
      <c r="V980" s="4"/>
      <c r="W980" s="4"/>
    </row>
    <row r="981">
      <c r="A981" s="4"/>
      <c r="B981" s="69"/>
      <c r="C981" s="4"/>
      <c r="D981" s="4"/>
      <c r="E981" s="4"/>
      <c r="F981" s="4"/>
      <c r="G981" s="4"/>
      <c r="H981" s="4"/>
      <c r="I981" s="4"/>
      <c r="J981" s="4"/>
      <c r="K981" s="4"/>
      <c r="L981" s="4"/>
      <c r="M981" s="4"/>
      <c r="N981" s="4"/>
      <c r="O981" s="4"/>
      <c r="P981" s="4"/>
      <c r="Q981" s="4"/>
      <c r="R981" s="4"/>
      <c r="S981" s="4"/>
      <c r="T981" s="4"/>
      <c r="U981" s="4"/>
      <c r="V981" s="4"/>
      <c r="W981" s="4"/>
    </row>
    <row r="982">
      <c r="A982" s="4"/>
      <c r="B982" s="69"/>
      <c r="C982" s="4"/>
      <c r="D982" s="4"/>
      <c r="E982" s="4"/>
      <c r="F982" s="4"/>
      <c r="G982" s="4"/>
      <c r="H982" s="4"/>
      <c r="I982" s="4"/>
      <c r="J982" s="4"/>
      <c r="K982" s="4"/>
      <c r="L982" s="4"/>
      <c r="M982" s="4"/>
      <c r="N982" s="4"/>
      <c r="O982" s="4"/>
      <c r="P982" s="4"/>
      <c r="Q982" s="4"/>
      <c r="R982" s="4"/>
      <c r="S982" s="4"/>
      <c r="T982" s="4"/>
      <c r="U982" s="4"/>
      <c r="V982" s="4"/>
      <c r="W982" s="4"/>
    </row>
    <row r="983">
      <c r="A983" s="4"/>
      <c r="B983" s="69"/>
      <c r="C983" s="4"/>
      <c r="D983" s="4"/>
      <c r="E983" s="4"/>
      <c r="F983" s="4"/>
      <c r="G983" s="4"/>
      <c r="H983" s="4"/>
      <c r="I983" s="4"/>
      <c r="J983" s="4"/>
      <c r="K983" s="4"/>
      <c r="L983" s="4"/>
      <c r="M983" s="4"/>
      <c r="N983" s="4"/>
      <c r="O983" s="4"/>
      <c r="P983" s="4"/>
      <c r="Q983" s="4"/>
      <c r="R983" s="4"/>
      <c r="S983" s="4"/>
      <c r="T983" s="4"/>
      <c r="U983" s="4"/>
      <c r="V983" s="4"/>
      <c r="W983" s="4"/>
    </row>
    <row r="984">
      <c r="A984" s="4"/>
      <c r="B984" s="69"/>
      <c r="C984" s="4"/>
      <c r="D984" s="4"/>
      <c r="E984" s="4"/>
      <c r="F984" s="4"/>
      <c r="G984" s="4"/>
      <c r="H984" s="4"/>
      <c r="I984" s="4"/>
      <c r="J984" s="4"/>
      <c r="K984" s="4"/>
      <c r="L984" s="4"/>
      <c r="M984" s="4"/>
      <c r="N984" s="4"/>
      <c r="O984" s="4"/>
      <c r="P984" s="4"/>
      <c r="Q984" s="4"/>
      <c r="R984" s="4"/>
      <c r="S984" s="4"/>
      <c r="T984" s="4"/>
      <c r="U984" s="4"/>
      <c r="V984" s="4"/>
      <c r="W984" s="4"/>
    </row>
    <row r="985">
      <c r="A985" s="4"/>
      <c r="B985" s="69"/>
      <c r="C985" s="4"/>
      <c r="D985" s="4"/>
      <c r="E985" s="4"/>
      <c r="F985" s="4"/>
      <c r="G985" s="4"/>
      <c r="H985" s="4"/>
      <c r="I985" s="4"/>
      <c r="J985" s="4"/>
      <c r="K985" s="4"/>
      <c r="L985" s="4"/>
      <c r="M985" s="4"/>
      <c r="N985" s="4"/>
      <c r="O985" s="4"/>
      <c r="P985" s="4"/>
      <c r="Q985" s="4"/>
      <c r="R985" s="4"/>
      <c r="S985" s="4"/>
      <c r="T985" s="4"/>
      <c r="U985" s="4"/>
      <c r="V985" s="4"/>
      <c r="W985" s="4"/>
    </row>
    <row r="986">
      <c r="A986" s="4"/>
      <c r="B986" s="69"/>
      <c r="C986" s="4"/>
      <c r="D986" s="4"/>
      <c r="E986" s="4"/>
      <c r="F986" s="4"/>
      <c r="G986" s="4"/>
      <c r="H986" s="4"/>
      <c r="I986" s="4"/>
      <c r="J986" s="4"/>
      <c r="K986" s="4"/>
      <c r="L986" s="4"/>
      <c r="M986" s="4"/>
      <c r="N986" s="4"/>
      <c r="O986" s="4"/>
      <c r="P986" s="4"/>
      <c r="Q986" s="4"/>
      <c r="R986" s="4"/>
      <c r="S986" s="4"/>
      <c r="T986" s="4"/>
      <c r="U986" s="4"/>
      <c r="V986" s="4"/>
      <c r="W986" s="4"/>
    </row>
    <row r="987">
      <c r="A987" s="4"/>
      <c r="B987" s="69"/>
      <c r="C987" s="4"/>
      <c r="D987" s="4"/>
      <c r="E987" s="4"/>
      <c r="F987" s="4"/>
      <c r="G987" s="4"/>
      <c r="H987" s="4"/>
      <c r="I987" s="4"/>
      <c r="J987" s="4"/>
      <c r="K987" s="4"/>
      <c r="L987" s="4"/>
      <c r="M987" s="4"/>
      <c r="N987" s="4"/>
      <c r="O987" s="4"/>
      <c r="P987" s="4"/>
      <c r="Q987" s="4"/>
      <c r="R987" s="4"/>
      <c r="S987" s="4"/>
      <c r="T987" s="4"/>
      <c r="U987" s="4"/>
      <c r="V987" s="4"/>
      <c r="W987" s="4"/>
    </row>
    <row r="988">
      <c r="A988" s="4"/>
      <c r="B988" s="69"/>
      <c r="C988" s="4"/>
      <c r="D988" s="4"/>
      <c r="E988" s="4"/>
      <c r="F988" s="4"/>
      <c r="G988" s="4"/>
      <c r="H988" s="4"/>
      <c r="I988" s="4"/>
      <c r="J988" s="4"/>
      <c r="K988" s="4"/>
      <c r="L988" s="4"/>
      <c r="M988" s="4"/>
      <c r="N988" s="4"/>
      <c r="O988" s="4"/>
      <c r="P988" s="4"/>
      <c r="Q988" s="4"/>
      <c r="R988" s="4"/>
      <c r="S988" s="4"/>
      <c r="T988" s="4"/>
      <c r="U988" s="4"/>
      <c r="V988" s="4"/>
      <c r="W988" s="4"/>
    </row>
    <row r="989">
      <c r="A989" s="4"/>
      <c r="B989" s="69"/>
      <c r="C989" s="4"/>
      <c r="D989" s="4"/>
      <c r="E989" s="4"/>
      <c r="F989" s="4"/>
      <c r="G989" s="4"/>
      <c r="H989" s="4"/>
      <c r="I989" s="4"/>
      <c r="J989" s="4"/>
      <c r="K989" s="4"/>
      <c r="L989" s="4"/>
      <c r="M989" s="4"/>
      <c r="N989" s="4"/>
      <c r="O989" s="4"/>
      <c r="P989" s="4"/>
      <c r="Q989" s="4"/>
      <c r="R989" s="4"/>
      <c r="S989" s="4"/>
      <c r="T989" s="4"/>
      <c r="U989" s="4"/>
      <c r="V989" s="4"/>
      <c r="W989" s="4"/>
    </row>
    <row r="990">
      <c r="A990" s="4"/>
      <c r="B990" s="69"/>
      <c r="C990" s="4"/>
      <c r="D990" s="4"/>
      <c r="E990" s="4"/>
      <c r="F990" s="4"/>
      <c r="G990" s="4"/>
      <c r="H990" s="4"/>
      <c r="I990" s="4"/>
      <c r="J990" s="4"/>
      <c r="K990" s="4"/>
      <c r="L990" s="4"/>
      <c r="M990" s="4"/>
      <c r="N990" s="4"/>
      <c r="O990" s="4"/>
      <c r="P990" s="4"/>
      <c r="Q990" s="4"/>
      <c r="R990" s="4"/>
      <c r="S990" s="4"/>
      <c r="T990" s="4"/>
      <c r="U990" s="4"/>
      <c r="V990" s="4"/>
      <c r="W990" s="4"/>
    </row>
    <row r="991">
      <c r="A991" s="4"/>
      <c r="B991" s="69"/>
      <c r="C991" s="4"/>
      <c r="D991" s="4"/>
      <c r="E991" s="4"/>
      <c r="F991" s="4"/>
      <c r="G991" s="4"/>
      <c r="H991" s="4"/>
      <c r="I991" s="4"/>
      <c r="J991" s="4"/>
      <c r="K991" s="4"/>
      <c r="L991" s="4"/>
      <c r="M991" s="4"/>
      <c r="N991" s="4"/>
      <c r="O991" s="4"/>
      <c r="P991" s="4"/>
      <c r="Q991" s="4"/>
      <c r="R991" s="4"/>
      <c r="S991" s="4"/>
      <c r="T991" s="4"/>
      <c r="U991" s="4"/>
      <c r="V991" s="4"/>
      <c r="W991" s="4"/>
    </row>
    <row r="992">
      <c r="A992" s="4"/>
      <c r="B992" s="69"/>
      <c r="C992" s="4"/>
      <c r="D992" s="4"/>
      <c r="E992" s="4"/>
      <c r="F992" s="4"/>
      <c r="G992" s="4"/>
      <c r="H992" s="4"/>
      <c r="I992" s="4"/>
      <c r="J992" s="4"/>
      <c r="K992" s="4"/>
      <c r="L992" s="4"/>
      <c r="M992" s="4"/>
      <c r="N992" s="4"/>
      <c r="O992" s="4"/>
      <c r="P992" s="4"/>
      <c r="Q992" s="4"/>
      <c r="R992" s="4"/>
      <c r="S992" s="4"/>
      <c r="T992" s="4"/>
      <c r="U992" s="4"/>
      <c r="V992" s="4"/>
      <c r="W992" s="4"/>
    </row>
    <row r="993">
      <c r="A993" s="4"/>
      <c r="B993" s="69"/>
      <c r="C993" s="4"/>
      <c r="D993" s="4"/>
      <c r="E993" s="4"/>
      <c r="F993" s="4"/>
      <c r="G993" s="4"/>
      <c r="H993" s="4"/>
      <c r="I993" s="4"/>
      <c r="J993" s="4"/>
      <c r="K993" s="4"/>
      <c r="L993" s="4"/>
      <c r="M993" s="4"/>
      <c r="N993" s="4"/>
      <c r="O993" s="4"/>
      <c r="P993" s="4"/>
      <c r="Q993" s="4"/>
      <c r="R993" s="4"/>
      <c r="S993" s="4"/>
      <c r="T993" s="4"/>
      <c r="U993" s="4"/>
      <c r="V993" s="4"/>
      <c r="W993" s="4"/>
    </row>
  </sheetData>
  <conditionalFormatting sqref="C263">
    <cfRule type="expression" dxfId="0" priority="1">
      <formula>COUNTIF(C:C, C263)&gt;1</formula>
    </cfRule>
  </conditionalFormatting>
  <conditionalFormatting sqref="C148 C255 I275:I276">
    <cfRule type="expression" dxfId="1" priority="2">
      <formula>$L148="Completed and Issued"</formula>
    </cfRule>
  </conditionalFormatting>
  <conditionalFormatting sqref="C1:C993">
    <cfRule type="expression" dxfId="2" priority="3">
      <formula>COUNTIF(C:C, C1)&gt;1</formula>
    </cfRule>
  </conditionalFormatting>
  <hyperlinks>
    <hyperlink r:id="rId1" ref="H38"/>
    <hyperlink r:id="rId2" ref="H40"/>
    <hyperlink r:id="rId3" ref="H41"/>
    <hyperlink r:id="rId4" ref="H51"/>
    <hyperlink r:id="rId5" ref="H56"/>
    <hyperlink r:id="rId6" ref="H62"/>
    <hyperlink r:id="rId7" ref="H108"/>
    <hyperlink r:id="rId8" ref="H109"/>
    <hyperlink r:id="rId9" ref="H141"/>
    <hyperlink r:id="rId10" ref="H144"/>
    <hyperlink r:id="rId11" ref="H148"/>
    <hyperlink r:id="rId12" ref="H149"/>
    <hyperlink r:id="rId13" ref="H152"/>
    <hyperlink r:id="rId14" ref="H155"/>
    <hyperlink r:id="rId15" ref="H165"/>
    <hyperlink r:id="rId16" ref="H201"/>
    <hyperlink r:id="rId17" ref="H205"/>
    <hyperlink r:id="rId18" ref="H206"/>
    <hyperlink r:id="rId19" ref="H218"/>
    <hyperlink r:id="rId20" ref="H222"/>
    <hyperlink r:id="rId21" ref="H242"/>
    <hyperlink r:id="rId22" ref="H251"/>
    <hyperlink r:id="rId23" ref="H274"/>
    <hyperlink r:id="rId24" ref="H276"/>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6.38"/>
    <col customWidth="1" min="3" max="3" width="11.13"/>
    <col customWidth="1" min="4" max="4" width="7.63"/>
    <col customWidth="1" min="5" max="5" width="8.25"/>
    <col customWidth="1" min="6" max="6" width="21.88"/>
    <col customWidth="1" min="7" max="7" width="17.25"/>
    <col customWidth="1" min="8" max="8" width="19.38"/>
    <col customWidth="1" min="9" max="9" width="25.25"/>
    <col customWidth="1" min="10" max="10" width="9.13"/>
    <col customWidth="1" min="11" max="11" width="6.38"/>
    <col customWidth="1" min="12" max="12" width="10.88"/>
    <col customWidth="1" min="13" max="13" width="14.25"/>
  </cols>
  <sheetData>
    <row r="1">
      <c r="A1" s="1" t="s">
        <v>0</v>
      </c>
      <c r="B1" s="1" t="s">
        <v>1</v>
      </c>
      <c r="C1" s="2" t="s">
        <v>790</v>
      </c>
      <c r="D1" s="2" t="s">
        <v>3</v>
      </c>
      <c r="E1" s="1" t="s">
        <v>791</v>
      </c>
      <c r="F1" s="2" t="s">
        <v>4</v>
      </c>
      <c r="G1" s="2" t="s">
        <v>792</v>
      </c>
      <c r="H1" s="1" t="s">
        <v>6</v>
      </c>
      <c r="I1" s="1" t="s">
        <v>7</v>
      </c>
      <c r="J1" s="70" t="s">
        <v>793</v>
      </c>
      <c r="K1" s="1" t="s">
        <v>794</v>
      </c>
      <c r="L1" s="1" t="s">
        <v>795</v>
      </c>
      <c r="M1" s="1" t="s">
        <v>796</v>
      </c>
      <c r="N1" s="4"/>
      <c r="O1" s="4"/>
      <c r="P1" s="4"/>
      <c r="Q1" s="4"/>
      <c r="R1" s="4"/>
      <c r="S1" s="4"/>
      <c r="T1" s="4"/>
      <c r="U1" s="4"/>
      <c r="V1" s="4"/>
      <c r="W1" s="4"/>
      <c r="X1" s="4"/>
      <c r="Y1" s="4"/>
    </row>
    <row r="2">
      <c r="A2" s="6"/>
      <c r="B2" s="6" t="s">
        <v>158</v>
      </c>
      <c r="C2" s="71">
        <v>7.7000234182E10</v>
      </c>
      <c r="D2" s="72" t="str">
        <f t="array" ref="D2">XLOOKUP(C2,'Master Data'!C:C,'Master Data'!D:D)</f>
        <v>Main</v>
      </c>
      <c r="E2" s="73"/>
      <c r="F2" s="72" t="str">
        <f t="array" ref="F2">XLOOKUP(C2,'Master Data'!C:C,'Master Data'!E:E)</f>
        <v>Swapan Mandol</v>
      </c>
      <c r="G2" s="72" t="str">
        <f t="array" ref="G2">XLOOKUP(C2,'Master Data'!C:C,'Master Data'!F:F)</f>
        <v>ABC</v>
      </c>
      <c r="H2" s="72" t="str">
        <f t="array" ref="H2">XLOOKUP(C2,'Master Data'!C:C,'Master Data'!G:G)</f>
        <v>Resale</v>
      </c>
      <c r="I2" s="72" t="str">
        <f t="array" ref="I2">XLOOKUP(C2,'Master Data'!C:C,'Master Data'!H:H)</f>
        <v>Pune. Ganesh Peth. CTS No. 48</v>
      </c>
      <c r="J2" s="72">
        <f t="array" ref="J2">XLOOKUP(C2,'Master Data'!C:C,'Master Data'!I:I)</f>
        <v>99</v>
      </c>
      <c r="K2" s="72" t="str">
        <f t="array" ref="K2">XLOOKUP(C2,'Master Data'!C:C,'Master Data'!J:J)</f>
        <v/>
      </c>
      <c r="L2" s="74" t="str">
        <f t="array" ref="L2">XLOOKUP(C:C,TSR_Completion!C:C,TSR_Completion!M:M)</f>
        <v>Completed and Issued</v>
      </c>
      <c r="M2" s="4"/>
      <c r="N2" s="4"/>
      <c r="O2" s="4"/>
      <c r="P2" s="4"/>
      <c r="Q2" s="4"/>
      <c r="R2" s="4"/>
      <c r="S2" s="4"/>
      <c r="T2" s="4"/>
      <c r="U2" s="4"/>
      <c r="V2" s="4"/>
      <c r="W2" s="4"/>
      <c r="X2" s="4"/>
      <c r="Y2" s="4"/>
    </row>
    <row r="3">
      <c r="A3" s="64">
        <v>576.0</v>
      </c>
      <c r="B3" s="64" t="s">
        <v>158</v>
      </c>
      <c r="C3" s="71">
        <v>7.700024022E10</v>
      </c>
      <c r="D3" s="73" t="str">
        <f t="array" ref="D3">XLOOKUP(C3,'Master Data'!C:C,'Master Data'!D:D)</f>
        <v>Kolhapur</v>
      </c>
      <c r="E3" s="64" t="s">
        <v>797</v>
      </c>
      <c r="F3" s="73" t="str">
        <f t="array" ref="F3">XLOOKUP(C3,'Master Data'!C:C,'Master Data'!E:E)</f>
        <v>Subhash Shamrao Patil</v>
      </c>
      <c r="G3" s="73" t="str">
        <f t="array" ref="G3">XLOOKUP(C3,'Master Data'!C:C,'Master Data'!F:F)</f>
        <v>Suman Subhash Patil</v>
      </c>
      <c r="H3" s="73" t="str">
        <f t="array" ref="H3">XLOOKUP(C3,'Master Data'!C:C,'Master Data'!G:G)</f>
        <v>Apana Ghar Regular</v>
      </c>
      <c r="I3" s="73" t="str">
        <f t="array" ref="I3">XLOOKUP(C3,'Master Data'!C:C,'Master Data'!H:H)</f>
        <v>All that piece and parcel of non-agricultural property admeasuring of H. 00-02 Ares, i.e. 200 sq. mtrs., out of Survey No. 15, Hissa No. 3/1, having total area admeasuring of H. 00-32 Ares, assessed at Rs. 04-25 Paise, situated at Village – Kokrud, Taluka – Shirala, District – Sangli</v>
      </c>
      <c r="J3" s="73">
        <f t="array" ref="J3">XLOOKUP(C3,'Master Data'!C:C,'Master Data'!I:I)</f>
        <v>99</v>
      </c>
      <c r="K3" s="73" t="str">
        <f t="array" ref="K3">XLOOKUP(C3,'Master Data'!C:C,'Master Data'!J:J)</f>
        <v/>
      </c>
      <c r="L3" s="74" t="str">
        <f t="array" ref="L3">XLOOKUP(C:C,TSR_Completion!C:C,TSR_Completion!M:M)</f>
        <v>Completed and Issued</v>
      </c>
      <c r="M3" s="46" t="s">
        <v>798</v>
      </c>
      <c r="N3" s="4"/>
      <c r="O3" s="4"/>
      <c r="P3" s="4"/>
      <c r="Q3" s="4"/>
      <c r="R3" s="4"/>
      <c r="S3" s="4"/>
      <c r="T3" s="4"/>
      <c r="U3" s="4"/>
      <c r="V3" s="4"/>
      <c r="W3" s="4"/>
      <c r="X3" s="4"/>
      <c r="Y3" s="4"/>
    </row>
    <row r="4">
      <c r="A4" s="6">
        <v>577.0</v>
      </c>
      <c r="B4" s="6" t="s">
        <v>158</v>
      </c>
      <c r="C4" s="10">
        <v>7.7000254383E10</v>
      </c>
      <c r="D4" s="72" t="str">
        <f t="array" ref="D4">XLOOKUP(C4,'Master Data'!C:C,'Master Data'!D:D)</f>
        <v>Kolhapur</v>
      </c>
      <c r="E4" s="64" t="s">
        <v>799</v>
      </c>
      <c r="F4" s="72" t="str">
        <f t="array" ref="F4">XLOOKUP(C4,'Master Data'!C:C,'Master Data'!E:E)</f>
        <v>Tajmohammad</v>
      </c>
      <c r="G4" s="72" t="str">
        <f t="array" ref="G4">XLOOKUP(C4,'Master Data'!C:C,'Master Data'!F:F)</f>
        <v>Khairul Nesha</v>
      </c>
      <c r="H4" s="72" t="str">
        <f t="array" ref="H4">XLOOKUP(C4,'Master Data'!C:C,'Master Data'!G:G)</f>
        <v>Apana Ghar Regular</v>
      </c>
      <c r="I4" s="72" t="str">
        <f t="array" ref="I4">XLOOKUP(C4,'Master Data'!C:C,'Master Data'!H:H)</f>
        <v>All that piece and parcel of property admeasuring of Gat No. 298/1A/Plot No./37, having an area admeasuring of 66 sq. mtrs., together with RCC building consisting of Ground Floor having built-up area admeasuring of 52.80 sq. mtrs., and First Floor having built-up area admeasuring of 52.80 sq. mtrs., i.e. total built-up area admeasuring of 105.60 sq. mtrs., situated at Village – Kalambe Tarfe Thane, Taluka – Karveer, District – Kolhapur</v>
      </c>
      <c r="J4" s="72" t="str">
        <f t="array" ref="J4">XLOOKUP(C4,'Master Data'!C:C,'Master Data'!I:I)</f>
        <v>.</v>
      </c>
      <c r="K4" s="72" t="str">
        <f t="array" ref="K4">XLOOKUP(C4,'Master Data'!C:C,'Master Data'!J:J)</f>
        <v/>
      </c>
      <c r="L4" s="74" t="str">
        <f t="array" ref="L4">XLOOKUP(C:C,TSR_Completion!C:C,TSR_Completion!M:M)</f>
        <v>Completed and Issued</v>
      </c>
      <c r="M4" s="46" t="s">
        <v>800</v>
      </c>
      <c r="N4" s="4"/>
      <c r="O4" s="4"/>
      <c r="P4" s="4"/>
      <c r="Q4" s="4"/>
      <c r="R4" s="4"/>
      <c r="S4" s="4"/>
      <c r="T4" s="4"/>
      <c r="U4" s="4"/>
      <c r="V4" s="4"/>
      <c r="W4" s="4"/>
      <c r="X4" s="4"/>
      <c r="Y4" s="4"/>
    </row>
    <row r="5">
      <c r="A5" s="6">
        <v>578.0</v>
      </c>
      <c r="B5" s="6" t="s">
        <v>158</v>
      </c>
      <c r="C5" s="10">
        <v>7.7000225313E10</v>
      </c>
      <c r="D5" s="72" t="str">
        <f t="array" ref="D5">XLOOKUP(C5,'Master Data'!C:C,'Master Data'!D:D)</f>
        <v>Kolhapur</v>
      </c>
      <c r="E5" s="64" t="s">
        <v>799</v>
      </c>
      <c r="F5" s="72" t="str">
        <f t="array" ref="F5">XLOOKUP(C5,'Master Data'!C:C,'Master Data'!E:E)</f>
        <v>Tanaji Rau Vithekar</v>
      </c>
      <c r="G5" s="72" t="str">
        <f t="array" ref="G5">XLOOKUP(C5,'Master Data'!C:C,'Master Data'!F:F)</f>
        <v/>
      </c>
      <c r="H5" s="72" t="str">
        <f t="array" ref="H5">XLOOKUP(C5,'Master Data'!C:C,'Master Data'!G:G)</f>
        <v>Apana Ghar Regular (HL Self Construction)</v>
      </c>
      <c r="I5" s="72" t="str">
        <f t="array" ref="I5">XLOOKUP(C5,'Master Data'!C:C,'Master Data'!H:H)</f>
        <v>All that piece and parcel of the non-agricultural property bearing CTS No. 65, admeasuring 174.09 Sq. Mtrs., together with an existing structure constructed of stone, brick and mud, having a built-up area admeasuring 52.12 Sq. Mtrs., situated at Village Akurde, Taluka Panhala, District Kolhapur</v>
      </c>
      <c r="J5" s="72" t="str">
        <f t="array" ref="J5">XLOOKUP(C5,'Master Data'!C:C,'Master Data'!I:I)</f>
        <v/>
      </c>
      <c r="K5" s="72" t="str">
        <f t="array" ref="K5">XLOOKUP(C5,'Master Data'!C:C,'Master Data'!J:J)</f>
        <v/>
      </c>
      <c r="L5" s="74" t="str">
        <f t="array" ref="L5">XLOOKUP(C:C,TSR_Completion!C:C,TSR_Completion!M:M)</f>
        <v>Completed and Issued</v>
      </c>
      <c r="M5" s="46" t="s">
        <v>800</v>
      </c>
      <c r="N5" s="4"/>
      <c r="O5" s="4"/>
      <c r="P5" s="4"/>
      <c r="Q5" s="4"/>
      <c r="R5" s="4"/>
      <c r="S5" s="4"/>
      <c r="T5" s="4"/>
      <c r="U5" s="4"/>
      <c r="V5" s="4"/>
      <c r="W5" s="4"/>
      <c r="X5" s="4"/>
      <c r="Y5" s="4"/>
    </row>
    <row r="6">
      <c r="A6" s="6">
        <v>580.0</v>
      </c>
      <c r="B6" s="6" t="s">
        <v>158</v>
      </c>
      <c r="C6" s="10">
        <v>7.7000251375E10</v>
      </c>
      <c r="D6" s="72" t="str">
        <f t="array" ref="D6">XLOOKUP(C6,'Master Data'!C:C,'Master Data'!D:D)</f>
        <v>Kolhapur</v>
      </c>
      <c r="E6" s="64" t="s">
        <v>801</v>
      </c>
      <c r="F6" s="72" t="str">
        <f t="array" ref="F6">XLOOKUP(C6,'Master Data'!C:C,'Master Data'!E:E)</f>
        <v>Jagdish Mohanram Mahariya</v>
      </c>
      <c r="G6" s="72" t="str">
        <f t="array" ref="G6">XLOOKUP(C6,'Master Data'!C:C,'Master Data'!F:F)</f>
        <v>Dhannaram Mohanram Maharia</v>
      </c>
      <c r="H6" s="72" t="str">
        <f t="array" ref="H6">XLOOKUP(C6,'Master Data'!C:C,'Master Data'!G:G)</f>
        <v>LAP</v>
      </c>
      <c r="I6" s="72" t="str">
        <f t="array" ref="I6">XLOOKUP(C6,'Master Data'!C:C,'Master Data'!H:H)</f>
        <v>All that piece and parcel of property admeasuring of H. 00-14 Ares, out of Gat No. 54, having an area admeasuring of H. 00-85 Ares, together with Pot-Kharab area admeasuring of H. 00-09 Ares, assessed at Rs. 01-75 Paise, situated at Village – Vikaswadi, Taluka – Karveer, District – Kolhapur</v>
      </c>
      <c r="J6" s="72" t="str">
        <f t="array" ref="J6">XLOOKUP(C6,'Master Data'!C:C,'Master Data'!I:I)</f>
        <v/>
      </c>
      <c r="K6" s="72" t="str">
        <f t="array" ref="K6">XLOOKUP(C6,'Master Data'!C:C,'Master Data'!J:J)</f>
        <v/>
      </c>
      <c r="L6" s="74" t="str">
        <f t="array" ref="L6">XLOOKUP(C:C,TSR_Completion!C:C,TSR_Completion!M:M)</f>
        <v>Completed and Issued</v>
      </c>
      <c r="M6" s="46" t="s">
        <v>798</v>
      </c>
      <c r="N6" s="4"/>
      <c r="O6" s="4"/>
      <c r="P6" s="4"/>
      <c r="Q6" s="4"/>
      <c r="R6" s="4"/>
      <c r="S6" s="4"/>
      <c r="T6" s="4"/>
      <c r="U6" s="4"/>
      <c r="V6" s="4"/>
      <c r="W6" s="4"/>
      <c r="X6" s="4"/>
      <c r="Y6" s="4"/>
    </row>
    <row r="7">
      <c r="A7" s="6">
        <v>582.0</v>
      </c>
      <c r="B7" s="6" t="s">
        <v>158</v>
      </c>
      <c r="C7" s="10">
        <v>7.800236434E9</v>
      </c>
      <c r="D7" s="72" t="str">
        <f t="array" ref="D7">XLOOKUP(C7,'Master Data'!C:C,'Master Data'!D:D)</f>
        <v>Wakad</v>
      </c>
      <c r="E7" s="64" t="s">
        <v>801</v>
      </c>
      <c r="F7" s="72" t="str">
        <f t="array" ref="F7">XLOOKUP(C7,'Master Data'!C:C,'Master Data'!E:E)</f>
        <v>Kanisfatima Imran Shaikh</v>
      </c>
      <c r="G7" s="72" t="str">
        <f t="array" ref="G7">XLOOKUP(C7,'Master Data'!C:C,'Master Data'!F:F)</f>
        <v>Imran Anwar Shaikh </v>
      </c>
      <c r="H7" s="72" t="str">
        <f t="array" ref="H7">XLOOKUP(C7,'Master Data'!C:C,'Master Data'!G:G)</f>
        <v>Resale</v>
      </c>
      <c r="I7" s="72" t="str">
        <f t="array" ref="I7">XLOOKUP(C7,'Master Data'!C:C,'Master Data'!H:H)</f>
        <v>All that piece and parcel of the property being Flat No. 122, admeasuring 693 Sq. Ft. i.e. 64.38 Sq. Mtrs. saleable area, situated on the Sixth Floor, in Wing “A” of the building known as “Waghere Towers”, constructed on the land bearing Survey No. 101/1B, CTS No. 6449 (part), situated at Village Pimpri Waghere, within the limits of Pimpri Chinchwad Municipal Corporation, Taluka Haveli, District Pune, together with all rights, easements and appurtenances thereto.</v>
      </c>
      <c r="J7" s="72">
        <f t="array" ref="J7">XLOOKUP(C7,'Master Data'!C:C,'Master Data'!I:I)</f>
        <v>8888725508</v>
      </c>
      <c r="K7" s="72" t="str">
        <f t="array" ref="K7">XLOOKUP(C7,'Master Data'!C:C,'Master Data'!J:J)</f>
        <v/>
      </c>
      <c r="L7" s="74" t="str">
        <f t="array" ref="L7">XLOOKUP(C:C,TSR_Completion!C:C,TSR_Completion!M:M)</f>
        <v>Completed and Issued</v>
      </c>
      <c r="M7" s="46" t="s">
        <v>798</v>
      </c>
      <c r="N7" s="4"/>
      <c r="O7" s="4"/>
      <c r="P7" s="4"/>
      <c r="Q7" s="4"/>
      <c r="R7" s="4"/>
      <c r="S7" s="4"/>
      <c r="T7" s="4"/>
      <c r="U7" s="4"/>
      <c r="V7" s="4"/>
      <c r="W7" s="4"/>
      <c r="X7" s="4"/>
      <c r="Y7" s="4"/>
    </row>
    <row r="8">
      <c r="A8" s="6">
        <v>583.0</v>
      </c>
      <c r="B8" s="6" t="s">
        <v>158</v>
      </c>
      <c r="C8" s="10">
        <v>7.7000251172E10</v>
      </c>
      <c r="D8" s="72" t="str">
        <f t="array" ref="D8">XLOOKUP(C8,'Master Data'!C:C,'Master Data'!D:D)</f>
        <v>Vishrantwadi</v>
      </c>
      <c r="E8" s="64" t="s">
        <v>802</v>
      </c>
      <c r="F8" s="72" t="str">
        <f t="array" ref="F8">XLOOKUP(C8,'Master Data'!C:C,'Master Data'!E:E)</f>
        <v>Seema Abhijeet Rithe</v>
      </c>
      <c r="G8" s="72" t="str">
        <f t="array" ref="G8">XLOOKUP(C8,'Master Data'!C:C,'Master Data'!F:F)</f>
        <v> Nilesh Soundade</v>
      </c>
      <c r="H8" s="72" t="str">
        <f t="array" ref="H8">XLOOKUP(C8,'Master Data'!C:C,'Master Data'!G:G)</f>
        <v>Resale</v>
      </c>
      <c r="I8" s="72" t="str">
        <f t="array" ref="I8">XLOOKUP(C8,'Master Data'!C:C,'Master Data'!H:H)</f>
        <v>All that piece and parcel of the property being Flat No. 351, admeasuring 928 Sq. Ft. i.e. 86.25 Sq. Mtrs. carpet area, along with terrace admeasuring 109 Sq. Ft. i.e. 10.13 Sq. Mtrs., situated on the Third Floor, in Building No. “I” (Tropica I Co-operative Housing Society Limited) of the project known as “Tropica”, constructed on land bearing Survey Nos. 56/1A, 57/2, 58/1A and 57/1B, situated at Village Ravet, Taluka Haveli, District Pune, within the limits of Pimpri Chinchwad Municipal Corporation, together with Car Parking No. 727 (below central podium garden), bearing Property No. 1150103129.00 and Electricity Consumer No. 170074482328, along with all rights, easements and appurtenances thereto.</v>
      </c>
      <c r="J8" s="72" t="str">
        <f t="array" ref="J8">XLOOKUP(C8,'Master Data'!C:C,'Master Data'!I:I)</f>
        <v/>
      </c>
      <c r="K8" s="72" t="str">
        <f t="array" ref="K8">XLOOKUP(C8,'Master Data'!C:C,'Master Data'!J:J)</f>
        <v/>
      </c>
      <c r="L8" s="74" t="str">
        <f t="array" ref="L8">XLOOKUP(C:C,TSR_Completion!C:C,TSR_Completion!M:M)</f>
        <v>Completed and Issued</v>
      </c>
      <c r="M8" s="46" t="s">
        <v>798</v>
      </c>
      <c r="N8" s="4"/>
      <c r="O8" s="4"/>
      <c r="P8" s="4"/>
      <c r="Q8" s="4"/>
      <c r="R8" s="4"/>
      <c r="S8" s="4"/>
      <c r="T8" s="4"/>
      <c r="U8" s="4"/>
      <c r="V8" s="4"/>
      <c r="W8" s="4"/>
      <c r="X8" s="4"/>
      <c r="Y8" s="4"/>
    </row>
    <row r="9">
      <c r="A9" s="6"/>
      <c r="B9" s="6" t="s">
        <v>158</v>
      </c>
      <c r="C9" s="10">
        <v>7.700025488E10</v>
      </c>
      <c r="D9" s="72" t="str">
        <f t="array" ref="D9">XLOOKUP(C9,'Master Data'!C:C,'Master Data'!D:D)</f>
        <v/>
      </c>
      <c r="E9" s="73"/>
      <c r="F9" s="72" t="str">
        <f t="array" ref="F9">XLOOKUP(C9,'Master Data'!C:C,'Master Data'!E:E)</f>
        <v>Anand Masurkar</v>
      </c>
      <c r="G9" s="72" t="str">
        <f t="array" ref="G9">XLOOKUP(C9,'Master Data'!C:C,'Master Data'!F:F)</f>
        <v/>
      </c>
      <c r="H9" s="72" t="str">
        <f t="array" ref="H9">XLOOKUP(C9,'Master Data'!C:C,'Master Data'!G:G)</f>
        <v>Builder Purchase</v>
      </c>
      <c r="I9" s="72" t="str">
        <f t="array" ref="I9">XLOOKUP(C9,'Master Data'!C:C,'Master Data'!H:H)</f>
        <v/>
      </c>
      <c r="J9" s="72" t="str">
        <f t="array" ref="J9">XLOOKUP(C9,'Master Data'!C:C,'Master Data'!I:I)</f>
        <v/>
      </c>
      <c r="K9" s="72" t="str">
        <f t="array" ref="K9">XLOOKUP(C9,'Master Data'!C:C,'Master Data'!J:J)</f>
        <v/>
      </c>
      <c r="L9" s="74" t="str">
        <f t="array" ref="L9">XLOOKUP(C:C,TSR_Completion!C:C,TSR_Completion!M:M)</f>
        <v>#N/A</v>
      </c>
      <c r="M9" s="4"/>
      <c r="N9" s="4"/>
      <c r="O9" s="4"/>
      <c r="P9" s="4"/>
      <c r="Q9" s="4"/>
      <c r="R9" s="4"/>
      <c r="S9" s="4"/>
      <c r="T9" s="4"/>
      <c r="U9" s="4"/>
      <c r="V9" s="4"/>
      <c r="W9" s="4"/>
      <c r="X9" s="4"/>
      <c r="Y9" s="4"/>
    </row>
    <row r="10">
      <c r="A10" s="6">
        <v>584.0</v>
      </c>
      <c r="B10" s="6" t="s">
        <v>158</v>
      </c>
      <c r="C10" s="10">
        <v>7.7000249626E10</v>
      </c>
      <c r="D10" s="72" t="str">
        <f t="array" ref="D10">XLOOKUP(C10,'Master Data'!C:C,'Master Data'!D:D)</f>
        <v>Kharadi</v>
      </c>
      <c r="E10" s="64" t="s">
        <v>803</v>
      </c>
      <c r="F10" s="72" t="str">
        <f t="array" ref="F10">XLOOKUP(C10,'Master Data'!C:C,'Master Data'!E:E)</f>
        <v>Amit Arvind Kadam</v>
      </c>
      <c r="G10" s="72" t="str">
        <f t="array" ref="G10">XLOOKUP(C10,'Master Data'!C:C,'Master Data'!F:F)</f>
        <v>Pallavi Amit Kadam</v>
      </c>
      <c r="H10" s="72" t="str">
        <f t="array" ref="H10">XLOOKUP(C10,'Master Data'!C:C,'Master Data'!G:G)</f>
        <v>Balance Transfer</v>
      </c>
      <c r="I10" s="72" t="str">
        <f t="array" ref="I10">XLOOKUP(C10,'Master Data'!C:C,'Master Data'!H:H)</f>
        <v>All that piece and parcel of the property being Apartment No. 1304, admeasuring 53.52 Sq. Mtrs. carpet area, along with adjoining open balcony admeasuring 7.68 Sq. Mtrs., situated on the Thirteenth Floor, in Building No. “B” of the project known as “Yashada Supreme”, constructed on land bearing Gat No. 96 admeasuring 2 H 25 R (including Pot Kharaba area 0 H 3 R) and Gat No. 97 admeasuring 0 H 64 R (including Pot Kharaba area 0 H 1 R), aggregating to total land admeasuring 2 H 30 R, situated at Village Dudulgaon, Taluka Haveli, District Pune, within the limits of Pimpri Chinchwad Municipal Corporation, together with all rights, easements and appurtenances thereto.</v>
      </c>
      <c r="J10" s="72" t="str">
        <f t="array" ref="J10">XLOOKUP(C10,'Master Data'!C:C,'Master Data'!I:I)</f>
        <v/>
      </c>
      <c r="K10" s="72" t="str">
        <f t="array" ref="K10">XLOOKUP(C10,'Master Data'!C:C,'Master Data'!J:J)</f>
        <v/>
      </c>
      <c r="L10" s="74" t="str">
        <f t="array" ref="L10">XLOOKUP(C:C,TSR_Completion!C:C,TSR_Completion!M:M)</f>
        <v>Completed and Issued</v>
      </c>
      <c r="M10" s="46" t="s">
        <v>798</v>
      </c>
      <c r="N10" s="4"/>
      <c r="O10" s="4"/>
      <c r="P10" s="4"/>
      <c r="Q10" s="4"/>
      <c r="R10" s="4"/>
      <c r="S10" s="4"/>
      <c r="T10" s="4"/>
      <c r="U10" s="4"/>
      <c r="V10" s="4"/>
      <c r="W10" s="4"/>
      <c r="X10" s="4"/>
      <c r="Y10" s="4"/>
    </row>
    <row r="11">
      <c r="A11" s="6">
        <v>599.0</v>
      </c>
      <c r="B11" s="6" t="s">
        <v>158</v>
      </c>
      <c r="C11" s="10">
        <v>7.7000255326E10</v>
      </c>
      <c r="D11" s="72" t="str">
        <f t="array" ref="D11">XLOOKUP(C11,'Master Data'!C:C,'Master Data'!D:D)</f>
        <v>Kolhapur</v>
      </c>
      <c r="E11" s="64" t="s">
        <v>804</v>
      </c>
      <c r="F11" s="72" t="str">
        <f t="array" ref="F11">XLOOKUP(C11,'Master Data'!C:C,'Master Data'!E:E)</f>
        <v>Santosh Hirappa Sutar</v>
      </c>
      <c r="G11" s="72" t="str">
        <f t="array" ref="G11">XLOOKUP(C11,'Master Data'!C:C,'Master Data'!F:F)</f>
        <v>Suraj Hirappa Sutar</v>
      </c>
      <c r="H11" s="72" t="str">
        <f t="array" ref="H11">XLOOKUP(C11,'Master Data'!C:C,'Master Data'!G:G)</f>
        <v>Non Home Loan LAP</v>
      </c>
      <c r="I11" s="72" t="str">
        <f t="array" ref="I11">XLOOKUP(C11,'Master Data'!C:C,'Master Data'!H:H)</f>
        <v>All that piece and parcel of properties bearing-
a.        Plot No. 1, having an area admeasuring of 147.98 sq. mtrs., 
b.        Plot No. 2, having an area admeasuring of 141.47 sq. mtrs., 
c.        Plot No. 3, having an area admeasuring of 150.67 sq. mtrs., 
d.        Plot No. 4, having an area admeasuring of 159.88 sq. mtrs., 
i.e. total area admeasuring of 600 sq. mtrs., carved out of entire land bearing R.S. No. 237/3/A, having total area admeasuring of H. 00-17.95 Ares, assessed at Rs. 02-10 Paise, situated at Village – Gokul Shirgaon, Taluka – Karveer, District – Kolhapur</v>
      </c>
      <c r="J11" s="72" t="str">
        <f t="array" ref="J11">XLOOKUP(C11,'Master Data'!C:C,'Master Data'!I:I)</f>
        <v/>
      </c>
      <c r="K11" s="72" t="str">
        <f t="array" ref="K11">XLOOKUP(C11,'Master Data'!C:C,'Master Data'!J:J)</f>
        <v/>
      </c>
      <c r="L11" s="74" t="str">
        <f t="array" ref="L11">XLOOKUP(C:C,TSR_Completion!C:C,TSR_Completion!M:M)</f>
        <v>Completed and Issued</v>
      </c>
      <c r="M11" s="46" t="s">
        <v>798</v>
      </c>
      <c r="N11" s="4"/>
      <c r="O11" s="4"/>
      <c r="P11" s="4"/>
      <c r="Q11" s="4"/>
      <c r="R11" s="4"/>
      <c r="S11" s="4"/>
      <c r="T11" s="4"/>
      <c r="U11" s="4"/>
      <c r="V11" s="4"/>
      <c r="W11" s="4"/>
      <c r="X11" s="4"/>
      <c r="Y11" s="4"/>
    </row>
    <row r="12">
      <c r="A12" s="6">
        <v>581.0</v>
      </c>
      <c r="B12" s="6" t="s">
        <v>158</v>
      </c>
      <c r="C12" s="10">
        <v>7.792147873E9</v>
      </c>
      <c r="D12" s="72" t="str">
        <f t="array" ref="D12">XLOOKUP(C12,'Master Data'!C:C,'Master Data'!D:D)</f>
        <v>Baner</v>
      </c>
      <c r="E12" s="64" t="s">
        <v>804</v>
      </c>
      <c r="F12" s="72" t="str">
        <f t="array" ref="F12">XLOOKUP(C12,'Master Data'!C:C,'Master Data'!E:E)</f>
        <v>Mahika Sales and Services Private Limited</v>
      </c>
      <c r="G12" s="72" t="str">
        <f t="array" ref="G12">XLOOKUP(C12,'Master Data'!C:C,'Master Data'!F:F)</f>
        <v>Mr. Mahendrakumar Pandit Patil 
Mrs. Kavita Mahendrakumar Patil</v>
      </c>
      <c r="H12" s="72" t="str">
        <f t="array" ref="H12">XLOOKUP(C12,'Master Data'!C:C,'Master Data'!G:G)</f>
        <v>Plot Purchase</v>
      </c>
      <c r="I12" s="72" t="str">
        <f t="array" ref="I12">XLOOKUP(C12,'Master Data'!C:C,'Master Data'!H:H)</f>
        <v>All that piece and parcel of the plot being Plot No. D–13, admeasuring 86.40 Sq. Mtrs., together with proportionate (pro-rata) built-up area admeasuring 49.784 Sq. Mtrs., aggregating to total area admeasuring 136.184 Sq. Mtrs., having total permissible built-up area admeasuring 144.82 Sq. Mtrs., being part of the sanctioned layout known as “Sai Kuber Jewel”, as per Layout Plan bearing No. BP/Layout/Dudulgaon/37/2024 dated 12.07.2024 sanctioned by Pimpri Chinchwad Municipal Corporation, constructed on the land bearing Survey No. 216/1A, admeasuring 3789 Sq. Mtrs., situated at Village Dudulgaon, within the limits of Pimpri Chinchwad Municipal Corporation, Taluka Haveli, District Pune, together with all rights, easements and appurtenances thereto</v>
      </c>
      <c r="J12" s="72" t="str">
        <f t="array" ref="J12">XLOOKUP(C12,'Master Data'!C:C,'Master Data'!I:I)</f>
        <v>.</v>
      </c>
      <c r="K12" s="72" t="str">
        <f t="array" ref="K12">XLOOKUP(C12,'Master Data'!C:C,'Master Data'!J:J)</f>
        <v/>
      </c>
      <c r="L12" s="74" t="str">
        <f t="array" ref="L12">XLOOKUP(C:C,TSR_Completion!C:C,TSR_Completion!M:M)</f>
        <v>Completed and Issued</v>
      </c>
      <c r="M12" s="46"/>
      <c r="N12" s="4"/>
      <c r="O12" s="4"/>
      <c r="P12" s="4"/>
      <c r="Q12" s="4"/>
      <c r="R12" s="4"/>
      <c r="S12" s="4"/>
      <c r="T12" s="4"/>
      <c r="U12" s="4"/>
      <c r="V12" s="4"/>
      <c r="W12" s="4"/>
      <c r="X12" s="4"/>
      <c r="Y12" s="4"/>
    </row>
    <row r="13">
      <c r="A13" s="6">
        <v>585.0</v>
      </c>
      <c r="B13" s="6" t="s">
        <v>158</v>
      </c>
      <c r="C13" s="10">
        <v>7.792145952E9</v>
      </c>
      <c r="D13" s="72" t="str">
        <f t="array" ref="D13">XLOOKUP(C13,'Master Data'!C:C,'Master Data'!D:D)</f>
        <v>Wakad</v>
      </c>
      <c r="E13" s="64" t="s">
        <v>804</v>
      </c>
      <c r="F13" s="72" t="str">
        <f t="array" ref="F13">XLOOKUP(C13,'Master Data'!C:C,'Master Data'!E:E)</f>
        <v>Amar Keshav Khote</v>
      </c>
      <c r="G13" s="72" t="str">
        <f t="array" ref="G13">XLOOKUP(C13,'Master Data'!C:C,'Master Data'!F:F)</f>
        <v>Shubhangi Amar Khote</v>
      </c>
      <c r="H13" s="75" t="s">
        <v>16</v>
      </c>
      <c r="I13" s="72" t="str">
        <f t="array" ref="I13">XLOOKUP(C13,'Master Data'!C:C,'Master Data'!H:H)</f>
        <v>All that piece and parcel of the property being Apartment/Flat No. 311, admeasuring 37.77 Sq. Mtrs. carpet area, along with balcony admeasuring 4.59 Sq. Mtrs. and one covered car parking space, situated on the Second Residential Habitable Floor, in Building/Tower “D” of the project known as “Life Republic – Sector R-10 / Avenue-10 (Universe) Phase-4”, constructed on land bearing New Survey No. 86 (Old Survey No. 78/1 Part, 80, 81 Part and others), New Survey No. 74/B (Old Survey No. 74/2, 74/3, 74/9/2 and others) and out of Survey Nos. 124/1/1 (Part), 124/1/2 (Part), 124/2 (Part) and others, situated at Villages Jambe, Nere and Marunji, Taluka Mulshi, District Pune, together with all rights, easements and appurtenances thereto.</v>
      </c>
      <c r="J13" s="72" t="str">
        <f t="array" ref="J13">XLOOKUP(C13,'Master Data'!C:C,'Master Data'!I:I)</f>
        <v>.</v>
      </c>
      <c r="K13" s="72" t="str">
        <f t="array" ref="K13">XLOOKUP(C13,'Master Data'!C:C,'Master Data'!J:J)</f>
        <v/>
      </c>
      <c r="L13" s="74" t="str">
        <f t="array" ref="L13">XLOOKUP(C:C,TSR_Completion!C:C,TSR_Completion!M:M)</f>
        <v>Completed and Issued</v>
      </c>
      <c r="M13" s="46" t="s">
        <v>800</v>
      </c>
      <c r="N13" s="4"/>
      <c r="O13" s="4"/>
      <c r="P13" s="4"/>
      <c r="Q13" s="4"/>
      <c r="R13" s="4"/>
      <c r="S13" s="4"/>
      <c r="T13" s="4"/>
      <c r="U13" s="4"/>
      <c r="V13" s="4"/>
      <c r="W13" s="4"/>
      <c r="X13" s="4"/>
      <c r="Y13" s="4"/>
    </row>
    <row r="14">
      <c r="A14" s="6">
        <v>587.0</v>
      </c>
      <c r="B14" s="6" t="s">
        <v>158</v>
      </c>
      <c r="C14" s="10">
        <v>7.7000251513E10</v>
      </c>
      <c r="D14" s="72" t="str">
        <f t="array" ref="D14">XLOOKUP(C14,'Master Data'!C:C,'Master Data'!D:D)</f>
        <v>Chinchwad</v>
      </c>
      <c r="E14" s="64" t="s">
        <v>805</v>
      </c>
      <c r="F14" s="72" t="str">
        <f t="array" ref="F14">XLOOKUP(C14,'Master Data'!C:C,'Master Data'!E:E)</f>
        <v>Mr. Omprakash Sharma</v>
      </c>
      <c r="G14" s="72" t="str">
        <f t="array" ref="G14">XLOOKUP(C14,'Master Data'!C:C,'Master Data'!F:F)</f>
        <v>Mrs. Kiran Devi, W/o. Omprakash Sharma</v>
      </c>
      <c r="H14" s="72" t="str">
        <f t="array" ref="H14">XLOOKUP(C14,'Master Data'!C:C,'Master Data'!G:G)</f>
        <v>Builder Purchase</v>
      </c>
      <c r="I14" s="72" t="str">
        <f t="array" ref="I14">XLOOKUP(C14,'Master Data'!C:C,'Master Data'!H:H)</f>
        <v>All that piece and parcel of the Flat No.301 admeasuring 25.35 Sq. Mtrs. (Carpet Area) along with Enclosed Balcony admeasuring 7.45 Sq. Mtrs. and Open Balcony admeasuring 2.80 Sq. Mtrs. on the Third Floor, in the said project known as "Lotus Residency", constructed on the Private Plot No. 11 and 12 carved out of Survey No. 13/1A/3/2, situated at Village – Mamrudi, Taluka – Haveli, District – Pune and within local limits of Pimpri Chinchwad Municipal Corporation, Pimpri.</v>
      </c>
      <c r="J14" s="72" t="str">
        <f t="array" ref="J14">XLOOKUP(C14,'Master Data'!C:C,'Master Data'!I:I)</f>
        <v>.</v>
      </c>
      <c r="K14" s="72" t="str">
        <f t="array" ref="K14">XLOOKUP(C14,'Master Data'!C:C,'Master Data'!J:J)</f>
        <v/>
      </c>
      <c r="L14" s="74" t="str">
        <f t="array" ref="L14">XLOOKUP(C:C,TSR_Completion!C:C,TSR_Completion!M:M)</f>
        <v>Completed and Issued</v>
      </c>
      <c r="M14" s="46" t="s">
        <v>800</v>
      </c>
      <c r="N14" s="4"/>
      <c r="O14" s="4"/>
      <c r="P14" s="4"/>
      <c r="Q14" s="4"/>
      <c r="R14" s="4"/>
      <c r="S14" s="4"/>
      <c r="T14" s="4"/>
      <c r="U14" s="4"/>
      <c r="V14" s="4"/>
      <c r="W14" s="4"/>
      <c r="X14" s="4"/>
      <c r="Y14" s="4"/>
    </row>
    <row r="15">
      <c r="A15" s="6">
        <v>574.0</v>
      </c>
      <c r="B15" s="6" t="s">
        <v>158</v>
      </c>
      <c r="C15" s="10">
        <v>7.7000240495E10</v>
      </c>
      <c r="D15" s="72" t="str">
        <f t="array" ref="D15">XLOOKUP(C15,'Master Data'!C:C,'Master Data'!D:D)</f>
        <v>Hadapsar</v>
      </c>
      <c r="E15" s="64" t="s">
        <v>806</v>
      </c>
      <c r="F15" s="75" t="s">
        <v>807</v>
      </c>
      <c r="G15" s="75" t="s">
        <v>808</v>
      </c>
      <c r="H15" s="72" t="str">
        <f t="array" ref="H15">XLOOKUP(C15,'Master Data'!C:C,'Master Data'!G:G)</f>
        <v>Plot + Construction</v>
      </c>
      <c r="I15" s="72" t="str">
        <f t="array" ref="I15">XLOOKUP(C15,'Master Data'!C:C,'Master Data'!H:H)</f>
        <v>All that piece and parcel of property bearing Private Plot No. 40, having an area admeasuring of H. 00-00.98 Ares, i.e. 1058 sq. fees., out of the project known as Sai Balaji Greens carved out of land bearing Survey No. 7, Hissa No. 6/6, admeasuring of H. 00-21 Ares, assessed at Rs. 00-75 Ares, situated at Village – Manjari Budruk, Taluka – Haveli, District – Pune</v>
      </c>
      <c r="J15" s="72" t="str">
        <f t="array" ref="J15">XLOOKUP(C15,'Master Data'!C:C,'Master Data'!I:I)</f>
        <v>.</v>
      </c>
      <c r="K15" s="72" t="str">
        <f t="array" ref="K15">XLOOKUP(C15,'Master Data'!C:C,'Master Data'!J:J)</f>
        <v/>
      </c>
      <c r="L15" s="74" t="str">
        <f t="array" ref="L15">XLOOKUP(C:C,TSR_Completion!C:C,TSR_Completion!M:M)</f>
        <v>Completed and Issued</v>
      </c>
      <c r="M15" s="46" t="s">
        <v>798</v>
      </c>
      <c r="N15" s="4"/>
      <c r="O15" s="4"/>
      <c r="P15" s="4"/>
      <c r="Q15" s="4"/>
      <c r="R15" s="4"/>
      <c r="S15" s="4"/>
      <c r="T15" s="4"/>
      <c r="U15" s="4"/>
      <c r="V15" s="4"/>
      <c r="W15" s="4"/>
      <c r="X15" s="4"/>
      <c r="Y15" s="4"/>
    </row>
    <row r="16">
      <c r="A16" s="6">
        <f>A15+1</f>
        <v>575</v>
      </c>
      <c r="B16" s="6" t="s">
        <v>158</v>
      </c>
      <c r="C16" s="10">
        <v>7.7000247265E10</v>
      </c>
      <c r="D16" s="72" t="str">
        <f t="array" ref="D16">XLOOKUP(C16,'Master Data'!C:C,'Master Data'!D:D)</f>
        <v>Kolhapur</v>
      </c>
      <c r="E16" s="64" t="s">
        <v>809</v>
      </c>
      <c r="F16" s="72" t="str">
        <f t="array" ref="F16">XLOOKUP(C16,'Master Data'!C:C,'Master Data'!E:E)</f>
        <v>Mr.Umravati Jakkappa Patil</v>
      </c>
      <c r="G16" s="72" t="str">
        <f t="array" ref="G16">XLOOKUP(C16,'Master Data'!C:C,'Master Data'!F:F)</f>
        <v>Umesh Jakkappa Patil</v>
      </c>
      <c r="H16" s="72" t="str">
        <f t="array" ref="H16">XLOOKUP(C16,'Master Data'!C:C,'Master Data'!G:G)</f>
        <v>HL Premium Seller BT</v>
      </c>
      <c r="I16" s="72" t="str">
        <f t="array" ref="I16">XLOOKUP(C16,'Master Data'!C:C,'Master Data'!H:H)</f>
        <v>All that piece and parcel of non-agricultural property bearing Plot No. 5, having an area admeasuring of 104.80 sq. mtrs., together with construction of RCC building having an area admeasuring of 1150 sq. feets., carved out of Gat No. 282, Hissa No. 26, having an area admeasuring of H. 00-19 Ares, assessed at Rs. 00-22 Paise, situated at Village – Gokul Shirgaon, Taluka – Karveer, District – Kolhapur</v>
      </c>
      <c r="J16" s="72">
        <f t="array" ref="J16">XLOOKUP(C16,'Master Data'!C:C,'Master Data'!I:I)</f>
        <v>99</v>
      </c>
      <c r="K16" s="72" t="str">
        <f t="array" ref="K16">XLOOKUP(C16,'Master Data'!C:C,'Master Data'!J:J)</f>
        <v/>
      </c>
      <c r="L16" s="74" t="str">
        <f t="array" ref="L16">XLOOKUP(C:C,TSR_Completion!C:C,TSR_Completion!M:M)</f>
        <v>Completed and Issued</v>
      </c>
      <c r="M16" s="46" t="s">
        <v>798</v>
      </c>
      <c r="N16" s="4"/>
      <c r="O16" s="4"/>
      <c r="P16" s="4"/>
      <c r="Q16" s="4"/>
      <c r="R16" s="4"/>
      <c r="S16" s="4"/>
      <c r="T16" s="4"/>
      <c r="U16" s="4"/>
      <c r="V16" s="4"/>
      <c r="W16" s="4"/>
      <c r="X16" s="4"/>
      <c r="Y16" s="4"/>
    </row>
    <row r="17">
      <c r="A17" s="6">
        <v>579.0</v>
      </c>
      <c r="B17" s="6" t="s">
        <v>158</v>
      </c>
      <c r="C17" s="10">
        <v>7.700025607E10</v>
      </c>
      <c r="D17" s="72" t="str">
        <f t="array" ref="D17">XLOOKUP(C17,'Master Data'!C:C,'Master Data'!D:D)</f>
        <v>Baner</v>
      </c>
      <c r="E17" s="64" t="s">
        <v>797</v>
      </c>
      <c r="F17" s="72" t="str">
        <f t="array" ref="F17">XLOOKUP(C17,'Master Data'!C:C,'Master Data'!E:E)</f>
        <v>Subrata Nitai Patra</v>
      </c>
      <c r="G17" s="72" t="str">
        <f t="array" ref="G17">XLOOKUP(C17,'Master Data'!C:C,'Master Data'!F:F)</f>
        <v>Nil</v>
      </c>
      <c r="H17" s="72" t="str">
        <f t="array" ref="H17">XLOOKUP(C17,'Master Data'!C:C,'Master Data'!G:G)</f>
        <v>LAP BT + TOP UP</v>
      </c>
      <c r="I17" s="72" t="str">
        <f t="array" ref="I17">XLOOKUP(C17,'Master Data'!C:C,'Master Data'!H:H)</f>
        <v>All that piece and parcel of the property being Residential Apartment No. 7, admeasuring 74.34 Sq. Mtrs. built-up area, situated on the Third Floor, in the building known as “Vitthal Rukhmini Apartment”, constructed on the land bearing City Survey No. 477-A, situated at Raviwar Peth (Gaothan), Pune, Taluka Haveli, District Pune, within the local limits of Pune Municipal Corporation, Pune together with 12.86% undivided share in the common areas and facilities and all other rights, easements and appurtenances thereto.</v>
      </c>
      <c r="J17" s="72" t="str">
        <f t="array" ref="J17">XLOOKUP(C17,'Master Data'!C:C,'Master Data'!I:I)</f>
        <v>.</v>
      </c>
      <c r="K17" s="72" t="str">
        <f t="array" ref="K17">XLOOKUP(C17,'Master Data'!C:C,'Master Data'!J:J)</f>
        <v/>
      </c>
      <c r="L17" s="74" t="str">
        <f t="array" ref="L17">XLOOKUP(C:C,TSR_Completion!C:C,TSR_Completion!M:M)</f>
        <v>Completed and Issued</v>
      </c>
      <c r="M17" s="46" t="s">
        <v>798</v>
      </c>
      <c r="N17" s="4"/>
      <c r="O17" s="4"/>
      <c r="P17" s="4"/>
      <c r="Q17" s="4"/>
      <c r="R17" s="4"/>
      <c r="S17" s="4"/>
      <c r="T17" s="4"/>
      <c r="U17" s="4"/>
      <c r="V17" s="4"/>
      <c r="W17" s="4"/>
      <c r="X17" s="4"/>
      <c r="Y17" s="4"/>
    </row>
    <row r="18">
      <c r="A18" s="6">
        <v>586.0</v>
      </c>
      <c r="B18" s="6" t="s">
        <v>158</v>
      </c>
      <c r="C18" s="10">
        <v>7.7000252808E10</v>
      </c>
      <c r="D18" s="72" t="str">
        <f t="array" ref="D18">XLOOKUP(C18,'Master Data'!C:C,'Master Data'!D:D)</f>
        <v>Baner</v>
      </c>
      <c r="E18" s="64" t="s">
        <v>801</v>
      </c>
      <c r="F18" s="72" t="str">
        <f t="array" ref="F18">XLOOKUP(C18,'Master Data'!C:C,'Master Data'!E:E)</f>
        <v>Prem Wilfred alosias Paul Monis </v>
      </c>
      <c r="G18" s="72" t="str">
        <f t="array" ref="G18">XLOOKUP(C18,'Master Data'!C:C,'Master Data'!F:F)</f>
        <v>Zitha Pinto</v>
      </c>
      <c r="H18" s="72" t="str">
        <f t="array" ref="H18">XLOOKUP(C18,'Master Data'!C:C,'Master Data'!G:G)</f>
        <v>HL Resale</v>
      </c>
      <c r="I18" s="72" t="str">
        <f t="array" ref="I18">XLOOKUP(C18,'Master Data'!C:C,'Master Data'!H:H)</f>
        <v>All that piece and parcel of property bearing Flat No. B-404, having an area admeasuring of 55.28 sq. mtrs., i.e. 595 sq. feets., (Carpet), along with terrace area admeasuring of 4.18 sq. mtrs., i.e. 45 sq. feets., situated on the Fourth Floor, out of the project known as “Nital Residency”, constructed on the entire land property, i.e. Survey No. 35, Hissa No. 1, situated at Village – Narhe, Taluka – Haveli, District – Pune and within local limits of Pune Municipal Corporation, Pune.</v>
      </c>
      <c r="J18" s="72" t="str">
        <f t="array" ref="J18">XLOOKUP(C18,'Master Data'!C:C,'Master Data'!I:I)</f>
        <v>.</v>
      </c>
      <c r="K18" s="72" t="str">
        <f t="array" ref="K18">XLOOKUP(C18,'Master Data'!C:C,'Master Data'!J:J)</f>
        <v/>
      </c>
      <c r="L18" s="74" t="str">
        <f t="array" ref="L18">XLOOKUP(C:C,TSR_Completion!C:C,TSR_Completion!M:M)</f>
        <v>Completed and Issued</v>
      </c>
      <c r="M18" s="46" t="s">
        <v>798</v>
      </c>
      <c r="N18" s="4"/>
      <c r="O18" s="4"/>
      <c r="P18" s="4"/>
      <c r="Q18" s="4"/>
      <c r="R18" s="4"/>
      <c r="S18" s="4"/>
      <c r="T18" s="4"/>
      <c r="U18" s="4"/>
      <c r="V18" s="4"/>
      <c r="W18" s="4"/>
      <c r="X18" s="4"/>
      <c r="Y18" s="4"/>
    </row>
    <row r="19">
      <c r="A19" s="6">
        <v>600.0</v>
      </c>
      <c r="B19" s="6" t="s">
        <v>158</v>
      </c>
      <c r="C19" s="10">
        <v>7.7000258297E10</v>
      </c>
      <c r="D19" s="72" t="str">
        <f t="array" ref="D19">XLOOKUP(C19,'Master Data'!C:C,'Master Data'!D:D)</f>
        <v>Kolhapur</v>
      </c>
      <c r="E19" s="64" t="s">
        <v>810</v>
      </c>
      <c r="F19" s="72" t="str">
        <f t="array" ref="F19">XLOOKUP(C19,'Master Data'!C:C,'Master Data'!E:E)</f>
        <v>Anand Madhukar Patil</v>
      </c>
      <c r="G19" s="72" t="str">
        <f t="array" ref="G19">XLOOKUP(C19,'Master Data'!C:C,'Master Data'!F:F)</f>
        <v>Rupali Anand patil</v>
      </c>
      <c r="H19" s="72" t="str">
        <f t="array" ref="H19">XLOOKUP(C19,'Master Data'!C:C,'Master Data'!G:G)</f>
        <v>Regular HL BT+ TOP-UP</v>
      </c>
      <c r="I19" s="72" t="str">
        <f t="array" ref="I19">XLOOKUP(C19,'Master Data'!C:C,'Master Data'!H:H)</f>
        <v>All that piece and parcel of the property bearing Plot No. 64A out of Gut No. 546/1/B/64/A (formed under Gunthewari), admeasuring 204.46 Sq. Mtrs. i.e. 2200 Sq. Ft., situated at E Ward, Kasba Bawda, within the limits of Kolhapur Municipal Corporation, together with a structure thereon comprising a tin shed construction admeasuring 45.00 Sq. Mtrs. (built-up), along with all rights, easements and appurtenances attached thereto</v>
      </c>
      <c r="J19" s="72" t="str">
        <f t="array" ref="J19">XLOOKUP(C19,'Master Data'!C:C,'Master Data'!I:I)</f>
        <v/>
      </c>
      <c r="K19" s="72" t="str">
        <f t="array" ref="K19">XLOOKUP(C19,'Master Data'!C:C,'Master Data'!J:J)</f>
        <v/>
      </c>
      <c r="L19" s="74" t="str">
        <f t="array" ref="L19">XLOOKUP(C:C,TSR_Completion!C:C,TSR_Completion!M:M)</f>
        <v>Completed and Issued</v>
      </c>
      <c r="M19" s="46" t="s">
        <v>798</v>
      </c>
      <c r="N19" s="4"/>
      <c r="O19" s="4"/>
      <c r="P19" s="4"/>
      <c r="Q19" s="4"/>
      <c r="R19" s="4"/>
      <c r="S19" s="4"/>
      <c r="T19" s="4"/>
      <c r="U19" s="4"/>
      <c r="V19" s="4"/>
      <c r="W19" s="4"/>
      <c r="X19" s="4"/>
      <c r="Y19" s="4"/>
    </row>
    <row r="20">
      <c r="A20" s="6">
        <v>601.0</v>
      </c>
      <c r="B20" s="6" t="s">
        <v>158</v>
      </c>
      <c r="C20" s="10">
        <v>7.7000256309E10</v>
      </c>
      <c r="D20" s="72" t="str">
        <f t="array" ref="D20">XLOOKUP(C20,'Master Data'!C:C,'Master Data'!D:D)</f>
        <v>Kolhapur</v>
      </c>
      <c r="E20" s="64" t="s">
        <v>810</v>
      </c>
      <c r="F20" s="72" t="str">
        <f t="array" ref="F20">XLOOKUP(C20,'Master Data'!C:C,'Master Data'!E:E)</f>
        <v>Dipak Sambhaji Kadam</v>
      </c>
      <c r="G20" s="72" t="str">
        <f t="array" ref="G20">XLOOKUP(C20,'Master Data'!C:C,'Master Data'!F:F)</f>
        <v>Rahul Sambhaji Kadam Bharati Rahul Kadam</v>
      </c>
      <c r="H20" s="72" t="str">
        <f t="array" ref="H20">XLOOKUP(C20,'Master Data'!C:C,'Master Data'!G:G)</f>
        <v>Regular P+C</v>
      </c>
      <c r="I20" s="72" t="str">
        <f t="array" ref="I20">XLOOKUP(C20,'Master Data'!C:C,'Master Data'!H:H)</f>
        <v>A ward Karvir Kolhapur S.No.896</v>
      </c>
      <c r="J20" s="72" t="str">
        <f t="array" ref="J20">XLOOKUP(C20,'Master Data'!C:C,'Master Data'!I:I)</f>
        <v/>
      </c>
      <c r="K20" s="72" t="str">
        <f t="array" ref="K20">XLOOKUP(C20,'Master Data'!C:C,'Master Data'!J:J)</f>
        <v/>
      </c>
      <c r="L20" s="74" t="str">
        <f t="array" ref="L20">XLOOKUP(C:C,TSR_Completion!C:C,TSR_Completion!M:M)</f>
        <v>Completed and Issued</v>
      </c>
      <c r="M20" s="46" t="s">
        <v>798</v>
      </c>
      <c r="N20" s="4"/>
      <c r="O20" s="4"/>
      <c r="P20" s="4"/>
      <c r="Q20" s="4"/>
      <c r="R20" s="4"/>
      <c r="S20" s="4"/>
      <c r="T20" s="4"/>
      <c r="U20" s="4"/>
      <c r="V20" s="4"/>
      <c r="W20" s="4"/>
      <c r="X20" s="4"/>
      <c r="Y20" s="4"/>
    </row>
    <row r="21">
      <c r="A21" s="6">
        <v>603.0</v>
      </c>
      <c r="B21" s="6" t="s">
        <v>158</v>
      </c>
      <c r="C21" s="6">
        <v>7.7000255771E10</v>
      </c>
      <c r="D21" s="72" t="str">
        <f t="array" ref="D21">XLOOKUP(C21,'Master Data'!C:C,'Master Data'!D:D)</f>
        <v>Kolhapur</v>
      </c>
      <c r="E21" s="64" t="s">
        <v>810</v>
      </c>
      <c r="F21" s="72" t="str">
        <f t="array" ref="F21">XLOOKUP(C21,'Master Data'!C:C,'Master Data'!E:E)</f>
        <v> Satish Mahadev Vetale</v>
      </c>
      <c r="G21" s="72" t="str">
        <f t="array" ref="G21">XLOOKUP(C21,'Master Data'!C:C,'Master Data'!F:F)</f>
        <v> Radhika Satish Vetale</v>
      </c>
      <c r="H21" s="72" t="str">
        <f t="array" ref="H21">XLOOKUP(C21,'Master Data'!C:C,'Master Data'!G:G)</f>
        <v>BT + TOP-UP</v>
      </c>
      <c r="I21" s="72" t="str">
        <f t="array" ref="I21">XLOOKUP(C21,'Master Data'!C:C,'Master Data'!H:H)</f>
        <v>Kasababavda Kolhapur S.No.1476</v>
      </c>
      <c r="J21" s="72" t="str">
        <f t="array" ref="J21">XLOOKUP(C21,'Master Data'!C:C,'Master Data'!I:I)</f>
        <v/>
      </c>
      <c r="K21" s="72" t="str">
        <f t="array" ref="K21">XLOOKUP(C21,'Master Data'!C:C,'Master Data'!J:J)</f>
        <v/>
      </c>
      <c r="L21" s="74" t="str">
        <f t="array" ref="L21">XLOOKUP(C:C,TSR_Completion!C:C,TSR_Completion!M:M)</f>
        <v>Completed and Issued</v>
      </c>
      <c r="M21" s="46" t="s">
        <v>798</v>
      </c>
      <c r="N21" s="4"/>
      <c r="O21" s="4"/>
      <c r="P21" s="4"/>
      <c r="Q21" s="4"/>
      <c r="R21" s="4"/>
      <c r="S21" s="4"/>
      <c r="T21" s="4"/>
      <c r="U21" s="4"/>
      <c r="V21" s="4"/>
      <c r="W21" s="4"/>
      <c r="X21" s="4"/>
      <c r="Y21" s="4"/>
    </row>
    <row r="22">
      <c r="A22" s="6">
        <v>602.0</v>
      </c>
      <c r="B22" s="6" t="s">
        <v>158</v>
      </c>
      <c r="C22" s="6">
        <v>7.7000251849E10</v>
      </c>
      <c r="D22" s="72" t="str">
        <f t="array" ref="D22">XLOOKUP(C22,'Master Data'!C:C,'Master Data'!D:D)</f>
        <v>Kolhapur</v>
      </c>
      <c r="E22" s="64" t="s">
        <v>810</v>
      </c>
      <c r="F22" s="72" t="str">
        <f t="array" ref="F22">XLOOKUP(C22,'Master Data'!C:C,'Master Data'!E:E)</f>
        <v> Suhas Appasaheb Gavali</v>
      </c>
      <c r="G22" s="72" t="str">
        <f t="array" ref="G22">XLOOKUP(C22,'Master Data'!C:C,'Master Data'!F:F)</f>
        <v>Rajshri Suhas Gavali</v>
      </c>
      <c r="H22" s="72" t="str">
        <f t="array" ref="H22">XLOOKUP(C22,'Master Data'!C:C,'Master Data'!G:G)</f>
        <v>Regular Lap BT+Topup</v>
      </c>
      <c r="I22" s="72" t="str">
        <f t="array" ref="I22">XLOOKUP(C22,'Master Data'!C:C,'Master Data'!H:H)</f>
        <v>A ward Karvir Kolhapur S.No. 858</v>
      </c>
      <c r="J22" s="72" t="str">
        <f t="array" ref="J22">XLOOKUP(C22,'Master Data'!C:C,'Master Data'!I:I)</f>
        <v/>
      </c>
      <c r="K22" s="72" t="str">
        <f t="array" ref="K22">XLOOKUP(C22,'Master Data'!C:C,'Master Data'!J:J)</f>
        <v/>
      </c>
      <c r="L22" s="74" t="str">
        <f t="array" ref="L22">XLOOKUP(C:C,TSR_Completion!C:C,TSR_Completion!M:M)</f>
        <v>Completed and Issued</v>
      </c>
      <c r="M22" s="46" t="s">
        <v>798</v>
      </c>
      <c r="N22" s="4"/>
      <c r="O22" s="4"/>
      <c r="P22" s="4"/>
      <c r="Q22" s="4"/>
      <c r="R22" s="4"/>
      <c r="S22" s="4"/>
      <c r="T22" s="4"/>
      <c r="U22" s="4"/>
      <c r="V22" s="4"/>
      <c r="W22" s="4"/>
      <c r="X22" s="4"/>
      <c r="Y22" s="4"/>
    </row>
    <row r="23">
      <c r="A23" s="6">
        <v>588.0</v>
      </c>
      <c r="B23" s="6" t="s">
        <v>158</v>
      </c>
      <c r="C23" s="6">
        <v>7.792148754E9</v>
      </c>
      <c r="D23" s="72" t="str">
        <f t="array" ref="D23">XLOOKUP(C23,'Master Data'!C:C,'Master Data'!D:D)</f>
        <v>Chinchwad</v>
      </c>
      <c r="E23" s="64" t="s">
        <v>805</v>
      </c>
      <c r="F23" s="72" t="str">
        <f t="array" ref="F23">XLOOKUP(C23,'Master Data'!C:C,'Master Data'!E:E)</f>
        <v>Vijendrasingh m tak</v>
      </c>
      <c r="G23" s="72" t="str">
        <f t="array" ref="G23">XLOOKUP(C23,'Master Data'!C:C,'Master Data'!F:F)</f>
        <v/>
      </c>
      <c r="H23" s="72" t="str">
        <f t="array" ref="H23">XLOOKUP(C23,'Master Data'!C:C,'Master Data'!G:G)</f>
        <v> LAP</v>
      </c>
      <c r="I23" s="72" t="str">
        <f t="array" ref="I23">XLOOKUP(C23,'Master Data'!C:C,'Master Data'!H:H)</f>
        <v>Lohagaon S.No.71</v>
      </c>
      <c r="J23" s="72" t="str">
        <f t="array" ref="J23">XLOOKUP(C23,'Master Data'!C:C,'Master Data'!I:I)</f>
        <v/>
      </c>
      <c r="K23" s="72" t="str">
        <f t="array" ref="K23">XLOOKUP(C23,'Master Data'!C:C,'Master Data'!J:J)</f>
        <v/>
      </c>
      <c r="L23" s="74" t="str">
        <f t="array" ref="L23">XLOOKUP(C:C,TSR_Completion!C:C,TSR_Completion!M:M)</f>
        <v>#N/A</v>
      </c>
      <c r="M23" s="46" t="s">
        <v>811</v>
      </c>
      <c r="N23" s="4"/>
      <c r="O23" s="4"/>
      <c r="P23" s="4"/>
      <c r="Q23" s="4"/>
      <c r="R23" s="4"/>
      <c r="S23" s="4"/>
      <c r="T23" s="4"/>
      <c r="U23" s="4"/>
      <c r="V23" s="4"/>
      <c r="W23" s="4"/>
      <c r="X23" s="4"/>
      <c r="Y23" s="4"/>
    </row>
    <row r="24">
      <c r="A24" s="6">
        <v>589.0</v>
      </c>
      <c r="B24" s="6" t="s">
        <v>158</v>
      </c>
      <c r="C24" s="6">
        <v>7.792151842E9</v>
      </c>
      <c r="D24" s="72" t="str">
        <f t="array" ref="D24">XLOOKUP(C24,'Master Data'!C:C,'Master Data'!D:D)</f>
        <v>Wakad</v>
      </c>
      <c r="E24" s="64" t="s">
        <v>810</v>
      </c>
      <c r="F24" s="72" t="str">
        <f t="array" ref="F24">XLOOKUP(C24,'Master Data'!C:C,'Master Data'!E:E)</f>
        <v>Prabhakar Nagesh Tandale</v>
      </c>
      <c r="G24" s="72" t="str">
        <f t="array" ref="G24">XLOOKUP(C24,'Master Data'!C:C,'Master Data'!F:F)</f>
        <v>Aruna Prabhakar Tandale</v>
      </c>
      <c r="H24" s="72" t="str">
        <f t="array" ref="H24">XLOOKUP(C24,'Master Data'!C:C,'Master Data'!G:G)</f>
        <v>Builder Purchase Non APF</v>
      </c>
      <c r="I24" s="72" t="str">
        <f t="array" ref="I24">XLOOKUP(C24,'Master Data'!C:C,'Master Data'!H:H)</f>
        <v>All that piece and parcel of the Flat No. 403, admeasuring Carpet Area 37.44 Sq. Mtrs. along with Sit-out Area 3.57 Sq. Mtrs., situated on the Fourth Floor, in Building “D” (EWS) of the project known as “Gangadham Towers”, constructed on the land bearing CTS No. 370, Hissa No. 4 (earlier Survey No. 578, Hissa No. 2), situated at Village Bibwewadi (Munjeri), Taluka Pune City, District Pune, within the limits of Pune Municipal Corporation.</v>
      </c>
      <c r="J24" s="72" t="str">
        <f t="array" ref="J24">XLOOKUP(C24,'Master Data'!C:C,'Master Data'!I:I)</f>
        <v/>
      </c>
      <c r="K24" s="72" t="str">
        <f t="array" ref="K24">XLOOKUP(C24,'Master Data'!C:C,'Master Data'!J:J)</f>
        <v/>
      </c>
      <c r="L24" s="74" t="str">
        <f t="array" ref="L24">XLOOKUP(C:C,TSR_Completion!C:C,TSR_Completion!M:M)</f>
        <v>Completed and Issued</v>
      </c>
      <c r="M24" s="46" t="s">
        <v>798</v>
      </c>
      <c r="N24" s="4"/>
      <c r="O24" s="4"/>
      <c r="P24" s="4"/>
      <c r="Q24" s="4"/>
      <c r="R24" s="4"/>
      <c r="S24" s="4"/>
      <c r="T24" s="4"/>
      <c r="U24" s="4"/>
      <c r="V24" s="4"/>
      <c r="W24" s="4"/>
      <c r="X24" s="4"/>
      <c r="Y24" s="4"/>
    </row>
    <row r="25">
      <c r="A25" s="6"/>
      <c r="B25" s="6" t="s">
        <v>158</v>
      </c>
      <c r="C25" s="6">
        <v>7.7000250398E10</v>
      </c>
      <c r="D25" s="72" t="str">
        <f t="array" ref="D25">XLOOKUP(C25,'Master Data'!C:C,'Master Data'!D:D)</f>
        <v>Wakad</v>
      </c>
      <c r="E25" s="64" t="s">
        <v>805</v>
      </c>
      <c r="F25" s="72" t="str">
        <f t="array" ref="F25">XLOOKUP(C25,'Master Data'!C:C,'Master Data'!E:E)</f>
        <v>Patansing Patlawat</v>
      </c>
      <c r="G25" s="72" t="str">
        <f t="array" ref="G25">XLOOKUP(C25,'Master Data'!C:C,'Master Data'!F:F)</f>
        <v/>
      </c>
      <c r="H25" s="72" t="str">
        <f t="array" ref="H25">XLOOKUP(C25,'Master Data'!C:C,'Master Data'!G:G)</f>
        <v>LAP</v>
      </c>
      <c r="I25" s="72" t="str">
        <f t="array" ref="I25">XLOOKUP(C25,'Master Data'!C:C,'Master Data'!H:H)</f>
        <v>Nande Pune S.No.35</v>
      </c>
      <c r="J25" s="72" t="str">
        <f t="array" ref="J25">XLOOKUP(C25,'Master Data'!C:C,'Master Data'!I:I)</f>
        <v/>
      </c>
      <c r="K25" s="72" t="str">
        <f t="array" ref="K25">XLOOKUP(C25,'Master Data'!C:C,'Master Data'!J:J)</f>
        <v/>
      </c>
      <c r="L25" s="74" t="str">
        <f t="array" ref="L25">XLOOKUP(C:C,TSR_Completion!C:C,TSR_Completion!M:M)</f>
        <v>#N/A</v>
      </c>
      <c r="M25" s="46" t="s">
        <v>800</v>
      </c>
      <c r="N25" s="4"/>
      <c r="O25" s="4"/>
      <c r="P25" s="4"/>
      <c r="Q25" s="4"/>
      <c r="R25" s="4"/>
      <c r="S25" s="4"/>
      <c r="T25" s="4"/>
      <c r="U25" s="4"/>
      <c r="V25" s="4"/>
      <c r="W25" s="4"/>
      <c r="X25" s="4"/>
      <c r="Y25" s="4"/>
    </row>
    <row r="26">
      <c r="A26" s="6">
        <v>595.0</v>
      </c>
      <c r="B26" s="6" t="s">
        <v>158</v>
      </c>
      <c r="C26" s="6">
        <v>7.7000256348E10</v>
      </c>
      <c r="D26" s="72" t="str">
        <f t="array" ref="D26">XLOOKUP(C26,'Master Data'!C:C,'Master Data'!D:D)</f>
        <v>Main</v>
      </c>
      <c r="E26" s="64" t="s">
        <v>802</v>
      </c>
      <c r="F26" s="72" t="str">
        <f t="array" ref="F26">XLOOKUP(C26,'Master Data'!C:C,'Master Data'!E:E)</f>
        <v>Mayur Shankar Amrale </v>
      </c>
      <c r="G26" s="72" t="str">
        <f t="array" ref="G26">XLOOKUP(C26,'Master Data'!C:C,'Master Data'!F:F)</f>
        <v>Kunal Shankar Amrale</v>
      </c>
      <c r="H26" s="72" t="str">
        <f t="array" ref="H26">XLOOKUP(C26,'Master Data'!C:C,'Master Data'!G:G)</f>
        <v>Case self contraction</v>
      </c>
      <c r="I26" s="72" t="str">
        <f t="array" ref="I26">XLOOKUP(C26,'Master Data'!C:C,'Master Data'!H:H)</f>
        <v>All that piece and parcel of property bearing CTS No. 41, having an area admeasuring of 164.31 sq. mtrs., situated at Village – Ambethan, Taluka – Khed, District – Pune.</v>
      </c>
      <c r="J26" s="72" t="str">
        <f t="array" ref="J26">XLOOKUP(C26,'Master Data'!C:C,'Master Data'!I:I)</f>
        <v>.</v>
      </c>
      <c r="K26" s="72" t="str">
        <f t="array" ref="K26">XLOOKUP(C26,'Master Data'!C:C,'Master Data'!J:J)</f>
        <v/>
      </c>
      <c r="L26" s="74" t="str">
        <f t="array" ref="L26">XLOOKUP(C:C,TSR_Completion!C:C,TSR_Completion!M:M)</f>
        <v>Completed and Issued</v>
      </c>
      <c r="M26" s="46" t="s">
        <v>798</v>
      </c>
      <c r="N26" s="4"/>
      <c r="O26" s="4"/>
      <c r="P26" s="4"/>
      <c r="Q26" s="4"/>
      <c r="R26" s="4"/>
      <c r="S26" s="4"/>
      <c r="T26" s="4"/>
      <c r="U26" s="4"/>
      <c r="V26" s="4"/>
      <c r="W26" s="4"/>
      <c r="X26" s="4"/>
      <c r="Y26" s="4"/>
    </row>
    <row r="27">
      <c r="A27" s="6">
        <v>594.0</v>
      </c>
      <c r="B27" s="6" t="s">
        <v>158</v>
      </c>
      <c r="C27" s="25">
        <v>7.700025465E10</v>
      </c>
      <c r="D27" s="72" t="str">
        <f t="array" ref="D27">XLOOKUP(C27,'Master Data'!C:C,'Master Data'!D:D)</f>
        <v>Wakad</v>
      </c>
      <c r="E27" s="64" t="s">
        <v>812</v>
      </c>
      <c r="F27" s="72" t="str">
        <f t="array" ref="F27">XLOOKUP(C27,'Master Data'!C:C,'Master Data'!E:E)</f>
        <v> Bhagwandatta Varma </v>
      </c>
      <c r="G27" s="72" t="str">
        <f t="array" ref="G27">XLOOKUP(C27,'Master Data'!C:C,'Master Data'!F:F)</f>
        <v>Nirmala Varma </v>
      </c>
      <c r="H27" s="72" t="str">
        <f t="array" ref="H27">XLOOKUP(C27,'Master Data'!C:C,'Master Data'!G:G)</f>
        <v>Lap</v>
      </c>
      <c r="I27" s="72" t="str">
        <f t="array" ref="I27">XLOOKUP(C27,'Master Data'!C:C,'Master Data'!H:H)</f>
        <v>All that piece and parcel of the property being Flat No. 13, admeasuring 850 Sq. Ft. i.e. 78.99 Sq. Mtrs., situated on the Second Floor, in Wing “B” of Building “B”, in the building known as “Swapnanagari”, constructed on land bearing Gat Nos. 381, 382, 383, 384, 385, 386, 370, 390 and 484/3, admeasuring total non-agricultural area 44,476.91 Sq. Mtrs., situated at Village Chakan, Taluka Khed, District Pune, together with all rights, easements and appurtenances thereto.</v>
      </c>
      <c r="J27" s="72" t="str">
        <f t="array" ref="J27">XLOOKUP(C27,'Master Data'!C:C,'Master Data'!I:I)</f>
        <v/>
      </c>
      <c r="K27" s="72" t="str">
        <f t="array" ref="K27">XLOOKUP(C27,'Master Data'!C:C,'Master Data'!J:J)</f>
        <v/>
      </c>
      <c r="L27" s="74" t="str">
        <f t="array" ref="L27">XLOOKUP(C:C,TSR_Completion!C:C,TSR_Completion!M:M)</f>
        <v>Completed and Issued</v>
      </c>
      <c r="M27" s="46" t="s">
        <v>798</v>
      </c>
      <c r="N27" s="4"/>
      <c r="O27" s="4"/>
      <c r="P27" s="4"/>
      <c r="Q27" s="4"/>
      <c r="R27" s="4"/>
      <c r="S27" s="4"/>
      <c r="T27" s="4"/>
      <c r="U27" s="4"/>
      <c r="V27" s="4"/>
      <c r="W27" s="4"/>
      <c r="X27" s="4"/>
      <c r="Y27" s="4"/>
    </row>
    <row r="28">
      <c r="A28" s="6">
        <v>639.0</v>
      </c>
      <c r="B28" s="6" t="s">
        <v>158</v>
      </c>
      <c r="C28" s="25">
        <v>7.70002537E10</v>
      </c>
      <c r="D28" s="72" t="str">
        <f t="array" ref="D28">XLOOKUP(C28,'Master Data'!C:C,'Master Data'!D:D)</f>
        <v>Kolhapur</v>
      </c>
      <c r="E28" s="64" t="s">
        <v>812</v>
      </c>
      <c r="F28" s="72" t="str">
        <f t="array" ref="F28">XLOOKUP(C28,'Master Data'!C:C,'Master Data'!E:E)</f>
        <v>Pawan Tukaram Bhosale </v>
      </c>
      <c r="G28" s="72" t="str">
        <f t="array" ref="G28">XLOOKUP(C28,'Master Data'!C:C,'Master Data'!F:F)</f>
        <v>Sharada Tukaram Bhosale</v>
      </c>
      <c r="H28" s="72" t="str">
        <f t="array" ref="H28">XLOOKUP(C28,'Master Data'!C:C,'Master Data'!G:G)</f>
        <v>Resale Purchase - Apana Ghar Regular</v>
      </c>
      <c r="I28" s="72" t="str">
        <f t="array" ref="I28">XLOOKUP(C28,'Master Data'!C:C,'Master Data'!H:H)</f>
        <v>All that piece and parcel of Flat No. 201, admeasuring 47.08 Sq. Mtrs. carpet area and 62.45 Sq. Mtrs. super built-up area, situated on the Second Floor of the building known as “Tulip Buds”, constructed on land bearing R.S. No. 529/1, T.P. Scheme No. 3, Final Plot No. 30 (Part), situated at Kasba Karveer, Taluka Karveer, ‘E’ Ward, Kolhapur.</v>
      </c>
      <c r="J28" s="72" t="str">
        <f t="array" ref="J28">XLOOKUP(C28,'Master Data'!C:C,'Master Data'!I:I)</f>
        <v/>
      </c>
      <c r="K28" s="72" t="str">
        <f t="array" ref="K28">XLOOKUP(C28,'Master Data'!C:C,'Master Data'!J:J)</f>
        <v/>
      </c>
      <c r="L28" s="74" t="str">
        <f t="array" ref="L28">XLOOKUP(C:C,TSR_Completion!C:C,TSR_Completion!M:M)</f>
        <v>Completed and Issued</v>
      </c>
      <c r="M28" s="46" t="s">
        <v>813</v>
      </c>
      <c r="N28" s="4"/>
      <c r="O28" s="4"/>
      <c r="P28" s="4"/>
      <c r="Q28" s="4"/>
      <c r="R28" s="4"/>
      <c r="S28" s="4"/>
      <c r="T28" s="4"/>
      <c r="U28" s="4"/>
      <c r="V28" s="4"/>
      <c r="W28" s="4"/>
      <c r="X28" s="4"/>
      <c r="Y28" s="4"/>
    </row>
    <row r="29">
      <c r="A29" s="6">
        <v>596.0</v>
      </c>
      <c r="B29" s="6" t="s">
        <v>158</v>
      </c>
      <c r="C29" s="25">
        <v>7.7000232406E10</v>
      </c>
      <c r="D29" s="72" t="str">
        <f t="array" ref="D29">XLOOKUP(C29,'Master Data'!C:C,'Master Data'!D:D)</f>
        <v>Baner</v>
      </c>
      <c r="E29" s="64" t="s">
        <v>812</v>
      </c>
      <c r="F29" s="72" t="str">
        <f t="array" ref="F29">XLOOKUP(C29,'Master Data'!C:C,'Master Data'!E:E)</f>
        <v>Saumya Umeshkumar Trivedi</v>
      </c>
      <c r="G29" s="72" t="str">
        <f t="array" ref="G29">XLOOKUP(C29,'Master Data'!C:C,'Master Data'!F:F)</f>
        <v/>
      </c>
      <c r="H29" s="72" t="str">
        <f t="array" ref="H29">XLOOKUP(C29,'Master Data'!C:C,'Master Data'!G:G)</f>
        <v> HL Resale</v>
      </c>
      <c r="I29" s="72" t="str">
        <f t="array" ref="I29">XLOOKUP(C29,'Master Data'!C:C,'Master Data'!H:H)</f>
        <v>All that piece and parcel of the Flat No. 601, admeasuring Carpet Area 41.17 Sq. Mtrs. i.e. 443 Sq. Ft. along with additional saleable terrace area admeasuring 3.25 Sq. Mtrs. i.e. 35 Sq. Ft., situated on the Sixth Floor of Wing “H” in the project known as “Akruti Countrywoods”, constructed on land bearing Survey Nos. 45/1/1, 45/1/4, 45/1/4/1, 45/1/4/6, 45/1/4/8A, 45/2/1, 45/2/2, 45/3/1, 45/3/2, 45/3/3, 45/3/9, 45/3/11, 45/3/14 (part), 45/3/15, 45/3/16, 45/3/17, 45/3/18, 45/4/1, 45/4/2 (part), 45/5/1, 45/5/2, 45/5/4, 45/5/5 and its sub-divisions, 45/5/6, 45/5/7, 45/5/9, 45/5/13, 45/5/15, 45/5/16, 45/6/1 (part), 45/6/2, 45/6/3, 45/6/4 and its sub-divisions, 45/6/5, 45/6/6, 45/7/1, 45/7/2, 45/7/3, 45/7/4, 45/7/5 and its sub-divisions, 45/7/6 (part), 45/7/7, 45/7/8 and its sub-divisions, 45/7/9 and its sub-divisions, 45/3/10, 45/3/12, 45/3/13, 45/3/19, 45/3/20, 45/3/21, 45/3/22 and its sub-divisions, 45/5/3, 45/5/8, 45/5/10, 45/5/11, 45/5/12 and its sub-divisions, 45/5/14, together admeasuring in aggregate about 17 Hectares 29.3386 Ares i.e. 172,933.86 Sq. Mtrs., out of which land admeasuring 54,339.99 Sq. Mtrs. is developed for the said project, situated at Village Kondhwa Budruk, Taluka Haveli, District Pune, within the limits of Pune Municipal Corporation, together with all rights, easements and appurtenances attached thereto.</v>
      </c>
      <c r="J29" s="72" t="str">
        <f t="array" ref="J29">XLOOKUP(C29,'Master Data'!C:C,'Master Data'!I:I)</f>
        <v/>
      </c>
      <c r="K29" s="72" t="str">
        <f t="array" ref="K29">XLOOKUP(C29,'Master Data'!C:C,'Master Data'!J:J)</f>
        <v/>
      </c>
      <c r="L29" s="74" t="str">
        <f t="array" ref="L29">XLOOKUP(C:C,TSR_Completion!C:C,TSR_Completion!M:M)</f>
        <v>Completed and Issued</v>
      </c>
      <c r="M29" s="46" t="s">
        <v>800</v>
      </c>
      <c r="N29" s="4"/>
      <c r="O29" s="4"/>
      <c r="P29" s="4"/>
      <c r="Q29" s="4"/>
      <c r="R29" s="4"/>
      <c r="S29" s="4"/>
      <c r="T29" s="4"/>
      <c r="U29" s="4"/>
      <c r="V29" s="4"/>
      <c r="W29" s="4"/>
      <c r="X29" s="4"/>
      <c r="Y29" s="4"/>
    </row>
    <row r="30">
      <c r="A30" s="6">
        <v>598.0</v>
      </c>
      <c r="B30" s="6" t="s">
        <v>158</v>
      </c>
      <c r="C30" s="25">
        <v>7.7000236583E10</v>
      </c>
      <c r="D30" s="72" t="str">
        <f t="array" ref="D30">XLOOKUP(C30,'Master Data'!C:C,'Master Data'!D:D)</f>
        <v>Main</v>
      </c>
      <c r="E30" s="64" t="s">
        <v>802</v>
      </c>
      <c r="F30" s="72" t="str">
        <f t="array" ref="F30">XLOOKUP(C30,'Master Data'!C:C,'Master Data'!E:E)</f>
        <v>waman jadhav</v>
      </c>
      <c r="G30" s="72" t="str">
        <f t="array" ref="G30">XLOOKUP(C30,'Master Data'!C:C,'Master Data'!F:F)</f>
        <v>mahananda jadhav</v>
      </c>
      <c r="H30" s="72" t="str">
        <f t="array" ref="H30">XLOOKUP(C30,'Master Data'!C:C,'Master Data'!G:G)</f>
        <v>resale( seller BT)</v>
      </c>
      <c r="I30" s="72" t="str">
        <f t="array" ref="I30">XLOOKUP(C30,'Master Data'!C:C,'Master Data'!H:H)</f>
        <v>All that piece and parcel of the Flat No. 1, admeasuring 48.60 Sq. Mtrs., together with adjoining terrace admeasuring 46 Sq. Ft. i.e. 4.27 Sq. Mtrs. (built-up), situated on the First Floor of the building known as “Pratibha Apartment”, constructed on land bearing Survey Nos. 23, 24, 55, 57 and 58 corresponding to City Survey No. 23, out of Plot No. 80, situated at Village Karvenagar, Taluka Haveli, District Pune.</v>
      </c>
      <c r="J30" s="72" t="str">
        <f t="array" ref="J30">XLOOKUP(C30,'Master Data'!C:C,'Master Data'!I:I)</f>
        <v/>
      </c>
      <c r="K30" s="72" t="str">
        <f t="array" ref="K30">XLOOKUP(C30,'Master Data'!C:C,'Master Data'!J:J)</f>
        <v/>
      </c>
      <c r="L30" s="74" t="str">
        <f t="array" ref="L30">XLOOKUP(C:C,TSR_Completion!C:C,TSR_Completion!M:M)</f>
        <v>Completed and Issued</v>
      </c>
      <c r="M30" s="46" t="s">
        <v>798</v>
      </c>
      <c r="N30" s="4"/>
      <c r="O30" s="4"/>
      <c r="P30" s="4"/>
      <c r="Q30" s="4"/>
      <c r="R30" s="4"/>
      <c r="S30" s="4"/>
      <c r="T30" s="4"/>
      <c r="U30" s="4"/>
      <c r="V30" s="4"/>
      <c r="W30" s="4"/>
      <c r="X30" s="4"/>
      <c r="Y30" s="4"/>
    </row>
    <row r="31">
      <c r="A31" s="6">
        <v>591.0</v>
      </c>
      <c r="B31" s="6" t="s">
        <v>158</v>
      </c>
      <c r="C31" s="76">
        <v>7.7000244624E10</v>
      </c>
      <c r="D31" s="72" t="str">
        <f t="array" ref="D31">XLOOKUP(C31,'Master Data'!C:C,'Master Data'!D:D)</f>
        <v>Baner</v>
      </c>
      <c r="E31" s="64" t="s">
        <v>805</v>
      </c>
      <c r="F31" s="72" t="str">
        <f t="array" ref="F31">XLOOKUP(C31,'Master Data'!C:C,'Master Data'!E:E)</f>
        <v>Rekha Ankush Kongale</v>
      </c>
      <c r="G31" s="72" t="str">
        <f t="array" ref="G31">XLOOKUP(C31,'Master Data'!C:C,'Master Data'!F:F)</f>
        <v>Ankush Vyankat Kongale</v>
      </c>
      <c r="H31" s="75" t="s">
        <v>606</v>
      </c>
      <c r="I31" s="72" t="str">
        <f t="array" ref="I31">XLOOKUP(C31,'Master Data'!C:C,'Master Data'!H:H)</f>
        <v>All that piece and parcel of the residential premises being Flat No. 705, situated at Seventh Floor, admeasuring about 427.87 Sq. ft. = 39.76 Sq. mtrs. carpet alongwith balcony admeasuring about 50.26 Sq. ft. = 4.67 Sq. mtrs. thus total admeasuring about 478.13 Sq. ft. = 44.42 Sq. mtrs. in the building of Nakshatra Residency Cooperative Housing Society Ltd. constructed on land Survey No. 43, Hissa No. 7/2A/1/1 and Survey No. 43, Hissa No. 7/2B, situated at Village Katraj, Taluka Haveli, District Pune and within local limits of Pune Municipal Corportion, Pune.</v>
      </c>
      <c r="J31" s="72" t="str">
        <f t="array" ref="J31">XLOOKUP(C31,'Master Data'!C:C,'Master Data'!I:I)</f>
        <v>.</v>
      </c>
      <c r="K31" s="72" t="str">
        <f t="array" ref="K31">XLOOKUP(C31,'Master Data'!C:C,'Master Data'!J:J)</f>
        <v/>
      </c>
      <c r="L31" s="74" t="str">
        <f t="array" ref="L31">XLOOKUP(C:C,TSR_Completion!C:C,TSR_Completion!M:M)</f>
        <v>Completed and Issued</v>
      </c>
      <c r="M31" s="46" t="s">
        <v>798</v>
      </c>
      <c r="N31" s="4"/>
      <c r="O31" s="4"/>
      <c r="P31" s="4"/>
      <c r="Q31" s="4"/>
      <c r="R31" s="4"/>
      <c r="S31" s="4"/>
      <c r="T31" s="4"/>
      <c r="U31" s="4"/>
      <c r="V31" s="4"/>
      <c r="W31" s="4"/>
      <c r="X31" s="4"/>
      <c r="Y31" s="4"/>
    </row>
    <row r="32">
      <c r="A32" s="6">
        <v>606.0</v>
      </c>
      <c r="B32" s="6" t="s">
        <v>158</v>
      </c>
      <c r="C32" s="25">
        <v>7.7000242496E10</v>
      </c>
      <c r="D32" s="72" t="str">
        <f t="array" ref="D32">XLOOKUP(C32,'Master Data'!C:C,'Master Data'!D:D)</f>
        <v>Kharadi </v>
      </c>
      <c r="E32" s="64" t="s">
        <v>814</v>
      </c>
      <c r="F32" s="72" t="str">
        <f t="array" ref="F32">XLOOKUP(C32,'Master Data'!C:C,'Master Data'!E:E)</f>
        <v>Sambhaji Vasant Choudhary </v>
      </c>
      <c r="G32" s="72" t="str">
        <f t="array" ref="G32">XLOOKUP(C32,'Master Data'!C:C,'Master Data'!F:F)</f>
        <v/>
      </c>
      <c r="H32" s="72" t="str">
        <f t="array" ref="H32">XLOOKUP(C32,'Master Data'!C:C,'Master Data'!G:G)</f>
        <v>Plot + Contruction</v>
      </c>
      <c r="I32" s="72" t="str">
        <f t="array" ref="I32">XLOOKUP(C32,'Master Data'!C:C,'Master Data'!H:H)</f>
        <v>All that piece and parcel of non-agricultural property admeasuring of H. 00-04 Ares, out of Gat No. 991, having an area admeasuring of H. 01-32 Ares, assessed at Rs. 03-06 Paise, situated at Village – Ranjangao Ganpati, Taluka – Shirur, District – Pune</v>
      </c>
      <c r="J32" s="72" t="str">
        <f t="array" ref="J32">XLOOKUP(C32,'Master Data'!C:C,'Master Data'!I:I)</f>
        <v/>
      </c>
      <c r="K32" s="72" t="str">
        <f t="array" ref="K32">XLOOKUP(C32,'Master Data'!C:C,'Master Data'!J:J)</f>
        <v/>
      </c>
      <c r="L32" s="74" t="str">
        <f t="array" ref="L32">XLOOKUP(C:C,TSR_Completion!C:C,TSR_Completion!M:M)</f>
        <v>Completed and Issued</v>
      </c>
      <c r="M32" s="46" t="s">
        <v>798</v>
      </c>
      <c r="N32" s="4"/>
      <c r="O32" s="4"/>
      <c r="P32" s="4"/>
      <c r="Q32" s="4"/>
      <c r="R32" s="4"/>
      <c r="S32" s="4"/>
      <c r="T32" s="4"/>
      <c r="U32" s="4"/>
      <c r="V32" s="4"/>
      <c r="W32" s="4"/>
      <c r="X32" s="4"/>
      <c r="Y32" s="4"/>
    </row>
    <row r="33">
      <c r="A33" s="6">
        <v>607.0</v>
      </c>
      <c r="B33" s="6" t="s">
        <v>158</v>
      </c>
      <c r="C33" s="25">
        <v>3.64010445963E11</v>
      </c>
      <c r="D33" s="72" t="str">
        <f t="array" ref="D33">XLOOKUP(C33,'Master Data'!C:C,'Master Data'!D:D)</f>
        <v>Kolhapur</v>
      </c>
      <c r="E33" s="64" t="s">
        <v>814</v>
      </c>
      <c r="F33" s="72" t="str">
        <f t="array" ref="F33">XLOOKUP(C33,'Master Data'!C:C,'Master Data'!E:E)</f>
        <v> Virendra Krushnat Patil</v>
      </c>
      <c r="G33" s="72" t="str">
        <f t="array" ref="G33">XLOOKUP(C33,'Master Data'!C:C,'Master Data'!F:F)</f>
        <v>Nil</v>
      </c>
      <c r="H33" s="72" t="str">
        <f t="array" ref="H33">XLOOKUP(C33,'Master Data'!C:C,'Master Data'!G:G)</f>
        <v>home loan</v>
      </c>
      <c r="I33" s="72" t="str">
        <f t="array" ref="I33">XLOOKUP(C33,'Master Data'!C:C,'Master Data'!H:H)</f>
        <v>All that piece and parcel of property admeasuring of 31.66 sq. mtrs., out of non-agricultural property bearing CTS No. 2874, having an area admeasuring of 47.5 sq. mtrs., situated at Village – Kodoli, Taluka – Panhala, District Kolhapur.</v>
      </c>
      <c r="J33" s="72" t="str">
        <f t="array" ref="J33">XLOOKUP(C33,'Master Data'!C:C,'Master Data'!I:I)</f>
        <v>.</v>
      </c>
      <c r="K33" s="72" t="str">
        <f t="array" ref="K33">XLOOKUP(C33,'Master Data'!C:C,'Master Data'!J:J)</f>
        <v/>
      </c>
      <c r="L33" s="74" t="str">
        <f t="array" ref="L33">XLOOKUP(C:C,TSR_Completion!C:C,TSR_Completion!M:M)</f>
        <v>Completed and Issued</v>
      </c>
      <c r="M33" s="46" t="s">
        <v>798</v>
      </c>
      <c r="N33" s="4"/>
      <c r="O33" s="4"/>
      <c r="P33" s="4"/>
      <c r="Q33" s="4"/>
      <c r="R33" s="4"/>
      <c r="S33" s="4"/>
      <c r="T33" s="4"/>
      <c r="U33" s="4"/>
      <c r="V33" s="4"/>
      <c r="W33" s="4"/>
      <c r="X33" s="4"/>
      <c r="Y33" s="4"/>
    </row>
    <row r="34">
      <c r="A34" s="6">
        <v>592.0</v>
      </c>
      <c r="B34" s="6" t="s">
        <v>158</v>
      </c>
      <c r="C34" s="25">
        <v>7.7000255667E10</v>
      </c>
      <c r="D34" s="72" t="str">
        <f t="array" ref="D34">XLOOKUP(C34,'Master Data'!C:C,'Master Data'!D:D)</f>
        <v>Vishrantwadi</v>
      </c>
      <c r="E34" s="64" t="s">
        <v>805</v>
      </c>
      <c r="F34" s="72" t="str">
        <f t="array" ref="F34">XLOOKUP(C34,'Master Data'!C:C,'Master Data'!E:E)</f>
        <v>Rushi kale</v>
      </c>
      <c r="G34" s="72" t="str">
        <f t="array" ref="G34">XLOOKUP(C34,'Master Data'!C:C,'Master Data'!F:F)</f>
        <v> Gorakh kale</v>
      </c>
      <c r="H34" s="72" t="str">
        <f t="array" ref="H34">XLOOKUP(C34,'Master Data'!C:C,'Master Data'!G:G)</f>
        <v>Lap</v>
      </c>
      <c r="I34" s="72" t="str">
        <f t="array" ref="I34">XLOOKUP(C34,'Master Data'!C:C,'Master Data'!H:H)</f>
        <v>Hadapsar S.No. 231</v>
      </c>
      <c r="J34" s="72" t="str">
        <f t="array" ref="J34">XLOOKUP(C34,'Master Data'!C:C,'Master Data'!I:I)</f>
        <v>7040506640(SIR)</v>
      </c>
      <c r="K34" s="72" t="str">
        <f t="array" ref="K34">XLOOKUP(C34,'Master Data'!C:C,'Master Data'!J:J)</f>
        <v/>
      </c>
      <c r="L34" s="74" t="str">
        <f t="array" ref="L34">XLOOKUP(C:C,TSR_Completion!C:C,TSR_Completion!M:M)</f>
        <v>#N/A</v>
      </c>
      <c r="M34" s="46" t="s">
        <v>815</v>
      </c>
      <c r="N34" s="4"/>
      <c r="O34" s="4"/>
      <c r="P34" s="4"/>
      <c r="Q34" s="4"/>
      <c r="R34" s="4"/>
      <c r="S34" s="4"/>
      <c r="T34" s="4"/>
      <c r="U34" s="4"/>
      <c r="V34" s="4"/>
      <c r="W34" s="4"/>
      <c r="X34" s="4"/>
      <c r="Y34" s="4"/>
    </row>
    <row r="35">
      <c r="A35" s="6">
        <v>593.0</v>
      </c>
      <c r="B35" s="6" t="s">
        <v>158</v>
      </c>
      <c r="C35" s="25">
        <v>7.700024434E10</v>
      </c>
      <c r="D35" s="72" t="str">
        <f t="array" ref="D35">XLOOKUP(C35,'Master Data'!C:C,'Master Data'!D:D)</f>
        <v>Kolhapur</v>
      </c>
      <c r="E35" s="64" t="s">
        <v>805</v>
      </c>
      <c r="F35" s="72" t="str">
        <f t="array" ref="F35">XLOOKUP(C35,'Master Data'!C:C,'Master Data'!E:E)</f>
        <v>Kedar Narayan Khandagale</v>
      </c>
      <c r="G35" s="72" t="str">
        <f t="array" ref="G35">XLOOKUP(C35,'Master Data'!C:C,'Master Data'!F:F)</f>
        <v>Surekha Narayan Khandagle</v>
      </c>
      <c r="H35" s="72" t="str">
        <f t="array" ref="H35">XLOOKUP(C35,'Master Data'!C:C,'Master Data'!G:G)</f>
        <v>Home Loan Resale</v>
      </c>
      <c r="I35" s="72" t="str">
        <f t="array" ref="I35">XLOOKUP(C35,'Master Data'!C:C,'Master Data'!H:H)</f>
        <v>Kandal Gaon Kolhapur S.No. 106</v>
      </c>
      <c r="J35" s="72" t="str">
        <f t="array" ref="J35">XLOOKUP(C35,'Master Data'!C:C,'Master Data'!I:I)</f>
        <v/>
      </c>
      <c r="K35" s="72" t="str">
        <f t="array" ref="K35">XLOOKUP(C35,'Master Data'!C:C,'Master Data'!J:J)</f>
        <v/>
      </c>
      <c r="L35" s="74" t="str">
        <f t="array" ref="L35">XLOOKUP(C:C,TSR_Completion!C:C,TSR_Completion!M:M)</f>
        <v>#N/A</v>
      </c>
      <c r="M35" s="46" t="s">
        <v>816</v>
      </c>
      <c r="N35" s="4"/>
      <c r="O35" s="4"/>
      <c r="P35" s="4"/>
      <c r="Q35" s="4"/>
      <c r="R35" s="4"/>
      <c r="S35" s="4"/>
      <c r="T35" s="4"/>
      <c r="U35" s="4"/>
      <c r="V35" s="4"/>
      <c r="W35" s="4"/>
      <c r="X35" s="4"/>
      <c r="Y35" s="4"/>
    </row>
    <row r="36">
      <c r="A36" s="6">
        <v>597.0</v>
      </c>
      <c r="B36" s="6" t="s">
        <v>158</v>
      </c>
      <c r="C36" s="25">
        <v>7.792132614E9</v>
      </c>
      <c r="D36" s="72" t="str">
        <f t="array" ref="D36">XLOOKUP(C36,'Master Data'!C:C,'Master Data'!D:D)</f>
        <v>Kharadi </v>
      </c>
      <c r="E36" s="64" t="s">
        <v>810</v>
      </c>
      <c r="F36" s="72" t="str">
        <f t="array" ref="F36">XLOOKUP(C36,'Master Data'!C:C,'Master Data'!E:E)</f>
        <v>Makuniversal Infratech India Private Limited</v>
      </c>
      <c r="G36" s="72" t="str">
        <f t="array" ref="G36">XLOOKUP(C36,'Master Data'!C:C,'Master Data'!F:F)</f>
        <v>piyush pandit ,nandkumar pandit ,jyoti pandit</v>
      </c>
      <c r="H36" s="72" t="str">
        <f t="array" ref="H36">XLOOKUP(C36,'Master Data'!C:C,'Master Data'!G:G)</f>
        <v>LAP case</v>
      </c>
      <c r="I36" s="72" t="str">
        <f t="array" ref="I36">XLOOKUP(C36,'Master Data'!C:C,'Master Data'!H:H)</f>
        <v/>
      </c>
      <c r="J36" s="72" t="str">
        <f t="array" ref="J36">XLOOKUP(C36,'Master Data'!C:C,'Master Data'!I:I)</f>
        <v>9112040427 (NLK Mobile)</v>
      </c>
      <c r="K36" s="72" t="str">
        <f t="array" ref="K36">XLOOKUP(C36,'Master Data'!C:C,'Master Data'!J:J)</f>
        <v/>
      </c>
      <c r="L36" s="74" t="str">
        <f t="array" ref="L36">XLOOKUP(C:C,TSR_Completion!C:C,TSR_Completion!M:M)</f>
        <v>#N/A</v>
      </c>
      <c r="M36" s="4"/>
      <c r="N36" s="4"/>
      <c r="O36" s="4"/>
      <c r="P36" s="4"/>
      <c r="Q36" s="4"/>
      <c r="R36" s="4"/>
      <c r="S36" s="4"/>
      <c r="T36" s="4"/>
      <c r="U36" s="4"/>
      <c r="V36" s="4"/>
      <c r="W36" s="4"/>
      <c r="X36" s="4"/>
      <c r="Y36" s="4"/>
    </row>
    <row r="37">
      <c r="A37" s="6"/>
      <c r="B37" s="6" t="s">
        <v>158</v>
      </c>
      <c r="C37" s="5" t="s">
        <v>33</v>
      </c>
      <c r="D37" s="72" t="str">
        <f t="array" ref="D37">XLOOKUP(C37,'Master Data'!C:C,'Master Data'!D:D)</f>
        <v>Baner</v>
      </c>
      <c r="E37" s="64" t="s">
        <v>797</v>
      </c>
      <c r="F37" s="72" t="str">
        <f t="array" ref="F37">XLOOKUP(C37,'Master Data'!C:C,'Master Data'!E:E)</f>
        <v>VRINDA MANISH BUTTAN</v>
      </c>
      <c r="G37" s="72" t="str">
        <f t="array" ref="G37">XLOOKUP(C37,'Master Data'!C:C,'Master Data'!F:F)</f>
        <v/>
      </c>
      <c r="H37" s="72" t="str">
        <f t="array" ref="H37">XLOOKUP(C37,'Master Data'!C:C,'Master Data'!G:G)</f>
        <v>BT Top UP</v>
      </c>
      <c r="I37" s="72" t="str">
        <f t="array" ref="I37">XLOOKUP(C37,'Master Data'!C:C,'Master Data'!H:H)</f>
        <v>All that residential Flat/Apartment No. 701, admeasuring 92.44 Sq. Mtrs. (i.e. approximately 995.01 Sq. Feet), situated on the 7th Floor, in “D” Building of the project known as “Maestros”, constructed on land bearing Survey No. 60/7, situated at Village – Wanawadi (Wanorie), Taluka – Haveli, District – Pune, within the limits of Pune Municipal Corporation, along with the right to use one car parking space, together with all easements, rights and appurtenances thereto.</v>
      </c>
      <c r="J37" s="72">
        <f t="array" ref="J37">XLOOKUP(C37,'Master Data'!C:C,'Master Data'!I:I)</f>
        <v>99</v>
      </c>
      <c r="K37" s="72" t="str">
        <f t="array" ref="K37">XLOOKUP(C37,'Master Data'!C:C,'Master Data'!J:J)</f>
        <v/>
      </c>
      <c r="L37" s="74" t="str">
        <f t="array" ref="L37">XLOOKUP(C:C,TSR_Completion!C:C,TSR_Completion!M:M)</f>
        <v>Completed and Issued</v>
      </c>
      <c r="M37" s="4"/>
      <c r="N37" s="4"/>
      <c r="O37" s="4"/>
      <c r="P37" s="4"/>
      <c r="Q37" s="4"/>
      <c r="R37" s="4"/>
      <c r="S37" s="4"/>
      <c r="T37" s="4"/>
      <c r="U37" s="4"/>
      <c r="V37" s="4"/>
      <c r="W37" s="4"/>
      <c r="X37" s="4"/>
      <c r="Y37" s="4"/>
    </row>
    <row r="38">
      <c r="A38" s="6"/>
      <c r="B38" s="6" t="s">
        <v>158</v>
      </c>
      <c r="C38" s="5" t="s">
        <v>36</v>
      </c>
      <c r="D38" s="72" t="str">
        <f t="array" ref="D38">XLOOKUP(C38,'Master Data'!C:C,'Master Data'!D:D)</f>
        <v>Baner</v>
      </c>
      <c r="E38" s="64" t="s">
        <v>797</v>
      </c>
      <c r="F38" s="72" t="str">
        <f t="array" ref="F38">XLOOKUP(C38,'Master Data'!C:C,'Master Data'!E:E)</f>
        <v>VRINDA MANISH BUTTAN</v>
      </c>
      <c r="G38" s="72" t="str">
        <f t="array" ref="G38">XLOOKUP(C38,'Master Data'!C:C,'Master Data'!F:F)</f>
        <v/>
      </c>
      <c r="H38" s="72" t="str">
        <f t="array" ref="H38">XLOOKUP(C38,'Master Data'!C:C,'Master Data'!G:G)</f>
        <v>BT Top UP</v>
      </c>
      <c r="I38" s="72" t="str">
        <f t="array" ref="I38">XLOOKUP(C38,'Master Data'!C:C,'Master Data'!H:H)</f>
        <v>All that residential Flat/Apartment No. 701-B, admeasuring 88.72 Sq. Mtrs. (i.e. approximately 955.00 Sq. Feet), situated on the 7th Floor, in “D” Building of the project known as “Maestros”, constructed on land bearing Survey No. 60/7, situated at Village – Wanawadi (Wanorie), Taluka – Haveli, District – Pune, within the limits of Pune Municipal Corporation, together with undivided share of 0.190% in the land, along with all easements, rights and appurtenances thereto.</v>
      </c>
      <c r="J38" s="72">
        <f t="array" ref="J38">XLOOKUP(C38,'Master Data'!C:C,'Master Data'!I:I)</f>
        <v>99</v>
      </c>
      <c r="K38" s="72" t="str">
        <f t="array" ref="K38">XLOOKUP(C38,'Master Data'!C:C,'Master Data'!J:J)</f>
        <v/>
      </c>
      <c r="L38" s="74" t="str">
        <f t="array" ref="L38">XLOOKUP(C:C,TSR_Completion!C:C,TSR_Completion!M:M)</f>
        <v>Completed and Issued</v>
      </c>
      <c r="M38" s="4"/>
      <c r="N38" s="4"/>
      <c r="O38" s="4"/>
      <c r="P38" s="4"/>
      <c r="Q38" s="4"/>
      <c r="R38" s="4"/>
      <c r="S38" s="4"/>
      <c r="T38" s="4"/>
      <c r="U38" s="4"/>
      <c r="V38" s="4"/>
      <c r="W38" s="4"/>
      <c r="X38" s="4"/>
      <c r="Y38" s="4"/>
    </row>
    <row r="39">
      <c r="A39" s="6"/>
      <c r="B39" s="6" t="s">
        <v>158</v>
      </c>
      <c r="C39" s="77" t="s">
        <v>38</v>
      </c>
      <c r="D39" s="72" t="str">
        <f t="array" ref="D39">XLOOKUP(C39,'Master Data'!C:C,'Master Data'!D:D)</f>
        <v>Baner</v>
      </c>
      <c r="E39" s="64" t="s">
        <v>797</v>
      </c>
      <c r="F39" s="72" t="str">
        <f t="array" ref="F39">XLOOKUP(C39,'Master Data'!C:C,'Master Data'!E:E)</f>
        <v>VRINDA MANISH BUTTAN</v>
      </c>
      <c r="G39" s="72" t="str">
        <f t="array" ref="G39">XLOOKUP(C39,'Master Data'!C:C,'Master Data'!F:F)</f>
        <v/>
      </c>
      <c r="H39" s="72" t="str">
        <f t="array" ref="H39">XLOOKUP(C39,'Master Data'!C:C,'Master Data'!G:G)</f>
        <v>BT Top UP</v>
      </c>
      <c r="I39" s="72" t="str">
        <f t="array" ref="I39">XLOOKUP(C39,'Master Data'!C:C,'Master Data'!H:H)</f>
        <v>All that residential Flat/Apartment No. 801, admeasuring 88.26 Sq. Mtrs. (i.e. approximately 949.91 Sq. Feet), situated on the 8th Floor, in “D” Building of the project known as “Maestros”, constructed on land bearing Survey No. 60/7, situated at Village – Wanawadi (Wanorie), Taluka – Haveli, District – Pune, within the limits of Pune Municipal Corporation, together with adjoining terrace and terrace appurtenant to the said flat admeasuring in aggregate 157.93 Sq. Mtrs., along with undivided share of 0.190% in the land, together with all easements, rights and appurtenances thereto.</v>
      </c>
      <c r="J39" s="72">
        <f t="array" ref="J39">XLOOKUP(C39,'Master Data'!C:C,'Master Data'!I:I)</f>
        <v>99</v>
      </c>
      <c r="K39" s="72" t="str">
        <f t="array" ref="K39">XLOOKUP(C39,'Master Data'!C:C,'Master Data'!J:J)</f>
        <v/>
      </c>
      <c r="L39" s="74" t="str">
        <f t="array" ref="L39">XLOOKUP(C:C,TSR_Completion!C:C,TSR_Completion!M:M)</f>
        <v>Completed and Issued</v>
      </c>
      <c r="M39" s="4"/>
      <c r="N39" s="4"/>
      <c r="O39" s="4"/>
      <c r="P39" s="4"/>
      <c r="Q39" s="4"/>
      <c r="R39" s="4"/>
      <c r="S39" s="4"/>
      <c r="T39" s="4"/>
      <c r="U39" s="4"/>
      <c r="V39" s="4"/>
      <c r="W39" s="4"/>
      <c r="X39" s="4"/>
      <c r="Y39" s="4"/>
    </row>
    <row r="40">
      <c r="A40" s="6"/>
      <c r="B40" s="6" t="s">
        <v>158</v>
      </c>
      <c r="C40" s="5">
        <v>7.792150927E9</v>
      </c>
      <c r="D40" s="72" t="str">
        <f t="array" ref="D40">XLOOKUP(C40,'Master Data'!C:C,'Master Data'!D:D)</f>
        <v>Hadapsar</v>
      </c>
      <c r="E40" s="64" t="s">
        <v>797</v>
      </c>
      <c r="F40" s="72" t="str">
        <f t="array" ref="F40">XLOOKUP(C40,'Master Data'!C:C,'Master Data'!E:E)</f>
        <v>Bharat Motkar</v>
      </c>
      <c r="G40" s="72" t="str">
        <f t="array" ref="G40">XLOOKUP(C40,'Master Data'!C:C,'Master Data'!F:F)</f>
        <v/>
      </c>
      <c r="H40" s="72" t="str">
        <f t="array" ref="H40">XLOOKUP(C40,'Master Data'!C:C,'Master Data'!G:G)</f>
        <v>Resale</v>
      </c>
      <c r="I40" s="72" t="str">
        <f t="array" ref="I40">XLOOKUP(C40,'Master Data'!C:C,'Master Data'!H:H)</f>
        <v>All that piece and parcel of property admeasuring of H. 00-01.39 Ares, i.e. 139.40 sq. mtrs., i.e. 1500 sq. feets., out of land bearing Survey No. 39/2/3, having an area admeasuring of H. 00-83 Ares, assessed at Rs. 05-25 Paise, situated at Village – Manjari Budruk, Taluka – Haveli, District – Pune</v>
      </c>
      <c r="J40" s="72">
        <f t="array" ref="J40">XLOOKUP(C40,'Master Data'!C:C,'Master Data'!I:I)</f>
        <v>99</v>
      </c>
      <c r="K40" s="72" t="str">
        <f t="array" ref="K40">XLOOKUP(C40,'Master Data'!C:C,'Master Data'!J:J)</f>
        <v/>
      </c>
      <c r="L40" s="74" t="str">
        <f t="array" ref="L40">XLOOKUP(C:C,TSR_Completion!C:C,TSR_Completion!M:M)</f>
        <v>Completed and Issued</v>
      </c>
      <c r="M40" s="46"/>
      <c r="N40" s="4"/>
      <c r="O40" s="4"/>
      <c r="P40" s="4"/>
      <c r="Q40" s="4"/>
      <c r="R40" s="4"/>
      <c r="S40" s="4"/>
      <c r="T40" s="4"/>
      <c r="U40" s="4"/>
      <c r="V40" s="4"/>
      <c r="W40" s="4"/>
      <c r="X40" s="4"/>
      <c r="Y40" s="4"/>
    </row>
    <row r="41">
      <c r="A41" s="6"/>
      <c r="B41" s="6" t="s">
        <v>158</v>
      </c>
      <c r="C41" s="5">
        <v>7.792138312E9</v>
      </c>
      <c r="D41" s="72" t="str">
        <f t="array" ref="D41">XLOOKUP(C41,'Master Data'!C:C,'Master Data'!D:D)</f>
        <v>Wakad</v>
      </c>
      <c r="E41" s="64" t="s">
        <v>817</v>
      </c>
      <c r="F41" s="72" t="str">
        <f t="array" ref="F41">XLOOKUP(C41,'Master Data'!C:C,'Master Data'!E:E)</f>
        <v>Shubham Tayade</v>
      </c>
      <c r="G41" s="72" t="str">
        <f t="array" ref="G41">XLOOKUP(C41,'Master Data'!C:C,'Master Data'!F:F)</f>
        <v/>
      </c>
      <c r="H41" s="72" t="str">
        <f t="array" ref="H41">XLOOKUP(C41,'Master Data'!C:C,'Master Data'!G:G)</f>
        <v>Resale</v>
      </c>
      <c r="I41" s="72" t="str">
        <f t="array" ref="I41">XLOOKUP(C41,'Master Data'!C:C,'Master Data'!H:H)</f>
        <v>All that piece and parcel of property bearing H. 00-00.50 Ares, i.e. 500 sq. feets., out of Survey No. 79/13/10, having an area admeasuring of H. 00-01.50 Ares, assessed at Rs. 00-05 Paise, situated at Village – Rahatani, Taluka – Haveli, District – Pune</v>
      </c>
      <c r="J41" s="72">
        <f t="array" ref="J41">XLOOKUP(C41,'Master Data'!C:C,'Master Data'!I:I)</f>
        <v>99</v>
      </c>
      <c r="K41" s="72" t="str">
        <f t="array" ref="K41">XLOOKUP(C41,'Master Data'!C:C,'Master Data'!J:J)</f>
        <v/>
      </c>
      <c r="L41" s="74" t="str">
        <f t="array" ref="L41">XLOOKUP(C:C,TSR_Completion!C:C,TSR_Completion!M:M)</f>
        <v>Completed and Issued</v>
      </c>
      <c r="M41" s="4"/>
      <c r="N41" s="4"/>
      <c r="O41" s="4"/>
      <c r="P41" s="4"/>
      <c r="Q41" s="4"/>
      <c r="R41" s="4"/>
      <c r="S41" s="4"/>
      <c r="T41" s="4"/>
      <c r="U41" s="4"/>
      <c r="V41" s="4"/>
      <c r="W41" s="4"/>
      <c r="X41" s="4"/>
      <c r="Y41" s="4"/>
    </row>
    <row r="42">
      <c r="A42" s="6"/>
      <c r="B42" s="6" t="s">
        <v>158</v>
      </c>
      <c r="C42" s="5">
        <v>7.7000249866E10</v>
      </c>
      <c r="D42" s="72" t="str">
        <f t="array" ref="D42">XLOOKUP(C42,'Master Data'!C:C,'Master Data'!D:D)</f>
        <v>Kolhapur</v>
      </c>
      <c r="E42" s="64" t="s">
        <v>818</v>
      </c>
      <c r="F42" s="72" t="str">
        <f t="array" ref="F42">XLOOKUP(C42,'Master Data'!C:C,'Master Data'!E:E)</f>
        <v>Bharat Sanjay Vaidya</v>
      </c>
      <c r="G42" s="75" t="s">
        <v>104</v>
      </c>
      <c r="H42" s="72" t="str">
        <f t="array" ref="H42">XLOOKUP(C42,'Master Data'!C:C,'Master Data'!G:G)</f>
        <v>Apana Ghar Self Construction</v>
      </c>
      <c r="I42" s="72" t="str">
        <f t="array" ref="I42">XLOOKUP(C42,'Master Data'!C:C,'Master Data'!H:H)</f>
        <v>All that piece and parcel of non-agricultural property admeasuring 47.46 Sq. Mtrs., together with a residential house constructed in the year 2011, built with brick and mud walls and having a cement sheet roof, admeasuring 330 Sq. Ft., constructed on the land bearing CTS No. 460, situated at Village – Chandur, Taluka – Hatkanangale, District – Kolhapur</v>
      </c>
      <c r="J42" s="72">
        <f t="array" ref="J42">XLOOKUP(C42,'Master Data'!C:C,'Master Data'!I:I)</f>
        <v>99</v>
      </c>
      <c r="K42" s="72" t="str">
        <f t="array" ref="K42">XLOOKUP(C42,'Master Data'!C:C,'Master Data'!J:J)</f>
        <v/>
      </c>
      <c r="L42" s="74" t="str">
        <f t="array" ref="L42">XLOOKUP(C:C,TSR_Completion!C:C,TSR_Completion!M:M)</f>
        <v>Completed and Issued</v>
      </c>
      <c r="M42" s="4"/>
      <c r="N42" s="4"/>
      <c r="O42" s="4"/>
      <c r="P42" s="4"/>
      <c r="Q42" s="4"/>
      <c r="R42" s="4"/>
      <c r="S42" s="4"/>
      <c r="T42" s="4"/>
      <c r="U42" s="4"/>
      <c r="V42" s="4"/>
      <c r="W42" s="4"/>
      <c r="X42" s="4"/>
      <c r="Y42" s="4"/>
    </row>
    <row r="43">
      <c r="A43" s="6">
        <v>573.0</v>
      </c>
      <c r="B43" s="6" t="s">
        <v>158</v>
      </c>
      <c r="C43" s="77">
        <v>7.700024041E10</v>
      </c>
      <c r="D43" s="72" t="str">
        <f t="array" ref="D43">XLOOKUP(C43,'Master Data'!C:C,'Master Data'!D:D)</f>
        <v>Hadapsar</v>
      </c>
      <c r="E43" s="64" t="s">
        <v>818</v>
      </c>
      <c r="F43" s="72" t="str">
        <f t="array" ref="F43">XLOOKUP(C43,'Master Data'!C:C,'Master Data'!E:E)</f>
        <v>Abhijeet Auto Components Pvt Ltd</v>
      </c>
      <c r="G43" s="72" t="str">
        <f t="array" ref="G43">XLOOKUP(C43,'Master Data'!C:C,'Master Data'!F:F)</f>
        <v>1) Mr. Jitendrakumar Narayan Singh 
2) Mr. Arunkumar Narayan Singh 
3) Mr. Santoshkumar Narayan Singh
</v>
      </c>
      <c r="H43" s="72" t="str">
        <f t="array" ref="H43">XLOOKUP(C43,'Master Data'!C:C,'Master Data'!G:G)</f>
        <v>BT + TOP-UP</v>
      </c>
      <c r="I43" s="72" t="str">
        <f t="array" ref="I43">XLOOKUP(C43,'Master Data'!C:C,'Master Data'!H:H)</f>
        <v>All that piece and parcel of property admeasuring of H. 00-05 Ares, out of Survey No. 35, Hissa No. 2/1, having an area admeasuring of H. 01-30.50 Ares, together with Pot-Kharab area admeasuring of H. 00-33 Ares, i.e. total area admeasuring of H. 01-63.50 Ares, assessed at Rs. 02-62 Paise, situated at Village – Uruli Devachi, Taluka – Haveli, District – Pune</v>
      </c>
      <c r="J43" s="72">
        <f t="array" ref="J43">XLOOKUP(C43,'Master Data'!C:C,'Master Data'!I:I)</f>
        <v>99</v>
      </c>
      <c r="K43" s="72" t="str">
        <f t="array" ref="K43">XLOOKUP(C43,'Master Data'!C:C,'Master Data'!J:J)</f>
        <v/>
      </c>
      <c r="L43" s="74" t="str">
        <f t="array" ref="L43">XLOOKUP(C:C,TSR_Completion!C:C,TSR_Completion!M:M)</f>
        <v>Completed and Issued</v>
      </c>
      <c r="M43" s="4"/>
      <c r="N43" s="4"/>
      <c r="O43" s="4"/>
      <c r="P43" s="4"/>
      <c r="Q43" s="4"/>
      <c r="R43" s="4"/>
      <c r="S43" s="4"/>
      <c r="T43" s="4"/>
      <c r="U43" s="4"/>
      <c r="V43" s="4"/>
      <c r="W43" s="4"/>
      <c r="X43" s="4"/>
      <c r="Y43" s="4"/>
    </row>
    <row r="44">
      <c r="A44" s="6">
        <v>590.0</v>
      </c>
      <c r="B44" s="6" t="s">
        <v>158</v>
      </c>
      <c r="C44" s="22" t="s">
        <v>118</v>
      </c>
      <c r="D44" s="72" t="str">
        <f t="array" ref="D44">XLOOKUP(C44,'Master Data'!C:C,'Master Data'!D:D)</f>
        <v>Main</v>
      </c>
      <c r="E44" s="64" t="s">
        <v>810</v>
      </c>
      <c r="F44" s="72" t="str">
        <f t="array" ref="F44">XLOOKUP(C44,'Master Data'!C:C,'Master Data'!E:E)</f>
        <v>Aaiji Developers </v>
      </c>
      <c r="G44" s="72" t="str">
        <f t="array" ref="G44">XLOOKUP(C44,'Master Data'!C:C,'Master Data'!F:F)</f>
        <v>Jiwaram Magaji Choudhary 
Suresh Jiwaram Choudhary
Hemant Jiwaram Choudhary</v>
      </c>
      <c r="H44" s="72" t="str">
        <f t="array" ref="H44">XLOOKUP(C44,'Master Data'!C:C,'Master Data'!G:G)</f>
        <v>Lap Commercial</v>
      </c>
      <c r="I44" s="72" t="str">
        <f t="array" ref="I44">XLOOKUP(C44,'Master Data'!C:C,'Master Data'!H:H)</f>
        <v>All that piece and parcel of property bearing Office No. 401, having carpet area admeasuring of 714.50 sq. mtrs., situated on the Fourth Floor, out of the project known as “Solitaire Business Hub – Baner”, constructed on the entire land bearing Survey No. 3/7B,+ 9 situated at Village Baner, Taluka – Haveli, District – Pune and within local limits of Pune Municipal Corporation, Pune.</v>
      </c>
      <c r="J44" s="72" t="str">
        <f t="array" ref="J44">XLOOKUP(C44,'Master Data'!C:C,'Master Data'!I:I)</f>
        <v/>
      </c>
      <c r="K44" s="72" t="str">
        <f t="array" ref="K44">XLOOKUP(C44,'Master Data'!C:C,'Master Data'!J:J)</f>
        <v/>
      </c>
      <c r="L44" s="74" t="str">
        <f t="array" ref="L44">XLOOKUP(C:C,TSR_Completion!C:C,TSR_Completion!M:M)</f>
        <v>Completed and Issued</v>
      </c>
      <c r="M44" s="4"/>
      <c r="N44" s="4"/>
      <c r="O44" s="4"/>
      <c r="P44" s="4"/>
      <c r="Q44" s="4"/>
      <c r="R44" s="4"/>
      <c r="S44" s="4"/>
      <c r="T44" s="4"/>
      <c r="U44" s="4"/>
      <c r="V44" s="4"/>
      <c r="W44" s="4"/>
      <c r="X44" s="4"/>
      <c r="Y44" s="4"/>
    </row>
    <row r="45">
      <c r="A45" s="6">
        <v>591.0</v>
      </c>
      <c r="B45" s="6" t="s">
        <v>158</v>
      </c>
      <c r="C45" s="22" t="s">
        <v>124</v>
      </c>
      <c r="D45" s="72" t="str">
        <f t="array" ref="D45">XLOOKUP(C45,'Master Data'!C:C,'Master Data'!D:D)</f>
        <v>Main</v>
      </c>
      <c r="E45" s="64" t="s">
        <v>810</v>
      </c>
      <c r="F45" s="72" t="str">
        <f t="array" ref="F45">XLOOKUP(C45,'Master Data'!C:C,'Master Data'!E:E)</f>
        <v>Aaiji Developers </v>
      </c>
      <c r="G45" s="72" t="str">
        <f t="array" ref="G45">XLOOKUP(C45,'Master Data'!C:C,'Master Data'!F:F)</f>
        <v>Jiwaram Magaji Choudhary 
Suresh Jiwaram Choudhary
Hemant Jiwaram Choudhary</v>
      </c>
      <c r="H45" s="72" t="str">
        <f t="array" ref="H45">XLOOKUP(C45,'Master Data'!C:C,'Master Data'!G:G)</f>
        <v>Lap Commercial</v>
      </c>
      <c r="I45" s="72" t="str">
        <f t="array" ref="I45">XLOOKUP(C45,'Master Data'!C:C,'Master Data'!H:H)</f>
        <v>All that piece and parcel of property bearing Office No. 501, having carpet area admeasuring of 714.50 sq. mtrs., situated on the Fifth Floor, out of the project known as “Solitaire Business Hub – Baner”, constructed on the entire land bearing Survey No. 3/7B,+ 9 situated at Village Baner, Taluka – Haveli, District – Pune and within local limits of Pune Municipal Corporation, Pune.</v>
      </c>
      <c r="J45" s="72" t="str">
        <f t="array" ref="J45">XLOOKUP(C45,'Master Data'!C:C,'Master Data'!I:I)</f>
        <v/>
      </c>
      <c r="K45" s="72" t="str">
        <f t="array" ref="K45">XLOOKUP(C45,'Master Data'!C:C,'Master Data'!J:J)</f>
        <v/>
      </c>
      <c r="L45" s="74" t="str">
        <f t="array" ref="L45">XLOOKUP(C:C,TSR_Completion!C:C,TSR_Completion!M:M)</f>
        <v>Completed and Issued</v>
      </c>
      <c r="M45" s="4"/>
      <c r="N45" s="4"/>
      <c r="O45" s="4"/>
      <c r="P45" s="4"/>
      <c r="Q45" s="4"/>
      <c r="R45" s="4"/>
      <c r="S45" s="4"/>
      <c r="T45" s="4"/>
      <c r="U45" s="4"/>
      <c r="V45" s="4"/>
      <c r="W45" s="4"/>
      <c r="X45" s="4"/>
      <c r="Y45" s="4"/>
    </row>
    <row r="46">
      <c r="A46" s="6">
        <v>619.0</v>
      </c>
      <c r="B46" s="6" t="s">
        <v>158</v>
      </c>
      <c r="C46" s="25">
        <v>7.7000250434E10</v>
      </c>
      <c r="D46" s="72" t="str">
        <f t="array" ref="D46">XLOOKUP(C46,'Master Data'!C:C,'Master Data'!D:D)</f>
        <v>Main</v>
      </c>
      <c r="E46" s="64" t="s">
        <v>819</v>
      </c>
      <c r="F46" s="72" t="str">
        <f t="array" ref="F46">XLOOKUP(C46,'Master Data'!C:C,'Master Data'!E:E)</f>
        <v>Abduljalil Farooque ansari </v>
      </c>
      <c r="G46" s="72" t="str">
        <f t="array" ref="G46">XLOOKUP(C46,'Master Data'!C:C,'Master Data'!F:F)</f>
        <v>Jaibunnisa Abduljalil Ansari</v>
      </c>
      <c r="H46" s="72" t="str">
        <f t="array" ref="H46">XLOOKUP(C46,'Master Data'!C:C,'Master Data'!G:G)</f>
        <v> Lap Residential</v>
      </c>
      <c r="I46" s="72" t="str">
        <f t="array" ref="I46">XLOOKUP(C46,'Master Data'!C:C,'Master Data'!H:H)</f>
        <v>Chikhali S.No.741</v>
      </c>
      <c r="J46" s="72" t="str">
        <f t="array" ref="J46">XLOOKUP(C46,'Master Data'!C:C,'Master Data'!I:I)</f>
        <v>Main Group</v>
      </c>
      <c r="K46" s="72" t="str">
        <f t="array" ref="K46">XLOOKUP(C46,'Master Data'!C:C,'Master Data'!J:J)</f>
        <v/>
      </c>
      <c r="L46" s="74" t="str">
        <f t="array" ref="L46">XLOOKUP(C:C,TSR_Completion!C:C,TSR_Completion!M:M)</f>
        <v>#N/A</v>
      </c>
      <c r="M46" s="46" t="s">
        <v>798</v>
      </c>
      <c r="N46" s="4"/>
      <c r="O46" s="4"/>
      <c r="P46" s="4"/>
      <c r="Q46" s="4"/>
      <c r="R46" s="4"/>
      <c r="S46" s="4"/>
      <c r="T46" s="4"/>
      <c r="U46" s="4"/>
      <c r="V46" s="4"/>
      <c r="W46" s="4"/>
      <c r="X46" s="4"/>
      <c r="Y46" s="4"/>
    </row>
    <row r="47">
      <c r="A47" s="6">
        <v>630.0</v>
      </c>
      <c r="B47" s="6" t="s">
        <v>158</v>
      </c>
      <c r="C47" s="25">
        <v>7.7333239804E10</v>
      </c>
      <c r="D47" s="72" t="str">
        <f t="array" ref="D47">XLOOKUP(C47,'Master Data'!C:C,'Master Data'!D:D)</f>
        <v>Main</v>
      </c>
      <c r="E47" s="64" t="s">
        <v>819</v>
      </c>
      <c r="F47" s="72" t="str">
        <f t="array" ref="F47">XLOOKUP(C47,'Master Data'!C:C,'Master Data'!E:E)</f>
        <v>Vitthal Maruti Mane</v>
      </c>
      <c r="G47" s="72" t="str">
        <f t="array" ref="G47">XLOOKUP(C47,'Master Data'!C:C,'Master Data'!F:F)</f>
        <v/>
      </c>
      <c r="H47" s="72" t="str">
        <f t="array" ref="H47">XLOOKUP(C47,'Master Data'!C:C,'Master Data'!G:G)</f>
        <v>Balance Transfer</v>
      </c>
      <c r="I47" s="72" t="str">
        <f t="array" ref="I47">XLOOKUP(C47,'Master Data'!C:C,'Master Data'!H:H)</f>
        <v>All that piece and parcel of property bearing L Room No. 210, having an area admeasuring of 25.95 Sq. Mtrs. (Carpet Area 15.09 Sq. Mtrs. + Terrace Area 10.86 Sq. Mtrs.), situated on the Second Floor, in Building known as “Udyam Bizcasa”, out of the project known as “Udyam Bizcasa”, constructed/to be constructed on the entire land property, i.e. Survey No. 128/2 (Old Survey No. 128), situated at Village – Saswad, Taluka – Purandar, District – Pune and within local limits of Saswad Municipal Council.</v>
      </c>
      <c r="J47" s="72" t="str">
        <f t="array" ref="J47">XLOOKUP(C47,'Master Data'!C:C,'Master Data'!I:I)</f>
        <v>Document hard copy</v>
      </c>
      <c r="K47" s="72" t="str">
        <f t="array" ref="K47">XLOOKUP(C47,'Master Data'!C:C,'Master Data'!J:J)</f>
        <v/>
      </c>
      <c r="L47" s="74" t="str">
        <f t="array" ref="L47">XLOOKUP(C:C,TSR_Completion!C:C,TSR_Completion!M:M)</f>
        <v>Completed and Issued</v>
      </c>
      <c r="M47" s="46" t="s">
        <v>798</v>
      </c>
      <c r="N47" s="4"/>
      <c r="O47" s="4"/>
      <c r="P47" s="4"/>
      <c r="Q47" s="4"/>
      <c r="R47" s="4"/>
      <c r="S47" s="4"/>
      <c r="T47" s="4"/>
      <c r="U47" s="4"/>
      <c r="V47" s="4"/>
      <c r="W47" s="4"/>
      <c r="X47" s="4"/>
      <c r="Y47" s="4"/>
    </row>
    <row r="48">
      <c r="A48" s="6">
        <v>611.0</v>
      </c>
      <c r="B48" s="6" t="s">
        <v>158</v>
      </c>
      <c r="C48" s="25">
        <v>7.7000261957E10</v>
      </c>
      <c r="D48" s="72" t="str">
        <f t="array" ref="D48">XLOOKUP(C48,'Master Data'!C:C,'Master Data'!D:D)</f>
        <v>Chinchwad</v>
      </c>
      <c r="E48" s="64" t="s">
        <v>819</v>
      </c>
      <c r="F48" s="72" t="str">
        <f t="array" ref="F48">XLOOKUP(C48,'Master Data'!C:C,'Master Data'!E:E)</f>
        <v>MRUNALINI Vishwas Tongale</v>
      </c>
      <c r="G48" s="72" t="str">
        <f t="array" ref="G48">XLOOKUP(C48,'Master Data'!C:C,'Master Data'!F:F)</f>
        <v>Viraj Vishwas Tongale </v>
      </c>
      <c r="H48" s="72" t="str">
        <f t="array" ref="H48">XLOOKUP(C48,'Master Data'!C:C,'Master Data'!G:G)</f>
        <v>LAP</v>
      </c>
      <c r="I48" s="72" t="str">
        <f t="array" ref="I48">XLOOKUP(C48,'Master Data'!C:C,'Master Data'!H:H)</f>
        <v>All that piece and parcel of property bearing Shop (Store) No. 32, having an area admeasuring of 175 sq. feets., i.e. 16.26 sq. mtrs., situated on the Ground Floor, out of the project known as “Khandage Arcade”, constructed on the land bearing CTS No. 1158 to 1184, situated at Village – Talegaon Dabhade (Shahari), Taluka – Mawal, District – Pune.</v>
      </c>
      <c r="J48" s="72" t="str">
        <f t="array" ref="J48">XLOOKUP(C48,'Master Data'!C:C,'Master Data'!I:I)</f>
        <v>9307166109 Sir Whats up</v>
      </c>
      <c r="K48" s="72" t="str">
        <f t="array" ref="K48">XLOOKUP(C48,'Master Data'!C:C,'Master Data'!J:J)</f>
        <v/>
      </c>
      <c r="L48" s="74" t="str">
        <f t="array" ref="L48">XLOOKUP(C:C,TSR_Completion!C:C,TSR_Completion!M:M)</f>
        <v>Completed and Issued</v>
      </c>
      <c r="M48" s="46" t="s">
        <v>798</v>
      </c>
      <c r="N48" s="4"/>
      <c r="O48" s="4"/>
      <c r="P48" s="4"/>
      <c r="Q48" s="4"/>
      <c r="R48" s="4"/>
      <c r="S48" s="4"/>
      <c r="T48" s="4"/>
      <c r="U48" s="4"/>
      <c r="V48" s="4"/>
      <c r="W48" s="4"/>
      <c r="X48" s="4"/>
      <c r="Y48" s="4"/>
    </row>
    <row r="49">
      <c r="A49" s="6">
        <v>609.0</v>
      </c>
      <c r="B49" s="6" t="s">
        <v>158</v>
      </c>
      <c r="C49" s="30" t="s">
        <v>224</v>
      </c>
      <c r="D49" s="72" t="str">
        <f t="array" ref="D49">XLOOKUP(C49,'Master Data'!C:C,'Master Data'!D:D)</f>
        <v>Main</v>
      </c>
      <c r="E49" s="64" t="s">
        <v>819</v>
      </c>
      <c r="F49" s="72" t="str">
        <f t="array" ref="F49">XLOOKUP(C49,'Master Data'!C:C,'Master Data'!E:E)</f>
        <v>M/s. Wakadkar Brothers</v>
      </c>
      <c r="G49" s="72" t="str">
        <f t="array" ref="G49">XLOOKUP(C49,'Master Data'!C:C,'Master Data'!F:F)</f>
        <v>Mr. Vishal Yashwant Wakadkar
Mr. Yashwant Sopan Wakadkar</v>
      </c>
      <c r="H49" s="72" t="str">
        <f t="array" ref="H49">XLOOKUP(C49,'Master Data'!C:C,'Master Data'!G:G)</f>
        <v>LAP - RESI</v>
      </c>
      <c r="I49" s="72" t="str">
        <f t="array" ref="I49">XLOOKUP(C49,'Master Data'!C:C,'Master Data'!H:H)</f>
        <v>All that residential Flat bearing No. 406, situated on the 4th Floor, admeasuring 631 Sq. Ft. saleable built-up area along with terrace, in the project known as “Atelier”, constructed on the land bearing Survey No. 173/1/1B, situated at Village Mouje Wakad, Taluka Mulshi, District Pune, within the limits of Pimpri Chinchwad Municipal Corporation.</v>
      </c>
      <c r="J49" s="72" t="str">
        <f t="array" ref="J49">XLOOKUP(C49,'Master Data'!C:C,'Master Data'!I:I)</f>
        <v>9075190961 Sir what up Mail</v>
      </c>
      <c r="K49" s="72" t="str">
        <f t="array" ref="K49">XLOOKUP(C49,'Master Data'!C:C,'Master Data'!J:J)</f>
        <v/>
      </c>
      <c r="L49" s="74" t="str">
        <f t="array" ref="L49">XLOOKUP(C:C,TSR_Completion!C:C,TSR_Completion!M:M)</f>
        <v>Completed and Issued</v>
      </c>
      <c r="M49" s="46" t="s">
        <v>798</v>
      </c>
      <c r="N49" s="4"/>
      <c r="O49" s="4"/>
      <c r="P49" s="4"/>
      <c r="Q49" s="4"/>
      <c r="R49" s="4"/>
      <c r="S49" s="4"/>
      <c r="T49" s="4"/>
      <c r="U49" s="4"/>
      <c r="V49" s="4"/>
      <c r="W49" s="4"/>
      <c r="X49" s="4"/>
      <c r="Y49" s="4"/>
    </row>
    <row r="50">
      <c r="A50" s="78">
        <v>629.0</v>
      </c>
      <c r="B50" s="78" t="s">
        <v>158</v>
      </c>
      <c r="C50" s="79">
        <v>7.7000243087E10</v>
      </c>
      <c r="D50" s="80" t="str">
        <f t="array" ref="D50">XLOOKUP(C50,'Master Data'!C:C,'Master Data'!D:D)</f>
        <v>Wakad</v>
      </c>
      <c r="E50" s="78" t="s">
        <v>805</v>
      </c>
      <c r="F50" s="80" t="str">
        <f t="array" ref="F50">XLOOKUP(C50,'Master Data'!C:C,'Master Data'!E:E)</f>
        <v>Jayashree Sanjay Boddu</v>
      </c>
      <c r="G50" s="80" t="str">
        <f t="array" ref="G50">XLOOKUP(C50,'Master Data'!C:C,'Master Data'!F:F)</f>
        <v>Sanjay Ramchandra Boddu</v>
      </c>
      <c r="H50" s="80" t="str">
        <f t="array" ref="H50">XLOOKUP(C50,'Master Data'!C:C,'Master Data'!G:G)</f>
        <v>Resale purchase</v>
      </c>
      <c r="I50" s="80" t="str">
        <f t="array" ref="I50">XLOOKUP(C50,'Master Data'!C:C,'Master Data'!H:H)</f>
        <v>Ares, i.e. total area admeasuring of H. 00-24 Ares, assessed at Rs. 00-44 Paise, situated at Village</v>
      </c>
      <c r="J50" s="78" t="s">
        <v>820</v>
      </c>
      <c r="K50" s="80" t="str">
        <f t="array" ref="K50">XLOOKUP(C50,'Master Data'!C:C,'Master Data'!J:J)</f>
        <v/>
      </c>
      <c r="L50" s="81" t="str">
        <f t="array" ref="L50">XLOOKUP(C:C,TSR_Completion!C:C,TSR_Completion!M:M)</f>
        <v>#N/A</v>
      </c>
      <c r="M50" s="82" t="s">
        <v>798</v>
      </c>
      <c r="N50" s="4"/>
      <c r="O50" s="4"/>
      <c r="P50" s="4"/>
      <c r="Q50" s="4"/>
      <c r="R50" s="4"/>
      <c r="S50" s="4"/>
      <c r="T50" s="4"/>
      <c r="U50" s="4"/>
      <c r="V50" s="4"/>
      <c r="W50" s="4"/>
      <c r="X50" s="4"/>
      <c r="Y50" s="4"/>
    </row>
    <row r="51">
      <c r="A51" s="6">
        <v>620.0</v>
      </c>
      <c r="B51" s="6" t="s">
        <v>158</v>
      </c>
      <c r="C51" s="50">
        <v>7.7000258312E10</v>
      </c>
      <c r="D51" s="72" t="str">
        <f t="array" ref="D51">XLOOKUP(C51,'Master Data'!C:C,'Master Data'!D:D)</f>
        <v>Chinchwad</v>
      </c>
      <c r="E51" s="64" t="s">
        <v>802</v>
      </c>
      <c r="F51" s="72" t="str">
        <f t="array" ref="F51">XLOOKUP(C51,'Master Data'!C:C,'Master Data'!E:E)</f>
        <v>Tejpal Navalmal Jain</v>
      </c>
      <c r="G51" s="72" t="str">
        <f t="array" ref="G51">XLOOKUP(C51,'Master Data'!C:C,'Master Data'!F:F)</f>
        <v>Sunita Tejpal Jain</v>
      </c>
      <c r="H51" s="72" t="str">
        <f t="array" ref="H51">XLOOKUP(C51,'Master Data'!C:C,'Master Data'!G:G)</f>
        <v>LAP</v>
      </c>
      <c r="I51" s="72" t="str">
        <f t="array" ref="I51">XLOOKUP(C51,'Master Data'!C:C,'Master Data'!H:H)</f>
        <v>All that piece and parcel of Shop No. 7, situated on the Ground Floor, admeasuring 192 Sq. Ft. carpet area (i.e. 17.84 Sq. Mtrs.) along with loft area admeasuring 96 Sq. Ft. (i.e. 8.92 Sq. Mtrs.), aggregating to 240 Sq. Ft. built-up area (i.e. 22.30 Sq. Mtrs.) and equivalent to 324 Sq. Ft. saleable area (i.e. 30.11 Sq. Mtrs.), together with car parking admeasuring 100 Sq. Ft. (i.e. 9.29 Sq. Mtrs.), situated in the building known as “Business Plaza”, constructed on the entire land property, i.e. Final Plot No. 230, Town Planning Scheme III, Ghorpade Peth (Old Ganj Peth), Pune, within the limits of Pune Municipal Corporation and within the jurisdiction of Sub-Registrar Haveli, District Pune.</v>
      </c>
      <c r="J51" s="72" t="str">
        <f t="array" ref="J51">XLOOKUP(C51,'Master Data'!C:C,'Master Data'!I:I)</f>
        <v>Mail</v>
      </c>
      <c r="K51" s="72" t="str">
        <f t="array" ref="K51">XLOOKUP(C51,'Master Data'!C:C,'Master Data'!J:J)</f>
        <v/>
      </c>
      <c r="L51" s="74" t="str">
        <f t="array" ref="L51">XLOOKUP(C:C,TSR_Completion!C:C,TSR_Completion!M:M)</f>
        <v>Completed and Issued</v>
      </c>
      <c r="M51" s="46" t="s">
        <v>798</v>
      </c>
      <c r="N51" s="4"/>
      <c r="O51" s="4"/>
      <c r="P51" s="4"/>
      <c r="Q51" s="4"/>
      <c r="R51" s="4"/>
      <c r="S51" s="4"/>
      <c r="T51" s="4"/>
      <c r="U51" s="4"/>
      <c r="V51" s="4"/>
      <c r="W51" s="4"/>
      <c r="X51" s="4"/>
      <c r="Y51" s="4"/>
    </row>
    <row r="52">
      <c r="A52" s="6">
        <v>608.0</v>
      </c>
      <c r="B52" s="6" t="s">
        <v>158</v>
      </c>
      <c r="C52" s="71">
        <v>7.700245883E9</v>
      </c>
      <c r="D52" s="72" t="str">
        <f t="array" ref="D52">XLOOKUP(C52,'Master Data'!C:C,'Master Data'!D:D)</f>
        <v>Kharadi</v>
      </c>
      <c r="E52" s="64" t="s">
        <v>819</v>
      </c>
      <c r="F52" s="72" t="str">
        <f t="array" ref="F52">XLOOKUP(C52,'Master Data'!C:C,'Master Data'!E:E)</f>
        <v>Gaurav Paigude</v>
      </c>
      <c r="G52" s="72" t="str">
        <f t="array" ref="G52">XLOOKUP(C52,'Master Data'!C:C,'Master Data'!F:F)</f>
        <v>Shobha Paigude</v>
      </c>
      <c r="H52" s="72" t="str">
        <f t="array" ref="H52">XLOOKUP(C52,'Master Data'!C:C,'Master Data'!G:G)</f>
        <v>BT</v>
      </c>
      <c r="I52" s="72" t="str">
        <f t="array" ref="I52">XLOOKUP(C52,'Master Data'!C:C,'Master Data'!H:H)</f>
        <v>All that piece and parcel of Flat No. 10, admeasuring of 500 sq. ft. (i.e. 46.46 sq. mtrs.) saleable area, situated on the Second Floor of the building known as “Pari Heights”, constructed on land bearing Survey No. 45, Hissa No. 6, admeasuring in aggregate 00 Hectare 37 Are (including Pot Kharaba), assessed at Rs. 00.31 Paise, situated at Village Mouje Nere, Taluka Haveli, District Pune and within local limits of Pune Municipal Corporation, Pune.</v>
      </c>
      <c r="J52" s="72" t="str">
        <f t="array" ref="J52">XLOOKUP(C52,'Master Data'!C:C,'Master Data'!I:I)</f>
        <v>Group</v>
      </c>
      <c r="K52" s="72" t="str">
        <f t="array" ref="K52">XLOOKUP(C52,'Master Data'!C:C,'Master Data'!J:J)</f>
        <v/>
      </c>
      <c r="L52" s="74" t="str">
        <f t="array" ref="L52">XLOOKUP(C:C,TSR_Completion!C:C,TSR_Completion!M:M)</f>
        <v>Completed and Issued</v>
      </c>
      <c r="M52" s="46" t="s">
        <v>798</v>
      </c>
      <c r="N52" s="4"/>
      <c r="O52" s="4"/>
      <c r="P52" s="4"/>
      <c r="Q52" s="4"/>
      <c r="R52" s="4"/>
      <c r="S52" s="4"/>
      <c r="T52" s="4"/>
      <c r="U52" s="4"/>
      <c r="V52" s="4"/>
      <c r="W52" s="4"/>
      <c r="X52" s="4"/>
      <c r="Y52" s="4"/>
    </row>
    <row r="53">
      <c r="A53" s="6">
        <v>604.0</v>
      </c>
      <c r="B53" s="6" t="s">
        <v>158</v>
      </c>
      <c r="C53" s="26">
        <v>7.70002477E10</v>
      </c>
      <c r="D53" s="72" t="str">
        <f t="array" ref="D53">XLOOKUP(C53,'Master Data'!C:C,'Master Data'!D:D)</f>
        <v>Main</v>
      </c>
      <c r="E53" s="64" t="s">
        <v>802</v>
      </c>
      <c r="F53" s="72" t="str">
        <f t="array" ref="F53">XLOOKUP(C53,'Master Data'!C:C,'Master Data'!E:E)</f>
        <v>Anil Dhananjay Akhade (Project - Mauli Park)</v>
      </c>
      <c r="G53" s="72" t="str">
        <f t="array" ref="G53">XLOOKUP(C53,'Master Data'!C:C,'Master Data'!F:F)</f>
        <v/>
      </c>
      <c r="H53" s="72" t="str">
        <f t="array" ref="H53">XLOOKUP(C53,'Master Data'!C:C,'Master Data'!G:G)</f>
        <v>APF_1</v>
      </c>
      <c r="I53" s="72" t="str">
        <f t="array" ref="I53">XLOOKUP(C53,'Master Data'!C:C,'Master Data'!H:H)</f>
        <v>Pune. Khadakwasala. S. No. 33</v>
      </c>
      <c r="J53" s="72" t="str">
        <f t="array" ref="J53">XLOOKUP(C53,'Master Data'!C:C,'Master Data'!I:I)</f>
        <v/>
      </c>
      <c r="K53" s="72" t="str">
        <f t="array" ref="K53">XLOOKUP(C53,'Master Data'!C:C,'Master Data'!J:J)</f>
        <v/>
      </c>
      <c r="L53" s="74" t="str">
        <f t="array" ref="L53">XLOOKUP(C:C,TSR_Completion!C:C,TSR_Completion!M:M)</f>
        <v>Completed and Issued</v>
      </c>
      <c r="M53" s="46" t="s">
        <v>798</v>
      </c>
      <c r="N53" s="4"/>
      <c r="O53" s="4"/>
      <c r="P53" s="4"/>
      <c r="Q53" s="4"/>
      <c r="R53" s="4"/>
      <c r="S53" s="4"/>
      <c r="T53" s="4"/>
      <c r="U53" s="4"/>
      <c r="V53" s="4"/>
      <c r="W53" s="4"/>
      <c r="X53" s="4"/>
      <c r="Y53" s="4"/>
    </row>
    <row r="54">
      <c r="A54" s="6">
        <v>605.0</v>
      </c>
      <c r="B54" s="6" t="s">
        <v>158</v>
      </c>
      <c r="C54" s="26" t="s">
        <v>379</v>
      </c>
      <c r="D54" s="72" t="str">
        <f t="array" ref="D54">XLOOKUP(C54,'Master Data'!C:C,'Master Data'!D:D)</f>
        <v>Main</v>
      </c>
      <c r="E54" s="64" t="s">
        <v>821</v>
      </c>
      <c r="F54" s="72" t="str">
        <f t="array" ref="F54">XLOOKUP(C54,'Master Data'!C:C,'Master Data'!E:E)</f>
        <v>Skylark Apartments RVR 7A at Riverview City</v>
      </c>
      <c r="G54" s="72" t="str">
        <f t="array" ref="G54">XLOOKUP(C54,'Master Data'!C:C,'Master Data'!F:F)</f>
        <v/>
      </c>
      <c r="H54" s="72" t="str">
        <f t="array" ref="H54">XLOOKUP(C54,'Master Data'!C:C,'Master Data'!G:G)</f>
        <v>APF_2</v>
      </c>
      <c r="I54" s="72" t="str">
        <f t="array" ref="I54">XLOOKUP(C54,'Master Data'!C:C,'Master Data'!H:H)</f>
        <v>Pune. Kadmakvasti. S. No. 540</v>
      </c>
      <c r="J54" s="72" t="str">
        <f t="array" ref="J54">XLOOKUP(C54,'Master Data'!C:C,'Master Data'!I:I)</f>
        <v/>
      </c>
      <c r="K54" s="72" t="str">
        <f t="array" ref="K54">XLOOKUP(C54,'Master Data'!C:C,'Master Data'!J:J)</f>
        <v/>
      </c>
      <c r="L54" s="74" t="str">
        <f t="array" ref="L54">XLOOKUP(C:C,TSR_Completion!C:C,TSR_Completion!M:M)</f>
        <v>Completed and Issued</v>
      </c>
      <c r="M54" s="46" t="s">
        <v>798</v>
      </c>
      <c r="N54" s="4"/>
      <c r="O54" s="4"/>
      <c r="P54" s="4"/>
      <c r="Q54" s="4"/>
      <c r="R54" s="4"/>
      <c r="S54" s="4"/>
      <c r="T54" s="4"/>
      <c r="U54" s="4"/>
      <c r="V54" s="4"/>
      <c r="W54" s="4"/>
      <c r="X54" s="4"/>
      <c r="Y54" s="4"/>
    </row>
    <row r="55">
      <c r="A55" s="6">
        <v>622.0</v>
      </c>
      <c r="B55" s="6" t="s">
        <v>158</v>
      </c>
      <c r="C55" s="26">
        <v>7.7000258586E10</v>
      </c>
      <c r="D55" s="72" t="str">
        <f t="array" ref="D55">XLOOKUP(C55,'Master Data'!C:C,'Master Data'!D:D)</f>
        <v>wakad</v>
      </c>
      <c r="E55" s="64" t="s">
        <v>821</v>
      </c>
      <c r="F55" s="72" t="str">
        <f t="array" ref="F55">XLOOKUP(C55,'Master Data'!C:C,'Master Data'!E:E)</f>
        <v>Satish Sudam More</v>
      </c>
      <c r="G55" s="72" t="str">
        <f t="array" ref="G55">XLOOKUP(C55,'Master Data'!C:C,'Master Data'!F:F)</f>
        <v>Anita Satish More</v>
      </c>
      <c r="H55" s="72" t="str">
        <f t="array" ref="H55">XLOOKUP(C55,'Master Data'!C:C,'Master Data'!G:G)</f>
        <v>Resale Home Loan</v>
      </c>
      <c r="I55" s="75" t="s">
        <v>822</v>
      </c>
      <c r="J55" s="72" t="str">
        <f t="array" ref="J55">XLOOKUP(C55,'Master Data'!C:C,'Master Data'!I:I)</f>
        <v/>
      </c>
      <c r="K55" s="72" t="str">
        <f t="array" ref="K55">XLOOKUP(C55,'Master Data'!C:C,'Master Data'!J:J)</f>
        <v/>
      </c>
      <c r="L55" s="74" t="str">
        <f t="array" ref="L55">XLOOKUP(C:C,TSR_Completion!C:C,TSR_Completion!M:M)</f>
        <v>Completed and Issued</v>
      </c>
      <c r="M55" s="46" t="s">
        <v>798</v>
      </c>
      <c r="N55" s="4"/>
      <c r="O55" s="4"/>
      <c r="P55" s="4"/>
      <c r="Q55" s="4"/>
      <c r="R55" s="4"/>
      <c r="S55" s="4"/>
      <c r="T55" s="4"/>
      <c r="U55" s="4"/>
      <c r="V55" s="4"/>
      <c r="W55" s="4"/>
      <c r="X55" s="4"/>
      <c r="Y55" s="4"/>
    </row>
    <row r="56">
      <c r="A56" s="6">
        <v>628.0</v>
      </c>
      <c r="B56" s="6" t="s">
        <v>158</v>
      </c>
      <c r="C56" s="71">
        <v>7.7000261531E10</v>
      </c>
      <c r="D56" s="72" t="str">
        <f t="array" ref="D56">XLOOKUP(C56,'Master Data'!C:C,'Master Data'!D:D)</f>
        <v>kolhapur</v>
      </c>
      <c r="E56" s="64" t="s">
        <v>821</v>
      </c>
      <c r="F56" s="72" t="str">
        <f t="array" ref="F56">XLOOKUP(C56,'Master Data'!C:C,'Master Data'!E:E)</f>
        <v>Sanket Maruti Kambale</v>
      </c>
      <c r="G56" s="72" t="str">
        <f t="array" ref="G56">XLOOKUP(C56,'Master Data'!C:C,'Master Data'!F:F)</f>
        <v>Maruti Vilas Kambale</v>
      </c>
      <c r="H56" s="72" t="str">
        <f t="array" ref="H56">XLOOKUP(C56,'Master Data'!C:C,'Master Data'!G:G)</f>
        <v>builder purchase 
Apna ghar Dreamz</v>
      </c>
      <c r="I56" s="72" t="str">
        <f t="array" ref="I56">XLOOKUP(C56,'Master Data'!C:C,'Master Data'!H:H)</f>
        <v>Tamgaon Kolhapure S.No. 1008</v>
      </c>
      <c r="J56" s="75" t="s">
        <v>373</v>
      </c>
      <c r="K56" s="72" t="str">
        <f t="array" ref="K56">XLOOKUP(C56,'Master Data'!C:C,'Master Data'!J:J)</f>
        <v/>
      </c>
      <c r="L56" s="74" t="str">
        <f t="array" ref="L56">XLOOKUP(C:C,TSR_Completion!C:C,TSR_Completion!M:M)</f>
        <v>#N/A</v>
      </c>
      <c r="M56" s="46" t="s">
        <v>798</v>
      </c>
      <c r="N56" s="4"/>
      <c r="O56" s="4"/>
      <c r="P56" s="4"/>
      <c r="Q56" s="4"/>
      <c r="R56" s="4"/>
      <c r="S56" s="4"/>
      <c r="T56" s="4"/>
      <c r="U56" s="4"/>
      <c r="V56" s="4"/>
      <c r="W56" s="4"/>
      <c r="X56" s="4"/>
      <c r="Y56" s="4"/>
    </row>
    <row r="57">
      <c r="A57" s="6">
        <v>617.0</v>
      </c>
      <c r="B57" s="6" t="s">
        <v>158</v>
      </c>
      <c r="C57" s="26">
        <v>7.7000259987E10</v>
      </c>
      <c r="D57" s="72" t="str">
        <f t="array" ref="D57">XLOOKUP(C57,'Master Data'!C:C,'Master Data'!D:D)</f>
        <v>Kharadi</v>
      </c>
      <c r="E57" s="64" t="s">
        <v>821</v>
      </c>
      <c r="F57" s="72" t="str">
        <f t="array" ref="F57">XLOOKUP(C57,'Master Data'!C:C,'Master Data'!E:E)</f>
        <v>Juber Mahmadhusen Shaikh</v>
      </c>
      <c r="G57" s="72" t="str">
        <f t="array" ref="G57">XLOOKUP(C57,'Master Data'!C:C,'Master Data'!F:F)</f>
        <v/>
      </c>
      <c r="H57" s="72" t="str">
        <f t="array" ref="H57">XLOOKUP(C57,'Master Data'!C:C,'Master Data'!G:G)</f>
        <v>BT TOP UP </v>
      </c>
      <c r="I57" s="72" t="str">
        <f t="array" ref="I57">XLOOKUP(C57,'Master Data'!C:C,'Master Data'!H:H)</f>
        <v>Avalwadi (Wagholi) S.No.861</v>
      </c>
      <c r="J57" s="75" t="s">
        <v>373</v>
      </c>
      <c r="K57" s="72" t="str">
        <f t="array" ref="K57">XLOOKUP(C57,'Master Data'!C:C,'Master Data'!J:J)</f>
        <v/>
      </c>
      <c r="L57" s="74" t="str">
        <f t="array" ref="L57">XLOOKUP(C:C,TSR_Completion!C:C,TSR_Completion!M:M)</f>
        <v>Completed and Issued</v>
      </c>
      <c r="M57" s="46" t="s">
        <v>798</v>
      </c>
      <c r="N57" s="4"/>
      <c r="O57" s="4"/>
      <c r="P57" s="4"/>
      <c r="Q57" s="4"/>
      <c r="R57" s="4"/>
      <c r="S57" s="4"/>
      <c r="T57" s="4"/>
      <c r="U57" s="4"/>
      <c r="V57" s="4"/>
      <c r="W57" s="4"/>
      <c r="X57" s="4"/>
      <c r="Y57" s="4"/>
    </row>
    <row r="58">
      <c r="A58" s="6">
        <v>618.0</v>
      </c>
      <c r="B58" s="6" t="s">
        <v>158</v>
      </c>
      <c r="C58" s="26">
        <v>7.7000257036E10</v>
      </c>
      <c r="D58" s="72" t="str">
        <f t="array" ref="D58">XLOOKUP(C58,'Master Data'!C:C,'Master Data'!D:D)</f>
        <v>Kharadi</v>
      </c>
      <c r="E58" s="64" t="s">
        <v>821</v>
      </c>
      <c r="F58" s="72" t="str">
        <f t="array" ref="F58">XLOOKUP(C58,'Master Data'!C:C,'Master Data'!E:E)</f>
        <v>Haresh Pawar</v>
      </c>
      <c r="G58" s="72" t="str">
        <f t="array" ref="G58">XLOOKUP(C58,'Master Data'!C:C,'Master Data'!F:F)</f>
        <v/>
      </c>
      <c r="H58" s="72" t="str">
        <f t="array" ref="H58">XLOOKUP(C58,'Master Data'!C:C,'Master Data'!G:G)</f>
        <v>HL Resell Purchase</v>
      </c>
      <c r="I58" s="72" t="str">
        <f t="array" ref="I58">XLOOKUP(C58,'Master Data'!C:C,'Master Data'!H:H)</f>
        <v>All that piece and parcel of property bearing Flat No. 10, having an area admeasuring of 438.25 sq. feets., i.e. 40.72 sq. mtrs., situated on the Second Floor, out of the project known as “Swami Samarth”, constructed on the entire land property, i.e. Plot No. 19, carved out of Gat No. 285, situated at Village – Karegaon, Taluka – Shirur, District – Pune.</v>
      </c>
      <c r="J58" s="75" t="s">
        <v>373</v>
      </c>
      <c r="K58" s="72" t="str">
        <f t="array" ref="K58">XLOOKUP(C58,'Master Data'!C:C,'Master Data'!J:J)</f>
        <v/>
      </c>
      <c r="L58" s="74" t="str">
        <f t="array" ref="L58">XLOOKUP(C:C,TSR_Completion!C:C,TSR_Completion!M:M)</f>
        <v>Completed and Issued</v>
      </c>
      <c r="M58" s="46" t="s">
        <v>798</v>
      </c>
      <c r="N58" s="4"/>
      <c r="O58" s="4"/>
      <c r="P58" s="4"/>
      <c r="Q58" s="4"/>
      <c r="R58" s="4"/>
      <c r="S58" s="4"/>
      <c r="T58" s="4"/>
      <c r="U58" s="4"/>
      <c r="V58" s="4"/>
      <c r="W58" s="4"/>
      <c r="X58" s="4"/>
      <c r="Y58" s="4"/>
    </row>
    <row r="59">
      <c r="A59" s="6">
        <v>641.0</v>
      </c>
      <c r="B59" s="6" t="s">
        <v>158</v>
      </c>
      <c r="C59" s="26">
        <v>7.7000236127E10</v>
      </c>
      <c r="D59" s="72" t="str">
        <f t="array" ref="D59">XLOOKUP(C59,'Master Data'!C:C,'Master Data'!D:D)</f>
        <v>Main</v>
      </c>
      <c r="E59" s="64" t="s">
        <v>823</v>
      </c>
      <c r="F59" s="72" t="str">
        <f t="array" ref="F59">XLOOKUP(C59,'Master Data'!C:C,'Master Data'!E:E)</f>
        <v>Sharanbasppa khyamanna Sangundi </v>
      </c>
      <c r="G59" s="72" t="str">
        <f t="array" ref="G59">XLOOKUP(C59,'Master Data'!C:C,'Master Data'!F:F)</f>
        <v>Asharani sharanbasppa Sangundi</v>
      </c>
      <c r="H59" s="72" t="str">
        <f t="array" ref="H59">XLOOKUP(C59,'Master Data'!C:C,'Master Data'!G:G)</f>
        <v> HL BT + Top Up </v>
      </c>
      <c r="I59" s="72" t="str">
        <f t="array" ref="I59">XLOOKUP(C59,'Master Data'!C:C,'Master Data'!H:H)</f>
        <v>All that piece and parcel of Flat No. 802, situated on the Eighth Floor in “C” Wing of the residential project known as “Dwaraka Square”, constructed on land bearing Survey No. 187/1 (Old Survey No. 587/1) admeasuring 00 Hectare 22 Ares, Survey No. 187/2 (Old Survey No. 587/2) admeasuring 00 Hectare 43 Ares, Survey No. 187/3 (Old Survey No. 587/3) admeasuring 00 Hectare 46 Ares, Survey No. 188/1 (Old Survey No. 586/1) admeasuring 00 Hectare 04 Ares, Survey No. 188/2A (Old Survey No. 586/2) admeasuring 00 Hectare 21 Ares, Survey No. 188/2B (Old Survey No. 586/2B) admeasuring 00 Hectare 16 Ares, Survey No. 188/3 (Old Survey No. 588/3) admeasuring 00 Hectare 24 Ares and Survey No. 188/4 (Old Survey No. 586/4) admeasuring 00 Hectare 18 Ares, situated at Village Chovisawadi, Taluka Haveli, District Pune, within the limits of Pune Municipal Corporation; said flat admeasuring 32.17 Sq. Mtrs. carpet area, along with enclosed balcony area admeasuring 4.52 Sq. Mtrs., cupboard area admeasuring 0.16 Sq. Mtrs., and terrace area admeasuring 8.24 Sq. Mtrs.</v>
      </c>
      <c r="J59" s="72" t="str">
        <f t="array" ref="J59">XLOOKUP(C59,'Master Data'!C:C,'Master Data'!I:I)</f>
        <v>Choviswadi. S. No. 187</v>
      </c>
      <c r="K59" s="72" t="str">
        <f t="array" ref="K59">XLOOKUP(C59,'Master Data'!C:C,'Master Data'!J:J)</f>
        <v/>
      </c>
      <c r="L59" s="74" t="str">
        <f t="array" ref="L59">XLOOKUP(C:C,TSR_Completion!C:C,TSR_Completion!M:M)</f>
        <v>Completed and Issued</v>
      </c>
      <c r="M59" s="46" t="s">
        <v>798</v>
      </c>
      <c r="N59" s="4"/>
      <c r="O59" s="4"/>
      <c r="P59" s="4"/>
      <c r="Q59" s="4"/>
      <c r="R59" s="4"/>
      <c r="S59" s="4"/>
      <c r="T59" s="4"/>
      <c r="U59" s="4"/>
      <c r="V59" s="4"/>
      <c r="W59" s="4"/>
      <c r="X59" s="4"/>
      <c r="Y59" s="4"/>
    </row>
    <row r="60">
      <c r="A60" s="6">
        <v>621.0</v>
      </c>
      <c r="B60" s="6" t="s">
        <v>158</v>
      </c>
      <c r="C60" s="26">
        <v>7.7000261134E10</v>
      </c>
      <c r="D60" s="72" t="str">
        <f t="array" ref="D60">XLOOKUP(C60,'Master Data'!C:C,'Master Data'!D:D)</f>
        <v>Baner</v>
      </c>
      <c r="E60" s="64" t="s">
        <v>823</v>
      </c>
      <c r="F60" s="72" t="str">
        <f t="array" ref="F60">XLOOKUP(C60,'Master Data'!C:C,'Master Data'!E:E)</f>
        <v>Akshay Sartape</v>
      </c>
      <c r="G60" s="72" t="str">
        <f t="array" ref="G60">XLOOKUP(C60,'Master Data'!C:C,'Master Data'!F:F)</f>
        <v>Laxman Sartape</v>
      </c>
      <c r="H60" s="72" t="str">
        <f t="array" ref="H60">XLOOKUP(C60,'Master Data'!C:C,'Master Data'!G:G)</f>
        <v>LAP</v>
      </c>
      <c r="I60" s="72" t="str">
        <f t="array" ref="I60">XLOOKUP(C60,'Master Data'!C:C,'Master Data'!H:H)</f>
        <v>Kharadi S.No.41</v>
      </c>
      <c r="J60" s="75" t="s">
        <v>373</v>
      </c>
      <c r="K60" s="72" t="str">
        <f t="array" ref="K60">XLOOKUP(C60,'Master Data'!C:C,'Master Data'!J:J)</f>
        <v/>
      </c>
      <c r="L60" s="74" t="str">
        <f t="array" ref="L60">XLOOKUP(C:C,TSR_Completion!C:C,TSR_Completion!M:M)</f>
        <v>#N/A</v>
      </c>
      <c r="M60" s="46" t="s">
        <v>798</v>
      </c>
      <c r="N60" s="4"/>
      <c r="O60" s="4"/>
      <c r="P60" s="4"/>
      <c r="Q60" s="4"/>
      <c r="R60" s="4"/>
      <c r="S60" s="4"/>
      <c r="T60" s="4"/>
      <c r="U60" s="4"/>
      <c r="V60" s="4"/>
      <c r="W60" s="4"/>
      <c r="X60" s="4"/>
      <c r="Y60" s="4"/>
    </row>
    <row r="61">
      <c r="A61" s="6">
        <v>642.0</v>
      </c>
      <c r="B61" s="6" t="s">
        <v>158</v>
      </c>
      <c r="C61" s="26">
        <v>7.7000257714E10</v>
      </c>
      <c r="D61" s="72" t="str">
        <f t="array" ref="D61">XLOOKUP(C61,'Master Data'!C:C,'Master Data'!D:D)</f>
        <v>kolhapur</v>
      </c>
      <c r="E61" s="64" t="s">
        <v>823</v>
      </c>
      <c r="F61" s="72" t="str">
        <f t="array" ref="F61">XLOOKUP(C61,'Master Data'!C:C,'Master Data'!E:E)</f>
        <v>Pradip Appasaheb Sawant</v>
      </c>
      <c r="G61" s="72" t="str">
        <f t="array" ref="G61">XLOOKUP(C61,'Master Data'!C:C,'Master Data'!F:F)</f>
        <v>Jyoti Pradip Sawant</v>
      </c>
      <c r="H61" s="72" t="str">
        <f t="array" ref="H61">XLOOKUP(C61,'Master Data'!C:C,'Master Data'!G:G)</f>
        <v>builder purchase 
Apna ghar Dreamz</v>
      </c>
      <c r="I61" s="72" t="str">
        <f t="array" ref="I61">XLOOKUP(C61,'Master Data'!C:C,'Master Data'!H:H)</f>
        <v>All that piece and parcel of property bearing Row House Unit No. 2, having ½ land area out of the entire land property i.e. 56.25 sq. mtrs., along with the construction of RCC building constructed thereon consisting of two floor having total built-up area admeasuring of 86.90 sq. mtrs., (as per assessment 92.09 sq. mtrs.,), having corresponding Grampanchayat Milkat No. 7748/1, constructed on the entire land property, i.e. Plot No. 20, admeasuring about 112.50 Sq. Mtrs., being part of Gat No. 344/3, situated at Village Uchgaon, Taluka Karveer, District Kolhapur.</v>
      </c>
      <c r="J61" s="75" t="s">
        <v>373</v>
      </c>
      <c r="K61" s="72" t="str">
        <f t="array" ref="K61">XLOOKUP(C61,'Master Data'!C:C,'Master Data'!J:J)</f>
        <v/>
      </c>
      <c r="L61" s="74" t="str">
        <f t="array" ref="L61">XLOOKUP(C:C,TSR_Completion!C:C,TSR_Completion!M:M)</f>
        <v>Completed and Issued</v>
      </c>
      <c r="M61" s="46" t="s">
        <v>798</v>
      </c>
      <c r="N61" s="4"/>
      <c r="O61" s="4"/>
      <c r="P61" s="4"/>
      <c r="Q61" s="4"/>
      <c r="R61" s="4"/>
      <c r="S61" s="4"/>
      <c r="T61" s="4"/>
      <c r="U61" s="4"/>
      <c r="V61" s="4"/>
      <c r="W61" s="4"/>
      <c r="X61" s="4"/>
      <c r="Y61" s="4"/>
    </row>
    <row r="62">
      <c r="A62" s="6">
        <v>616.0</v>
      </c>
      <c r="B62" s="6" t="s">
        <v>158</v>
      </c>
      <c r="C62" s="83">
        <v>7.7000258379E10</v>
      </c>
      <c r="D62" s="72" t="str">
        <f t="array" ref="D62">XLOOKUP(C62,'Master Data'!C:C,'Master Data'!D:D)</f>
        <v>Baner</v>
      </c>
      <c r="E62" s="64" t="s">
        <v>821</v>
      </c>
      <c r="F62" s="72" t="str">
        <f t="array" ref="F62">XLOOKUP(C62,'Master Data'!C:C,'Master Data'!E:E)</f>
        <v>Mohammad Shoeb</v>
      </c>
      <c r="G62" s="72" t="str">
        <f t="array" ref="G62">XLOOKUP(C62,'Master Data'!C:C,'Master Data'!F:F)</f>
        <v/>
      </c>
      <c r="H62" s="72" t="str">
        <f t="array" ref="H62">XLOOKUP(C62,'Master Data'!C:C,'Master Data'!G:G)</f>
        <v>self contraction</v>
      </c>
      <c r="I62" s="72" t="str">
        <f t="array" ref="I62">XLOOKUP(C62,'Master Data'!C:C,'Master Data'!H:H)</f>
        <v>All that piece and parcel of property admeasuring of H. 00-01.39 Ares, i.e. 1500 sq. feets., out of Survey No. 7, Hissa No. 1, having total area admeasuring of H. 04-67 Ares, together with Pot-Kharab area admeasuring of H. 00-09 Ares, i.e. total area admeasuring of H. 04-76 Ares, assessed at Rs. 02-44 Paise, situated at Village – Marunji, Taluka – Mulshi, District – Pune</v>
      </c>
      <c r="J62" s="72" t="str">
        <f t="array" ref="J62">XLOOKUP(C62,'Master Data'!C:C,'Master Data'!I:I)</f>
        <v>Document in group</v>
      </c>
      <c r="K62" s="72" t="str">
        <f t="array" ref="K62">XLOOKUP(C62,'Master Data'!C:C,'Master Data'!J:J)</f>
        <v>CTC +VET</v>
      </c>
      <c r="L62" s="74" t="str">
        <f t="array" ref="L62">XLOOKUP(C:C,TSR_Completion!C:C,TSR_Completion!M:M)</f>
        <v>Completed and Issued</v>
      </c>
      <c r="M62" s="46" t="s">
        <v>798</v>
      </c>
      <c r="N62" s="4"/>
      <c r="O62" s="4"/>
      <c r="P62" s="4"/>
      <c r="Q62" s="4"/>
      <c r="R62" s="4"/>
      <c r="S62" s="4"/>
      <c r="T62" s="4"/>
      <c r="U62" s="4"/>
      <c r="V62" s="4"/>
      <c r="W62" s="4"/>
      <c r="X62" s="4"/>
      <c r="Y62" s="4"/>
    </row>
    <row r="63">
      <c r="A63" s="6">
        <v>610.0</v>
      </c>
      <c r="B63" s="6" t="s">
        <v>158</v>
      </c>
      <c r="C63" s="71">
        <v>7.7000222267E10</v>
      </c>
      <c r="D63" s="72" t="str">
        <f t="array" ref="D63">XLOOKUP(C63,'Master Data'!C:C,'Master Data'!D:D)</f>
        <v>Vishrantwadi</v>
      </c>
      <c r="E63" s="64" t="s">
        <v>802</v>
      </c>
      <c r="F63" s="72" t="str">
        <f t="array" ref="F63">XLOOKUP(C63,'Master Data'!C:C,'Master Data'!E:E)</f>
        <v>Aditya Vijay Wadekar</v>
      </c>
      <c r="G63" s="72" t="str">
        <f t="array" ref="G63">XLOOKUP(C63,'Master Data'!C:C,'Master Data'!F:F)</f>
        <v>Vijay Sitaram Wadekar</v>
      </c>
      <c r="H63" s="72" t="str">
        <f t="array" ref="H63">XLOOKUP(C63,'Master Data'!C:C,'Master Data'!G:G)</f>
        <v>Resale</v>
      </c>
      <c r="I63" s="72" t="str">
        <f t="array" ref="I63">XLOOKUP(C63,'Master Data'!C:C,'Master Data'!H:H)</f>
        <v>All that piece and parcel of property bearing Flat No. A-11, having an area admeasuring of 875 sq. feets., i.e. 81.31 sq. mtrs., situated on the Third Floor, out of the project known as “Rajlaxmi Glory”, constructed on the entire land property, i.e. Plot No. 2, carved out of Gat No. 490/1, (Old Gat No. 1842), situated at Village – Medankarwadi, Taluka – Khed, District – Pune.</v>
      </c>
      <c r="J63" s="72" t="str">
        <f t="array" ref="J63">XLOOKUP(C63,'Master Data'!C:C,'Master Data'!I:I)</f>
        <v>8600751454 Sir whats up</v>
      </c>
      <c r="K63" s="72" t="str">
        <f t="array" ref="K63">XLOOKUP(C63,'Master Data'!C:C,'Master Data'!J:J)</f>
        <v/>
      </c>
      <c r="L63" s="74" t="str">
        <f t="array" ref="L63">XLOOKUP(C:C,TSR_Completion!C:C,TSR_Completion!M:M)</f>
        <v>Completed and Issued</v>
      </c>
      <c r="M63" s="46" t="s">
        <v>798</v>
      </c>
      <c r="N63" s="4"/>
      <c r="O63" s="4"/>
      <c r="P63" s="4"/>
      <c r="Q63" s="4"/>
      <c r="R63" s="4"/>
      <c r="S63" s="4"/>
      <c r="T63" s="4"/>
      <c r="U63" s="4"/>
      <c r="V63" s="4"/>
      <c r="W63" s="4"/>
      <c r="X63" s="4"/>
      <c r="Y63" s="4"/>
    </row>
    <row r="64">
      <c r="A64" s="6">
        <v>614.0</v>
      </c>
      <c r="B64" s="6" t="s">
        <v>158</v>
      </c>
      <c r="C64" s="26">
        <v>7.792151834E9</v>
      </c>
      <c r="D64" s="72" t="str">
        <f t="array" ref="D64">XLOOKUP(C64,'Master Data'!C:C,'Master Data'!D:D)</f>
        <v>wakad</v>
      </c>
      <c r="E64" s="64" t="s">
        <v>823</v>
      </c>
      <c r="F64" s="72" t="str">
        <f t="array" ref="F64">XLOOKUP(C64,'Master Data'!C:C,'Master Data'!E:E)</f>
        <v>Sakib Biradar</v>
      </c>
      <c r="G64" s="72" t="str">
        <f t="array" ref="G64">XLOOKUP(C64,'Master Data'!C:C,'Master Data'!F:F)</f>
        <v>Shirin Biradar</v>
      </c>
      <c r="H64" s="72" t="str">
        <f t="array" ref="H64">XLOOKUP(C64,'Master Data'!C:C,'Master Data'!G:G)</f>
        <v>Resale</v>
      </c>
      <c r="I64" s="72" t="str">
        <f t="array" ref="I64">XLOOKUP(C64,'Master Data'!C:C,'Master Data'!H:H)</f>
        <v>Bhosari S.No. 484</v>
      </c>
      <c r="J64" s="72" t="str">
        <f t="array" ref="J64">XLOOKUP(C64,'Master Data'!C:C,'Master Data'!I:I)</f>
        <v>Document in group</v>
      </c>
      <c r="K64" s="72" t="str">
        <f t="array" ref="K64">XLOOKUP(C64,'Master Data'!C:C,'Master Data'!J:J)</f>
        <v/>
      </c>
      <c r="L64" s="74" t="str">
        <f t="array" ref="L64">XLOOKUP(C:C,TSR_Completion!C:C,TSR_Completion!M:M)</f>
        <v>Completed and Issued</v>
      </c>
      <c r="M64" s="46" t="s">
        <v>798</v>
      </c>
      <c r="N64" s="4"/>
      <c r="O64" s="4"/>
      <c r="P64" s="4"/>
      <c r="Q64" s="4"/>
      <c r="R64" s="4"/>
      <c r="S64" s="4"/>
      <c r="T64" s="4"/>
      <c r="U64" s="4"/>
      <c r="V64" s="4"/>
      <c r="W64" s="4"/>
      <c r="X64" s="4"/>
      <c r="Y64" s="4"/>
    </row>
    <row r="65">
      <c r="A65" s="6">
        <v>612.0</v>
      </c>
      <c r="B65" s="6" t="s">
        <v>158</v>
      </c>
      <c r="C65" s="6">
        <v>7.7000240185E10</v>
      </c>
      <c r="D65" s="72" t="str">
        <f t="array" ref="D65">XLOOKUP(C65,'Master Data'!C:C,'Master Data'!D:D)</f>
        <v>Main</v>
      </c>
      <c r="E65" s="64" t="s">
        <v>824</v>
      </c>
      <c r="F65" s="72" t="str">
        <f t="array" ref="F65">XLOOKUP(C65,'Master Data'!C:C,'Master Data'!E:E)</f>
        <v>Dnyaneshwar Balasaheb Kale</v>
      </c>
      <c r="G65" s="72" t="str">
        <f t="array" ref="G65">XLOOKUP(C65,'Master Data'!C:C,'Master Data'!F:F)</f>
        <v/>
      </c>
      <c r="H65" s="72" t="str">
        <f t="array" ref="H65">XLOOKUP(C65,'Master Data'!C:C,'Master Data'!G:G)</f>
        <v>Seller BT</v>
      </c>
      <c r="I65" s="72" t="str">
        <f t="array" ref="I65">XLOOKUP(C65,'Master Data'!C:C,'Master Data'!H:H)</f>
        <v>All that piece and parcel of Flat No. 304, Wing C, on the 3rd Floor, admeasuring 35.64 sq. mtrs. carpet area, along with enclosed balcony admeasuring 4.5 sq. mtrs., cupboard area admeasuring 0.44 sq. mtrs., dry balcony admeasuring 3 sq. mtrs., open terrace admeasuring 4.6 sq. mtrs., and one covered car parking space, in the project known as "Dynamic Grandeur – Phase 2 Essensia" (as per Index II) and forming part of the concerned Co-operative Housing Society, constructed on the land bearing: Survey No. 53 Hissa No. 4/2 admeasuring 0 Hectare 65 Ares, and Survey No. 54 (Part) admeasuring total 9 Hectares 32 Ares out of which 1 Hectare 60 Ares, and Survey No. 53/1 admeasuring 88 Ares, Survey No. 53/2 admeasuring 88 Ares, and Survey No. 53/3 admeasuring 82 Ares, out of the total land admeasuring 15,968.67 sq. mtrs., situated at Village Undri, Pune, within the limits of Pune Municipal Corporation and the jurisdiction of the Sub-Registrar, Haveli, Pune.</v>
      </c>
      <c r="J65" s="72" t="str">
        <f t="array" ref="J65">XLOOKUP(C65,'Master Data'!C:C,'Master Data'!I:I)</f>
        <v>.</v>
      </c>
      <c r="K65" s="72" t="str">
        <f t="array" ref="K65">XLOOKUP(C65,'Master Data'!C:C,'Master Data'!J:J)</f>
        <v>.</v>
      </c>
      <c r="L65" s="74" t="str">
        <f t="array" ref="L65">XLOOKUP(C:C,TSR_Completion!C:C,TSR_Completion!M:M)</f>
        <v>Completed and Issued</v>
      </c>
      <c r="M65" s="46" t="s">
        <v>825</v>
      </c>
      <c r="N65" s="4"/>
      <c r="O65" s="4"/>
      <c r="P65" s="4"/>
      <c r="Q65" s="4"/>
      <c r="R65" s="4"/>
      <c r="S65" s="4"/>
      <c r="T65" s="4"/>
      <c r="U65" s="4"/>
      <c r="V65" s="4"/>
      <c r="W65" s="4"/>
      <c r="X65" s="4"/>
      <c r="Y65" s="4"/>
    </row>
    <row r="66">
      <c r="A66" s="6">
        <v>613.0</v>
      </c>
      <c r="B66" s="6" t="s">
        <v>158</v>
      </c>
      <c r="C66" s="26" t="s">
        <v>431</v>
      </c>
      <c r="D66" s="72" t="str">
        <f t="array" ref="D66">XLOOKUP(C66,'Master Data'!C:C,'Master Data'!D:D)</f>
        <v>Vishrantwadi</v>
      </c>
      <c r="E66" s="64" t="s">
        <v>823</v>
      </c>
      <c r="F66" s="72" t="str">
        <f t="array" ref="F66">XLOOKUP(C66,'Master Data'!C:C,'Master Data'!E:E)</f>
        <v>Vishal Appasaheb Moholkar </v>
      </c>
      <c r="G66" s="72" t="str">
        <f t="array" ref="G66">XLOOKUP(C66,'Master Data'!C:C,'Master Data'!F:F)</f>
        <v>Vaibhav Appasaheb Moholkar</v>
      </c>
      <c r="H66" s="72" t="str">
        <f t="array" ref="H66">XLOOKUP(C66,'Master Data'!C:C,'Master Data'!G:G)</f>
        <v>BT</v>
      </c>
      <c r="I66" s="72" t="str">
        <f t="array" ref="I66">XLOOKUP(C66,'Master Data'!C:C,'Master Data'!H:H)</f>
        <v>All that piece and parcel of Shop No. 1, admeasuring 26.01 Sq. Mtrs. (i.e. 280 Sq. Ft.), together with 1.20% undivided share in the land, situated on the Ground Floor in the building known as “Sneha Complex Condominium”, constructed on Final Plot No. 359/B/1 of Town Planning Scheme No. 1, bearing CTS No. 1032/B/1, situated at Village Shivajinagar (Bhamburda), Taluka – Haveli, District – Pune and within local limits of Pune Municipal Corporation, Pune.</v>
      </c>
      <c r="J66" s="72" t="str">
        <f t="array" ref="J66">XLOOKUP(C66,'Master Data'!C:C,'Master Data'!I:I)</f>
        <v/>
      </c>
      <c r="K66" s="72" t="str">
        <f t="array" ref="K66">XLOOKUP(C66,'Master Data'!C:C,'Master Data'!J:J)</f>
        <v/>
      </c>
      <c r="L66" s="74" t="str">
        <f t="array" ref="L66">XLOOKUP(C:C,TSR_Completion!C:C,TSR_Completion!M:M)</f>
        <v>Completed and Issued</v>
      </c>
      <c r="M66" s="46" t="s">
        <v>798</v>
      </c>
      <c r="N66" s="4"/>
      <c r="O66" s="4"/>
      <c r="P66" s="4"/>
      <c r="Q66" s="4"/>
      <c r="R66" s="4"/>
      <c r="S66" s="4"/>
      <c r="T66" s="4"/>
      <c r="U66" s="4"/>
      <c r="V66" s="4"/>
      <c r="W66" s="4"/>
      <c r="X66" s="4"/>
      <c r="Y66" s="4"/>
    </row>
    <row r="67">
      <c r="A67" s="6">
        <v>615.0</v>
      </c>
      <c r="B67" s="6" t="s">
        <v>158</v>
      </c>
      <c r="C67" s="6" t="s">
        <v>435</v>
      </c>
      <c r="D67" s="72" t="str">
        <f t="array" ref="D67">XLOOKUP(C67,'Master Data'!C:C,'Master Data'!D:D)</f>
        <v>Main</v>
      </c>
      <c r="E67" s="64" t="s">
        <v>814</v>
      </c>
      <c r="F67" s="72" t="str">
        <f t="array" ref="F67">XLOOKUP(C67,'Master Data'!C:C,'Master Data'!E:E)</f>
        <v>RIVERAIN CLASSIC</v>
      </c>
      <c r="G67" s="72" t="str">
        <f t="array" ref="G67">XLOOKUP(C67,'Master Data'!C:C,'Master Data'!F:F)</f>
        <v/>
      </c>
      <c r="H67" s="72" t="str">
        <f t="array" ref="H67">XLOOKUP(C67,'Master Data'!C:C,'Master Data'!G:G)</f>
        <v/>
      </c>
      <c r="I67" s="72" t="str">
        <f t="array" ref="I67">XLOOKUP(C67,'Master Data'!C:C,'Master Data'!H:H)</f>
        <v>All that piece and parcel of land admeasuring about 3254 sq. mtrs. out of final plot bearing No. 103, having S. No. 450/2A/1/1 and 450/2A/2, situated at village Ghorpadi, Sangamwadi, Taluka Haveli and District Pune, which is within the local limits of Pune Municipal Corporation and within the jurisdiction of Sub Registrar Haveli, Pune</v>
      </c>
      <c r="J67" s="72" t="str">
        <f t="array" ref="J67">XLOOKUP(C67,'Master Data'!C:C,'Master Data'!I:I)</f>
        <v>.</v>
      </c>
      <c r="K67" s="72" t="str">
        <f t="array" ref="K67">XLOOKUP(C67,'Master Data'!C:C,'Master Data'!J:J)</f>
        <v>.</v>
      </c>
      <c r="L67" s="74" t="str">
        <f t="array" ref="L67">XLOOKUP(C:C,TSR_Completion!C:C,TSR_Completion!M:M)</f>
        <v>Completed and Issued</v>
      </c>
      <c r="M67" s="46" t="s">
        <v>825</v>
      </c>
      <c r="N67" s="4"/>
      <c r="O67" s="4"/>
      <c r="P67" s="4"/>
      <c r="Q67" s="4"/>
      <c r="R67" s="4"/>
      <c r="S67" s="4"/>
      <c r="T67" s="4"/>
      <c r="U67" s="4"/>
      <c r="V67" s="4"/>
      <c r="W67" s="4"/>
      <c r="X67" s="4"/>
      <c r="Y67" s="4"/>
    </row>
    <row r="68">
      <c r="A68" s="6">
        <v>624.0</v>
      </c>
      <c r="B68" s="6" t="s">
        <v>158</v>
      </c>
      <c r="C68" s="6">
        <v>7.700024538E10</v>
      </c>
      <c r="D68" s="72" t="str">
        <f t="array" ref="D68">XLOOKUP(C68,'Master Data'!C:C,'Master Data'!D:D)</f>
        <v>Wakad</v>
      </c>
      <c r="E68" s="64" t="s">
        <v>823</v>
      </c>
      <c r="F68" s="72" t="str">
        <f t="array" ref="F68">XLOOKUP(C68,'Master Data'!C:C,'Master Data'!E:E)</f>
        <v>Bhushan Sonawane</v>
      </c>
      <c r="G68" s="72"/>
      <c r="H68" s="72" t="str">
        <f t="array" ref="H68">XLOOKUP(C68,'Master Data'!C:C,'Master Data'!G:G)</f>
        <v>Resale</v>
      </c>
      <c r="I68" s="72" t="str">
        <f t="array" ref="I68">XLOOKUP(C68,'Master Data'!C:C,'Master Data'!H:H)</f>
        <v>All that piece and parcel of Flat No. 403 on the Fourth Floor, admeasuring 610 Sq. Ft. built-up area (i.e. 56.69 Sq. Mtrs.), along with terrace, in the building known as “Laxmi Villa”, constructed on land bearing C.T.S. No. 531 and C.T.S. No. 532, total admeasuring 536.5 Sq. Mtrs., situated at Village Punawale (Gaothan), Taluka Mulshi, District Pune, within the local limits of Pimpri Chinchwad Municipal Corporation and within the jurisdiction of Sub-Registrar Haveli, along with all common amenities and facilities.</v>
      </c>
      <c r="J68" s="72" t="str">
        <f t="array" ref="J68">XLOOKUP(C68,'Master Data'!C:C,'Master Data'!I:I)</f>
        <v/>
      </c>
      <c r="K68" s="72" t="str">
        <f t="array" ref="K68">XLOOKUP(C68,'Master Data'!C:C,'Master Data'!J:J)</f>
        <v>CTC +VET</v>
      </c>
      <c r="L68" s="74" t="str">
        <f t="array" ref="L68">XLOOKUP(C:C,TSR_Completion!C:C,TSR_Completion!M:M)</f>
        <v>Completed and Issued</v>
      </c>
      <c r="M68" s="46" t="s">
        <v>798</v>
      </c>
      <c r="N68" s="4"/>
      <c r="O68" s="4"/>
      <c r="P68" s="4"/>
      <c r="Q68" s="4"/>
      <c r="R68" s="4"/>
      <c r="S68" s="4"/>
      <c r="T68" s="4"/>
      <c r="U68" s="4"/>
      <c r="V68" s="4"/>
      <c r="W68" s="4"/>
      <c r="X68" s="4"/>
      <c r="Y68" s="4"/>
    </row>
    <row r="69">
      <c r="A69" s="6">
        <v>644.0</v>
      </c>
      <c r="B69" s="6" t="s">
        <v>158</v>
      </c>
      <c r="C69" s="84">
        <v>7.7000256826E10</v>
      </c>
      <c r="D69" s="75" t="s">
        <v>43</v>
      </c>
      <c r="E69" s="64" t="s">
        <v>826</v>
      </c>
      <c r="F69" s="72" t="str">
        <f t="array" ref="F69">XLOOKUP(C69,'Master Data'!C:C,'Master Data'!E:E)</f>
        <v>Ganesh Bhagwan Dhurkar</v>
      </c>
      <c r="G69" s="72" t="str">
        <f t="array" ref="G69">XLOOKUP(C69,'Master Data'!C:C,'Master Data'!F:F)</f>
        <v>Sushma Ganesh Durkar</v>
      </c>
      <c r="H69" s="72" t="str">
        <f t="array" ref="H69">XLOOKUP(C69,'Master Data'!C:C,'Master Data'!G:G)</f>
        <v>Builder Purchase</v>
      </c>
      <c r="I69" s="72" t="str">
        <f t="array" ref="I69">XLOOKUP(C69,'Master Data'!C:C,'Master Data'!H:H)</f>
        <v>All that piece and parcel of property bearing Flat No. 701, having an area admeasuring 69.88 sq. mtrs. carpet area along with balcony area admeasuring 8.31 sq. mtrs., situated on the 7th Floor, in Building/Wing No. B, out of the project known as “Basil Mount Lords Wing B &amp; C”, constructed/to be constructed on the entire land property, i.e. Survey No. 8, Hissa Nos. 6A/7/8/2, 6A/7/8/3, 6A/7/8/9 and 6A/7/8/10, situated at Village – Dhankawadi, Taluka - Haveli, District - Pune and within local limits of Pune Municipal Corporation.</v>
      </c>
      <c r="J69" s="72" t="str">
        <f t="array" ref="J69">XLOOKUP(C69,'Master Data'!C:C,'Master Data'!I:I)</f>
        <v>9689929534 NK</v>
      </c>
      <c r="K69" s="72" t="str">
        <f t="array" ref="K69">XLOOKUP(C69,'Master Data'!C:C,'Master Data'!J:J)</f>
        <v/>
      </c>
      <c r="L69" s="74" t="str">
        <f t="array" ref="L69">XLOOKUP(C:C,TSR_Completion!C:C,TSR_Completion!M:M)</f>
        <v>Completed and Issued</v>
      </c>
      <c r="M69" s="46" t="s">
        <v>798</v>
      </c>
      <c r="N69" s="4"/>
      <c r="O69" s="4"/>
      <c r="P69" s="4"/>
      <c r="Q69" s="4"/>
      <c r="R69" s="4"/>
      <c r="S69" s="4"/>
      <c r="T69" s="4"/>
      <c r="U69" s="4"/>
      <c r="V69" s="4"/>
      <c r="W69" s="4"/>
      <c r="X69" s="4"/>
      <c r="Y69" s="4"/>
    </row>
    <row r="70">
      <c r="A70" s="6">
        <v>631.0</v>
      </c>
      <c r="B70" s="6" t="s">
        <v>158</v>
      </c>
      <c r="C70" s="85">
        <v>7.79214982E9</v>
      </c>
      <c r="D70" s="72" t="str">
        <f t="array" ref="D70">XLOOKUP(C70,'Master Data'!C:C,'Master Data'!D:D)</f>
        <v>Chinchwad</v>
      </c>
      <c r="E70" s="64" t="s">
        <v>827</v>
      </c>
      <c r="F70" s="72" t="str">
        <f t="array" ref="F70">XLOOKUP(C70,'Master Data'!C:C,'Master Data'!E:E)</f>
        <v>PANKAJ RAMESH JADHAO</v>
      </c>
      <c r="G70" s="72" t="str">
        <f t="array" ref="G70">XLOOKUP(C70,'Master Data'!C:C,'Master Data'!F:F)</f>
        <v>DNYANESHWARI PRADIPRAO MAHALLE</v>
      </c>
      <c r="H70" s="72" t="str">
        <f t="array" ref="H70">XLOOKUP(C70,'Master Data'!C:C,'Master Data'!G:G)</f>
        <v>Builder Purchase</v>
      </c>
      <c r="I70" s="72" t="str">
        <f t="array" ref="I70">XLOOKUP(C70,'Master Data'!C:C,'Master Data'!H:H)</f>
        <v>All that piece and parcel of property bearing Flat No. 305, having an area admeasuring 71.44 Sq. Mtrs. (Carpet Area) along with Open Balcony Area 3.62 Sq. Mtrs. and Utility Area 1.91 Sq. Mtrs., situated on the Third Floor, in Tower No. 7, out of the project known as “Gera’s Isle of Joy – Project C”, constructed/to be constructed on the entire land property, i.e. Gat Nos. 1255/73, 1255/65, 1255/66, 1255/69, 1255/70, 1255/71, 1255/72 (Part) and 1267 (Part), situated at Village – Wagholi, Taluka – Haveli, District – Pune and within local limits of Pune Municipal Corporation.</v>
      </c>
      <c r="J70" s="72" t="str">
        <f t="array" ref="J70">XLOOKUP(C70,'Master Data'!C:C,'Master Data'!I:I)</f>
        <v>Sir Mail</v>
      </c>
      <c r="K70" s="72" t="str">
        <f t="array" ref="K70">XLOOKUP(C70,'Master Data'!C:C,'Master Data'!J:J)</f>
        <v/>
      </c>
      <c r="L70" s="74" t="str">
        <f t="array" ref="L70">XLOOKUP(C:C,TSR_Completion!C:C,TSR_Completion!M:M)</f>
        <v>Completed and Issued</v>
      </c>
      <c r="M70" s="46" t="s">
        <v>798</v>
      </c>
      <c r="N70" s="4"/>
      <c r="O70" s="4"/>
      <c r="P70" s="4"/>
      <c r="Q70" s="4"/>
      <c r="R70" s="4"/>
      <c r="S70" s="4"/>
      <c r="T70" s="4"/>
      <c r="U70" s="4"/>
      <c r="V70" s="4"/>
      <c r="W70" s="4"/>
      <c r="X70" s="4"/>
      <c r="Y70" s="4"/>
    </row>
    <row r="71">
      <c r="A71" s="6">
        <v>643.0</v>
      </c>
      <c r="B71" s="6" t="s">
        <v>158</v>
      </c>
      <c r="C71" s="26">
        <v>7.7000256336E10</v>
      </c>
      <c r="D71" s="72" t="str">
        <f t="array" ref="D71">XLOOKUP(C71,'Master Data'!C:C,'Master Data'!D:D)</f>
        <v>Kolhapure</v>
      </c>
      <c r="E71" s="64" t="s">
        <v>823</v>
      </c>
      <c r="F71" s="72" t="str">
        <f t="array" ref="F71">XLOOKUP(C71,'Master Data'!C:C,'Master Data'!E:E)</f>
        <v>Abhijeet Ananda Mane Patil</v>
      </c>
      <c r="G71" s="72" t="str">
        <f t="array" ref="G71">XLOOKUP(C71,'Master Data'!C:C,'Master Data'!F:F)</f>
        <v>Supriya Abhijeet Mane Patil</v>
      </c>
      <c r="H71" s="72" t="str">
        <f t="array" ref="H71">XLOOKUP(C71,'Master Data'!C:C,'Master Data'!G:G)</f>
        <v>Apana Ghar Regular P + C </v>
      </c>
      <c r="I71" s="72" t="str">
        <f t="array" ref="I71">XLOOKUP(C71,'Master Data'!C:C,'Master Data'!H:H)</f>
        <v>All that piece and parcel of open non-agricultural plot bearing Plot No. 66, admeasuring 138.13 Sq. Mtrs., carved out of land bearing Gat No. 70/A admeasuring 0 H 76 R and Gat No. 70/B admeasuring 3 H 22.60 R (Pot Kharab 0 H 02 R), situated at Village Bahirewadi, Taluka Panhala, District Kolhapur, within the jurisdiction of Sub-Registrar Panhala.
The said plot is forming part of a layout known as “Savi Park”, developed on the aforesaid land.
</v>
      </c>
      <c r="J71" s="72" t="str">
        <f t="array" ref="J71">XLOOKUP(C71,'Master Data'!C:C,'Master Data'!I:I)</f>
        <v>Group</v>
      </c>
      <c r="K71" s="72" t="str">
        <f t="array" ref="K71">XLOOKUP(C71,'Master Data'!C:C,'Master Data'!J:J)</f>
        <v/>
      </c>
      <c r="L71" s="74" t="str">
        <f t="array" ref="L71">XLOOKUP(C:C,TSR_Completion!C:C,TSR_Completion!M:M)</f>
        <v>Completed and Issued</v>
      </c>
      <c r="M71" s="46" t="s">
        <v>798</v>
      </c>
      <c r="N71" s="4"/>
      <c r="O71" s="4"/>
      <c r="P71" s="4"/>
      <c r="Q71" s="4"/>
      <c r="R71" s="4"/>
      <c r="S71" s="4"/>
      <c r="T71" s="4"/>
      <c r="U71" s="4"/>
      <c r="V71" s="4"/>
      <c r="W71" s="4"/>
      <c r="X71" s="4"/>
      <c r="Y71" s="4"/>
    </row>
    <row r="72">
      <c r="A72" s="6">
        <v>637.0</v>
      </c>
      <c r="B72" s="6" t="s">
        <v>158</v>
      </c>
      <c r="C72" s="26">
        <v>7.7000249613E10</v>
      </c>
      <c r="D72" s="72" t="str">
        <f t="array" ref="D72">XLOOKUP(C72,'Master Data'!C:C,'Master Data'!D:D)</f>
        <v>Kharadi</v>
      </c>
      <c r="E72" s="64" t="s">
        <v>823</v>
      </c>
      <c r="F72" s="72" t="str">
        <f t="array" ref="F72">XLOOKUP(C72,'Master Data'!C:C,'Master Data'!E:E)</f>
        <v>Rambabu mishra </v>
      </c>
      <c r="G72" s="72" t="str">
        <f t="array" ref="G72">XLOOKUP(C72,'Master Data'!C:C,'Master Data'!F:F)</f>
        <v/>
      </c>
      <c r="H72" s="72" t="str">
        <f t="array" ref="H72">XLOOKUP(C72,'Master Data'!C:C,'Master Data'!G:G)</f>
        <v>BT</v>
      </c>
      <c r="I72" s="72" t="str">
        <f t="array" ref="I72">XLOOKUP(C72,'Master Data'!C:C,'Master Data'!H:H)</f>
        <v>Manjari Budrukh S.No.130</v>
      </c>
      <c r="J72" s="72" t="str">
        <f t="array" ref="J72">XLOOKUP(C72,'Master Data'!C:C,'Master Data'!I:I)</f>
        <v/>
      </c>
      <c r="K72" s="72" t="str">
        <f t="array" ref="K72">XLOOKUP(C72,'Master Data'!C:C,'Master Data'!J:J)</f>
        <v/>
      </c>
      <c r="L72" s="74" t="str">
        <f t="array" ref="L72">XLOOKUP(C:C,TSR_Completion!C:C,TSR_Completion!M:M)</f>
        <v>Completed and Issued</v>
      </c>
      <c r="M72" s="46" t="s">
        <v>798</v>
      </c>
      <c r="N72" s="4"/>
      <c r="O72" s="4"/>
      <c r="P72" s="4"/>
      <c r="Q72" s="4"/>
      <c r="R72" s="4"/>
      <c r="S72" s="4"/>
      <c r="T72" s="4"/>
      <c r="U72" s="4"/>
      <c r="V72" s="4"/>
      <c r="W72" s="4"/>
      <c r="X72" s="4"/>
      <c r="Y72" s="4"/>
    </row>
    <row r="73">
      <c r="A73" s="6">
        <v>633.0</v>
      </c>
      <c r="B73" s="6" t="s">
        <v>158</v>
      </c>
      <c r="C73" s="85">
        <v>7.7000257998E10</v>
      </c>
      <c r="D73" s="72" t="str">
        <f t="array" ref="D73">XLOOKUP(C73,'Master Data'!C:C,'Master Data'!D:D)</f>
        <v>Chinchwad</v>
      </c>
      <c r="E73" s="64" t="s">
        <v>823</v>
      </c>
      <c r="F73" s="72" t="str">
        <f t="array" ref="F73">XLOOKUP(C73,'Master Data'!C:C,'Master Data'!E:E)</f>
        <v>SANDEEP UTTAM UNDALKAR</v>
      </c>
      <c r="G73" s="72" t="str">
        <f t="array" ref="G73">XLOOKUP(C73,'Master Data'!C:C,'Master Data'!F:F)</f>
        <v>ROHINI SANDEEP UNDALKAR</v>
      </c>
      <c r="H73" s="72" t="str">
        <f t="array" ref="H73">XLOOKUP(C73,'Master Data'!C:C,'Master Data'!G:G)</f>
        <v>Builder Purchase</v>
      </c>
      <c r="I73" s="72" t="str">
        <f t="array" ref="I73">XLOOKUP(C73,'Master Data'!C:C,'Master Data'!H:H)</f>
        <v>Moshi S.No.272/ Borhadewadi S. No. 272</v>
      </c>
      <c r="J73" s="72" t="str">
        <f t="array" ref="J73">XLOOKUP(C73,'Master Data'!C:C,'Master Data'!I:I)</f>
        <v/>
      </c>
      <c r="K73" s="72" t="str">
        <f t="array" ref="K73">XLOOKUP(C73,'Master Data'!C:C,'Master Data'!J:J)</f>
        <v/>
      </c>
      <c r="L73" s="74" t="str">
        <f t="array" ref="L73">XLOOKUP(C:C,TSR_Completion!C:C,TSR_Completion!M:M)</f>
        <v>Completed and Issued</v>
      </c>
      <c r="M73" s="46" t="s">
        <v>798</v>
      </c>
      <c r="N73" s="4"/>
      <c r="O73" s="4"/>
      <c r="P73" s="4"/>
      <c r="Q73" s="4"/>
      <c r="R73" s="4"/>
      <c r="S73" s="4"/>
      <c r="T73" s="4"/>
      <c r="U73" s="4"/>
      <c r="V73" s="4"/>
      <c r="W73" s="4"/>
      <c r="X73" s="4"/>
      <c r="Y73" s="4"/>
    </row>
    <row r="74">
      <c r="A74" s="6">
        <v>623.0</v>
      </c>
      <c r="B74" s="6" t="s">
        <v>158</v>
      </c>
      <c r="C74" s="26">
        <v>7.7000250405E10</v>
      </c>
      <c r="D74" s="72" t="str">
        <f t="array" ref="D74">XLOOKUP(C74,'Master Data'!C:C,'Master Data'!D:D)</f>
        <v>Vishrantwadi</v>
      </c>
      <c r="E74" s="64" t="s">
        <v>827</v>
      </c>
      <c r="F74" s="72" t="str">
        <f t="array" ref="F74">XLOOKUP(C74,'Master Data'!C:C,'Master Data'!E:E)</f>
        <v>Krishna Manik Patil</v>
      </c>
      <c r="G74" s="72" t="str">
        <f t="array" ref="G74">XLOOKUP(C74,'Master Data'!C:C,'Master Data'!F:F)</f>
        <v>Karuna Krishna Patil</v>
      </c>
      <c r="H74" s="72" t="str">
        <f t="array" ref="H74">XLOOKUP(C74,'Master Data'!C:C,'Master Data'!G:G)</f>
        <v>LAP</v>
      </c>
      <c r="I74" s="72" t="str">
        <f t="array" ref="I74">XLOOKUP(C74,'Master Data'!C:C,'Master Data'!H:H)</f>
        <v>All that piece and parcel of property bearing Private Plot No. 26, admeasuring of H. 00-00.92.93 Ares, i.e. 1000 sq. feets., out of the Survey No.84, Hissa No. 5, having total area admeasuring of H. 05-84.75 Ares, assessed at Rs. 05-85 Paise, situated at Village – Lohgaon, Taluka – Haveli, District – Pune</v>
      </c>
      <c r="J74" s="72" t="str">
        <f t="array" ref="J74">XLOOKUP(C74,'Master Data'!C:C,'Master Data'!I:I)</f>
        <v>Document in group</v>
      </c>
      <c r="K74" s="72" t="str">
        <f t="array" ref="K74">XLOOKUP(C74,'Master Data'!C:C,'Master Data'!J:J)</f>
        <v/>
      </c>
      <c r="L74" s="74" t="str">
        <f t="array" ref="L74">XLOOKUP(C:C,TSR_Completion!C:C,TSR_Completion!M:M)</f>
        <v>Completed and Issued</v>
      </c>
      <c r="M74" s="46" t="s">
        <v>798</v>
      </c>
      <c r="N74" s="4"/>
      <c r="O74" s="4"/>
      <c r="P74" s="4"/>
      <c r="Q74" s="4"/>
      <c r="R74" s="4"/>
      <c r="S74" s="4"/>
      <c r="T74" s="4"/>
      <c r="U74" s="4"/>
      <c r="V74" s="4"/>
      <c r="W74" s="4"/>
      <c r="X74" s="4"/>
      <c r="Y74" s="4"/>
    </row>
    <row r="75">
      <c r="A75" s="6">
        <v>650.0</v>
      </c>
      <c r="B75" s="6" t="s">
        <v>158</v>
      </c>
      <c r="C75" s="26">
        <v>7.7000250463E10</v>
      </c>
      <c r="D75" s="72" t="str">
        <f t="array" ref="D75">XLOOKUP(C75,'Master Data'!C:C,'Master Data'!D:D)</f>
        <v>Main</v>
      </c>
      <c r="E75" s="64" t="s">
        <v>827</v>
      </c>
      <c r="F75" s="75" t="s">
        <v>457</v>
      </c>
      <c r="G75" s="72" t="str">
        <f t="array" ref="G75">XLOOKUP(C75,'Master Data'!C:C,'Master Data'!F:F)</f>
        <v/>
      </c>
      <c r="H75" s="72" t="str">
        <f t="array" ref="H75">XLOOKUP(C75,'Master Data'!C:C,'Master Data'!G:G)</f>
        <v>LAP</v>
      </c>
      <c r="I75" s="72" t="str">
        <f t="array" ref="I75">XLOOKUP(C75,'Master Data'!C:C,'Master Data'!H:H)</f>
        <v>Talegaon Dabhade  Gramin S.No.386</v>
      </c>
      <c r="J75" s="72" t="str">
        <f t="array" ref="J75">XLOOKUP(C75,'Master Data'!C:C,'Master Data'!I:I)</f>
        <v>  9960009255 NK</v>
      </c>
      <c r="K75" s="72" t="str">
        <f t="array" ref="K75">XLOOKUP(C75,'Master Data'!C:C,'Master Data'!J:J)</f>
        <v/>
      </c>
      <c r="L75" s="74" t="str">
        <f t="array" ref="L75">XLOOKUP(C:C,TSR_Completion!C:C,TSR_Completion!M:M)</f>
        <v>#N/A</v>
      </c>
      <c r="M75" s="46" t="s">
        <v>798</v>
      </c>
      <c r="N75" s="4"/>
      <c r="O75" s="4"/>
      <c r="P75" s="4"/>
      <c r="Q75" s="4"/>
      <c r="R75" s="4"/>
      <c r="S75" s="4"/>
      <c r="T75" s="4"/>
      <c r="U75" s="4"/>
      <c r="V75" s="4"/>
      <c r="W75" s="4"/>
      <c r="X75" s="4"/>
      <c r="Y75" s="4"/>
    </row>
    <row r="76">
      <c r="A76" s="6">
        <v>638.0</v>
      </c>
      <c r="B76" s="6" t="s">
        <v>158</v>
      </c>
      <c r="C76" s="26">
        <v>7.7000257119E10</v>
      </c>
      <c r="D76" s="72" t="str">
        <f t="array" ref="D76">XLOOKUP(C76,'Master Data'!C:C,'Master Data'!D:D)</f>
        <v>Kharadi</v>
      </c>
      <c r="E76" s="64" t="s">
        <v>827</v>
      </c>
      <c r="F76" s="72" t="str">
        <f t="array" ref="F76">XLOOKUP(C76,'Master Data'!C:C,'Master Data'!E:E)</f>
        <v>RAJU KATRAVATH</v>
      </c>
      <c r="G76" s="72" t="str">
        <f t="array" ref="G76">XLOOKUP(C76,'Master Data'!C:C,'Master Data'!F:F)</f>
        <v> LAXMI BAI RAJU KATHRAVATH </v>
      </c>
      <c r="H76" s="72" t="str">
        <f t="array" ref="H76">XLOOKUP(C76,'Master Data'!C:C,'Master Data'!G:G)</f>
        <v> HLBT</v>
      </c>
      <c r="I76" s="72" t="str">
        <f t="array" ref="I76">XLOOKUP(C76,'Master Data'!C:C,'Master Data'!H:H)</f>
        <v>All that piece and parcel of property bearing Flat No. A-26, admeasuring 35.95 Sq. Mtrs. (Carpet Area) i.e. 386.82 Sq. Ft., along with attached terrace admeasuring 3.85 Sq. Mtrs. (41.42 Sq. Ft.) and dry balcony admeasuring 1.80 Sq. Mtrs. (19.36 Sq. Ft.), aggregating to a total area of 41.60 Sq. Mtrs. (447.61 Sq. Ft.), situated on the Third Floor, in Wing ‘A’, in the project known as “AMBAR VILAS”, constructed on the land bearing Gat No. 1713A, admeasuring 00 Hectare 14.5 Ares, situated at Village – Loni Kalbhor, Taluka – Haveli, District – Pune, within the local limits of the concerned authority, together with one car parking space.</v>
      </c>
      <c r="J76" s="72" t="str">
        <f t="array" ref="J76">XLOOKUP(C76,'Master Data'!C:C,'Master Data'!I:I)</f>
        <v>Document in group</v>
      </c>
      <c r="K76" s="72" t="str">
        <f t="array" ref="K76">XLOOKUP(C76,'Master Data'!C:C,'Master Data'!J:J)</f>
        <v/>
      </c>
      <c r="L76" s="74" t="str">
        <f t="array" ref="L76">XLOOKUP(C:C,TSR_Completion!C:C,TSR_Completion!M:M)</f>
        <v>Completed and Issued</v>
      </c>
      <c r="M76" s="46" t="s">
        <v>798</v>
      </c>
      <c r="N76" s="4"/>
      <c r="O76" s="4"/>
      <c r="P76" s="4"/>
      <c r="Q76" s="4"/>
      <c r="R76" s="4"/>
      <c r="S76" s="4"/>
      <c r="T76" s="4"/>
      <c r="U76" s="4"/>
      <c r="V76" s="4"/>
      <c r="W76" s="4"/>
      <c r="X76" s="4"/>
      <c r="Y76" s="4"/>
    </row>
    <row r="77">
      <c r="A77" s="6">
        <v>651.0</v>
      </c>
      <c r="B77" s="6" t="s">
        <v>158</v>
      </c>
      <c r="C77" s="71">
        <v>7.792147183E9</v>
      </c>
      <c r="D77" s="72" t="str">
        <f t="array" ref="D77">XLOOKUP(C77,'Master Data'!C:C,'Master Data'!D:D)</f>
        <v>Vishrantwadi</v>
      </c>
      <c r="E77" s="64" t="s">
        <v>827</v>
      </c>
      <c r="F77" s="72" t="str">
        <f t="array" ref="F77">XLOOKUP(C77,'Master Data'!C:C,'Master Data'!E:E)</f>
        <v>Jay Ramesh Kithani</v>
      </c>
      <c r="G77" s="72" t="str">
        <f t="array" ref="G77">XLOOKUP(C77,'Master Data'!C:C,'Master Data'!F:F)</f>
        <v>Pankaj Satish Kithani</v>
      </c>
      <c r="H77" s="72" t="str">
        <f t="array" ref="H77">XLOOKUP(C77,'Master Data'!C:C,'Master Data'!G:G)</f>
        <v> Resale </v>
      </c>
      <c r="I77" s="72" t="str">
        <f t="array" ref="I77">XLOOKUP(C77,'Master Data'!C:C,'Master Data'!H:H)</f>
        <v>All that Piece and Parcel of property bearing Flat No.202, on 2nd Floor in B Wing area admeasuring 63.31 sq. mtrs. Carpet and Attach Terrace Area adm. 3.28 sq. along with one Covered Car Parking No.10 having Property bearing No. O/I/79/12856031 in the society known as “AIRIANA CO-OPERATIVE HOUSING SOCIETY LIMITED” constructed on S. No. 296, Hissa No. 2 situated at village Lohegaon Taluka - Haveli, Dist. - Pune within the local limits of Pune Municipal Corporation, Pune.</v>
      </c>
      <c r="J77" s="72" t="str">
        <f t="array" ref="J77">XLOOKUP(C77,'Master Data'!C:C,'Master Data'!I:I)</f>
        <v>8767085640 NLK</v>
      </c>
      <c r="K77" s="72" t="str">
        <f t="array" ref="K77">XLOOKUP(C77,'Master Data'!C:C,'Master Data'!J:J)</f>
        <v/>
      </c>
      <c r="L77" s="74" t="str">
        <f t="array" ref="L77">XLOOKUP(C:C,TSR_Completion!C:C,TSR_Completion!M:M)</f>
        <v>Completed and Issued</v>
      </c>
      <c r="M77" s="46" t="s">
        <v>798</v>
      </c>
      <c r="N77" s="4"/>
      <c r="O77" s="4"/>
      <c r="P77" s="4"/>
      <c r="Q77" s="4"/>
      <c r="R77" s="4"/>
      <c r="S77" s="4"/>
      <c r="T77" s="4"/>
      <c r="U77" s="4"/>
      <c r="V77" s="4"/>
      <c r="W77" s="4"/>
      <c r="X77" s="4"/>
      <c r="Y77" s="4"/>
    </row>
    <row r="78">
      <c r="A78" s="6">
        <v>652.0</v>
      </c>
      <c r="B78" s="6" t="s">
        <v>158</v>
      </c>
      <c r="C78" s="86">
        <v>7.7000245372E10</v>
      </c>
      <c r="D78" s="72" t="str">
        <f t="array" ref="D78">XLOOKUP(C78,'Master Data'!C:C,'Master Data'!D:D)</f>
        <v>Main</v>
      </c>
      <c r="E78" s="64" t="s">
        <v>827</v>
      </c>
      <c r="F78" s="72" t="str">
        <f t="array" ref="F78">XLOOKUP(C78,'Master Data'!C:C,'Master Data'!E:E)</f>
        <v>Abbas Sahebji Pathan    </v>
      </c>
      <c r="G78" s="72" t="str">
        <f t="array" ref="G78">XLOOKUP(C78,'Master Data'!C:C,'Master Data'!F:F)</f>
        <v> Aafrin Abbas Pathan  </v>
      </c>
      <c r="H78" s="72" t="str">
        <f t="array" ref="H78">XLOOKUP(C78,'Master Data'!C:C,'Master Data'!G:G)</f>
        <v>BT Top UP</v>
      </c>
      <c r="I78" s="72" t="str">
        <f t="array" ref="I78">XLOOKUP(C78,'Master Data'!C:C,'Master Data'!H:H)</f>
        <v>All that piece and parcel of property bearing Flat No. 402, having an area admeasuring 37.08 sq. mtrs. carpet area along with terrace area admeasuring 6.88 sq. mtrs., situated on the Fourth Floor, in Building/Wing No. A, out of the project known as “Abhang Vishwa”, constructed/to be constructed on the entire land property, i.e. Gat No. 1599, situated at Village – Chikhali, Taluka – Haveli, District – Pune and within local limits of Pimpri Chinchwad Municipal Corporation.</v>
      </c>
      <c r="J78" s="72" t="str">
        <f t="array" ref="J78">XLOOKUP(C78,'Master Data'!C:C,'Master Data'!I:I)</f>
        <v/>
      </c>
      <c r="K78" s="72" t="str">
        <f t="array" ref="K78">XLOOKUP(C78,'Master Data'!C:C,'Master Data'!J:J)</f>
        <v/>
      </c>
      <c r="L78" s="74" t="str">
        <f t="array" ref="L78">XLOOKUP(C:C,TSR_Completion!C:C,TSR_Completion!M:M)</f>
        <v>Completed and Issued</v>
      </c>
      <c r="M78" s="46" t="s">
        <v>798</v>
      </c>
      <c r="N78" s="4"/>
      <c r="O78" s="4"/>
      <c r="P78" s="4"/>
      <c r="Q78" s="4"/>
      <c r="R78" s="4"/>
      <c r="S78" s="4"/>
      <c r="T78" s="4"/>
      <c r="U78" s="4"/>
      <c r="V78" s="4"/>
      <c r="W78" s="4"/>
      <c r="X78" s="4"/>
      <c r="Y78" s="4"/>
    </row>
    <row r="79">
      <c r="A79" s="6">
        <v>626.0</v>
      </c>
      <c r="B79" s="6" t="s">
        <v>158</v>
      </c>
      <c r="C79" s="26">
        <v>7.7000248652E10</v>
      </c>
      <c r="D79" s="72" t="str">
        <f t="array" ref="D79">XLOOKUP(C79,'Master Data'!C:C,'Master Data'!D:D)</f>
        <v>Kharadi</v>
      </c>
      <c r="E79" s="64" t="s">
        <v>827</v>
      </c>
      <c r="F79" s="72" t="str">
        <f t="array" ref="F79">XLOOKUP(C79,'Master Data'!C:C,'Master Data'!E:E)</f>
        <v>Harshal Nayan Patil</v>
      </c>
      <c r="G79" s="72" t="str">
        <f t="array" ref="G79">XLOOKUP(C79,'Master Data'!C:C,'Master Data'!F:F)</f>
        <v>Sunita Patil</v>
      </c>
      <c r="H79" s="72" t="str">
        <f t="array" ref="H79">XLOOKUP(C79,'Master Data'!C:C,'Master Data'!G:G)</f>
        <v>Builder Purchase</v>
      </c>
      <c r="I79" s="72" t="str">
        <f t="array" ref="I79">XLOOKUP(C79,'Master Data'!C:C,'Master Data'!H:H)</f>
        <v>All that residential Apartment/Flat bearing No. 107, situated on the 1st Floor, having carpet area admeasuring 49.81 Sq. Mtrs., along with enclosed balcony area admeasuring 7.77 Sq. Mtrs. and attached sit-out/dry balcony area admeasuring 2.80 Sq. Mtrs., in ‘A’ Wing of the project known as “Prism City Skylife”, constructed on the entire land, i.e. Survey No. 534/1 and 535/2, both situated at Village Charholi Budruk, Taluka Haveli, District Pune, within the limits of Pimpri Chinchwad Municipal Corporation, Pimpri.</v>
      </c>
      <c r="J79" s="72" t="str">
        <f t="array" ref="J79">XLOOKUP(C79,'Master Data'!C:C,'Master Data'!I:I)</f>
        <v/>
      </c>
      <c r="K79" s="72" t="str">
        <f t="array" ref="K79">XLOOKUP(C79,'Master Data'!C:C,'Master Data'!J:J)</f>
        <v/>
      </c>
      <c r="L79" s="74" t="str">
        <f t="array" ref="L79">XLOOKUP(C:C,TSR_Completion!C:C,TSR_Completion!M:M)</f>
        <v>Completed and Issued</v>
      </c>
      <c r="M79" s="46" t="s">
        <v>798</v>
      </c>
      <c r="N79" s="4"/>
      <c r="O79" s="4"/>
      <c r="P79" s="4"/>
      <c r="Q79" s="4"/>
      <c r="R79" s="4"/>
      <c r="S79" s="4"/>
      <c r="T79" s="4"/>
      <c r="U79" s="4"/>
      <c r="V79" s="4"/>
      <c r="W79" s="4"/>
      <c r="X79" s="4"/>
      <c r="Y79" s="4"/>
    </row>
    <row r="80">
      <c r="A80" s="6">
        <v>653.0</v>
      </c>
      <c r="B80" s="6" t="s">
        <v>158</v>
      </c>
      <c r="C80" s="26">
        <v>7.7000258924E10</v>
      </c>
      <c r="D80" s="72" t="str">
        <f t="array" ref="D80">XLOOKUP(C80,'Master Data'!C:C,'Master Data'!D:D)</f>
        <v>Chinchwad </v>
      </c>
      <c r="E80" s="64" t="s">
        <v>827</v>
      </c>
      <c r="F80" s="72" t="str">
        <f t="array" ref="F80">XLOOKUP(C80,'Master Data'!C:C,'Master Data'!E:E)</f>
        <v>Surendra Bhimarao Patil</v>
      </c>
      <c r="G80" s="72" t="str">
        <f t="array" ref="G80">XLOOKUP(C80,'Master Data'!C:C,'Master Data'!F:F)</f>
        <v> Usha Surendra Patil</v>
      </c>
      <c r="H80" s="72" t="str">
        <f t="array" ref="H80">XLOOKUP(C80,'Master Data'!C:C,'Master Data'!G:G)</f>
        <v> Home loan BT</v>
      </c>
      <c r="I80" s="72" t="str">
        <f t="array" ref="I80">XLOOKUP(C80,'Master Data'!C:C,'Master Data'!H:H)</f>
        <v>All that piece and parcel of property bearing Private Plot No. 11 admeasuring of H. 00-01 Ares, i.e. 1060 sq. feets., out of the Survey No. 95, having an area admeasuring of H. 0639 Ares together with Pot-Kharab area admeasuring of H. 00-19 Ares, i.e. total area admeasuring of H. 06-58 Ares, assessed at Rs. 20-00 Paise, situated at Village – Vitthalnagar, Taluka – Haveli, District – Pune</v>
      </c>
      <c r="J80" s="72" t="str">
        <f t="array" ref="J80">XLOOKUP(C80,'Master Data'!C:C,'Master Data'!I:I)</f>
        <v>9970073654 NLK</v>
      </c>
      <c r="K80" s="72" t="str">
        <f t="array" ref="K80">XLOOKUP(C80,'Master Data'!C:C,'Master Data'!J:J)</f>
        <v/>
      </c>
      <c r="L80" s="74" t="str">
        <f t="array" ref="L80">XLOOKUP(C:C,TSR_Completion!C:C,TSR_Completion!M:M)</f>
        <v>Completed and Issued</v>
      </c>
      <c r="M80" s="4"/>
      <c r="N80" s="4"/>
      <c r="O80" s="4"/>
      <c r="P80" s="4"/>
      <c r="Q80" s="4"/>
      <c r="R80" s="4"/>
      <c r="S80" s="4"/>
      <c r="T80" s="4"/>
      <c r="U80" s="4"/>
      <c r="V80" s="4"/>
      <c r="W80" s="4"/>
      <c r="X80" s="4"/>
      <c r="Y80" s="4"/>
    </row>
    <row r="81">
      <c r="A81" s="6">
        <v>613.0</v>
      </c>
      <c r="B81" s="6" t="s">
        <v>158</v>
      </c>
      <c r="C81" s="26" t="s">
        <v>490</v>
      </c>
      <c r="D81" s="72" t="str">
        <f t="array" ref="D81">XLOOKUP(C81,'Master Data'!C:C,'Master Data'!D:D)</f>
        <v>Vishrantwadi</v>
      </c>
      <c r="E81" s="64" t="s">
        <v>823</v>
      </c>
      <c r="F81" s="72" t="str">
        <f t="array" ref="F81">XLOOKUP(C81,'Master Data'!C:C,'Master Data'!E:E)</f>
        <v>Vishal Appasaheb Moholkar </v>
      </c>
      <c r="G81" s="72" t="str">
        <f t="array" ref="G81">XLOOKUP(C81,'Master Data'!C:C,'Master Data'!F:F)</f>
        <v>Vaibhav Appasaheb Moholkar</v>
      </c>
      <c r="H81" s="72" t="str">
        <f t="array" ref="H81">XLOOKUP(C81,'Master Data'!C:C,'Master Data'!G:G)</f>
        <v>BT</v>
      </c>
      <c r="I81" s="72" t="str">
        <f t="array" ref="I81">XLOOKUP(C81,'Master Data'!C:C,'Master Data'!H:H)</f>
        <v>All that piece and parcel of Shop No. 2, admeasuring 29.54 Sq. Mtrs. (i.e. 318 Sq. Ft.), together with 1.20% undivided share in the land as per Deed of Apartment and 1.733% undivided share as per Deed of Declaration, situated on the Ground Floor in the building known as “Sneh Complex Condominium”, constructed on Final Plot No. 359/B/1 of Town Planning Scheme No. 1, bearing CTS No. 1032/B/1, situated at Village Shivajinagar (Bhamburda), Taluka – Haveli, District – Pune and within the local limits of Pune Municipal Corporation, Pune.</v>
      </c>
      <c r="J81" s="72" t="str">
        <f t="array" ref="J81">XLOOKUP(C81,'Master Data'!C:C,'Master Data'!I:I)</f>
        <v/>
      </c>
      <c r="K81" s="72" t="str">
        <f t="array" ref="K81">XLOOKUP(C81,'Master Data'!C:C,'Master Data'!J:J)</f>
        <v/>
      </c>
      <c r="L81" s="74" t="str">
        <f t="array" ref="L81">XLOOKUP(C:C,TSR_Completion!C:C,TSR_Completion!M:M)</f>
        <v>Completed and Issued</v>
      </c>
      <c r="M81" s="4"/>
      <c r="N81" s="4"/>
      <c r="O81" s="4"/>
      <c r="P81" s="4"/>
      <c r="Q81" s="4"/>
      <c r="R81" s="4"/>
      <c r="S81" s="4"/>
      <c r="T81" s="4"/>
      <c r="U81" s="4"/>
      <c r="V81" s="4"/>
      <c r="W81" s="4"/>
      <c r="X81" s="4"/>
      <c r="Y81" s="4"/>
    </row>
    <row r="82">
      <c r="A82" s="6">
        <v>613.0</v>
      </c>
      <c r="B82" s="6" t="s">
        <v>158</v>
      </c>
      <c r="C82" s="26" t="s">
        <v>492</v>
      </c>
      <c r="D82" s="72" t="str">
        <f t="array" ref="D82">XLOOKUP(C82,'Master Data'!C:C,'Master Data'!D:D)</f>
        <v>Vishrantwadi</v>
      </c>
      <c r="E82" s="64" t="s">
        <v>823</v>
      </c>
      <c r="F82" s="72" t="str">
        <f t="array" ref="F82">XLOOKUP(C82,'Master Data'!C:C,'Master Data'!E:E)</f>
        <v>Vishal Appasaheb Moholkar </v>
      </c>
      <c r="G82" s="72" t="str">
        <f t="array" ref="G82">XLOOKUP(C82,'Master Data'!C:C,'Master Data'!F:F)</f>
        <v>Vaibhav Appasaheb Moholkar</v>
      </c>
      <c r="H82" s="72" t="str">
        <f t="array" ref="H82">XLOOKUP(C82,'Master Data'!C:C,'Master Data'!G:G)</f>
        <v>BT</v>
      </c>
      <c r="I82" s="72" t="str">
        <f t="array" ref="I82">XLOOKUP(C82,'Master Data'!C:C,'Master Data'!H:H)</f>
        <v>All that piece and parcel of Shop No. 3, admeasuring 13.19 Sq. Mtrs. (i.e. 142 Sq. Ft.), together with 0.773% undivided share in the land as per Deed of Declaration, situated on the Ground Floor in the building known as “Sneh Complex Condominium”, constructed on Final Plot No. 359/B/1 of Town Planning Scheme No. 1, bearing CTS No. 1032/B/1, situated at Village Shivajinagar (Bhamburda), Taluka – Haveli, District – Pune and within the local limits of Pune Municipal Corporation, Pune.</v>
      </c>
      <c r="J82" s="72" t="str">
        <f t="array" ref="J82">XLOOKUP(C82,'Master Data'!C:C,'Master Data'!I:I)</f>
        <v/>
      </c>
      <c r="K82" s="72" t="str">
        <f t="array" ref="K82">XLOOKUP(C82,'Master Data'!C:C,'Master Data'!J:J)</f>
        <v/>
      </c>
      <c r="L82" s="74" t="str">
        <f t="array" ref="L82">XLOOKUP(C:C,TSR_Completion!C:C,TSR_Completion!M:M)</f>
        <v>Completed and Issued</v>
      </c>
      <c r="M82" s="4"/>
      <c r="N82" s="4"/>
      <c r="O82" s="4"/>
      <c r="P82" s="4"/>
      <c r="Q82" s="4"/>
      <c r="R82" s="4"/>
      <c r="S82" s="4"/>
      <c r="T82" s="4"/>
      <c r="U82" s="4"/>
      <c r="V82" s="4"/>
      <c r="W82" s="4"/>
      <c r="X82" s="4"/>
      <c r="Y82" s="4"/>
    </row>
    <row r="83">
      <c r="A83" s="6" t="s">
        <v>828</v>
      </c>
      <c r="B83" s="6" t="s">
        <v>158</v>
      </c>
      <c r="C83" s="6" t="s">
        <v>495</v>
      </c>
      <c r="D83" s="72" t="str">
        <f t="array" ref="D83">XLOOKUP(C83,'Master Data'!C:C,'Master Data'!D:D)</f>
        <v>Main</v>
      </c>
      <c r="E83" s="64" t="s">
        <v>829</v>
      </c>
      <c r="F83" s="72" t="str">
        <f t="array" ref="F83">XLOOKUP(C83,'Master Data'!C:C,'Master Data'!E:E)</f>
        <v>Santosh Jawalkar </v>
      </c>
      <c r="G83" s="72" t="str">
        <f t="array" ref="G83">XLOOKUP(C83,'Master Data'!C:C,'Master Data'!F:F)</f>
        <v>Irsha Jawalkar, Raghunath Jawalkar, Muktabai Jawalkar</v>
      </c>
      <c r="H83" s="72" t="str">
        <f t="array" ref="H83">XLOOKUP(C83,'Master Data'!C:C,'Master Data'!G:G)</f>
        <v>LAP</v>
      </c>
      <c r="I83" s="72" t="str">
        <f t="array" ref="I83">XLOOKUP(C83,'Master Data'!C:C,'Master Data'!H:H)</f>
        <v>All that piece and parcel of property being Flat No. 401, admeasuring Carpet Area 520.76 Sq. Ft., together with Open/Enclosed Balcony area admeasuring 51.45 Sq. Ft., Dry Balcony area admeasuring 19.38 Sq. Ft. and Terrace area admeasuring 66.52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v>
      </c>
      <c r="J83" s="75" t="s">
        <v>499</v>
      </c>
      <c r="K83" s="72" t="str">
        <f t="array" ref="K83">XLOOKUP(C83,'Master Data'!C:C,'Master Data'!J:J)</f>
        <v/>
      </c>
      <c r="L83" s="74" t="str">
        <f t="array" ref="L83">XLOOKUP(C:C,TSR_Completion!C:C,TSR_Completion!M:M)</f>
        <v>Completed and Issued</v>
      </c>
      <c r="M83" s="46" t="s">
        <v>798</v>
      </c>
      <c r="N83" s="4"/>
      <c r="O83" s="4"/>
      <c r="P83" s="4"/>
      <c r="Q83" s="4"/>
      <c r="R83" s="4"/>
      <c r="S83" s="4"/>
      <c r="T83" s="4"/>
      <c r="U83" s="4"/>
      <c r="V83" s="4"/>
      <c r="W83" s="4"/>
      <c r="X83" s="4"/>
      <c r="Y83" s="4"/>
    </row>
    <row r="84">
      <c r="A84" s="6">
        <v>654.0</v>
      </c>
      <c r="B84" s="6" t="s">
        <v>158</v>
      </c>
      <c r="C84" s="6">
        <v>7.7000261964E10</v>
      </c>
      <c r="D84" s="72" t="str">
        <f t="array" ref="D84">XLOOKUP(C84,'Master Data'!C:C,'Master Data'!D:D)</f>
        <v>Vishrantwadi</v>
      </c>
      <c r="E84" s="64" t="s">
        <v>829</v>
      </c>
      <c r="F84" s="72" t="str">
        <f t="array" ref="F84">XLOOKUP(C84,'Master Data'!C:C,'Master Data'!E:E)</f>
        <v>Vijay Kharat</v>
      </c>
      <c r="G84" s="72" t="str">
        <f t="array" ref="G84">XLOOKUP(C84,'Master Data'!C:C,'Master Data'!F:F)</f>
        <v>Sunita Kharat</v>
      </c>
      <c r="H84" s="72" t="str">
        <f t="array" ref="H84">XLOOKUP(C84,'Master Data'!C:C,'Master Data'!G:G)</f>
        <v>BT</v>
      </c>
      <c r="I84" s="72" t="str">
        <f t="array" ref="I84">XLOOKUP(C84,'Master Data'!C:C,'Master Data'!H:H)</f>
        <v>All that piece and parcel of property bearing Private Plot No. 9, having an area admeasuring of H. 00-00.93 Ares, i.e. 1000 sq. feets., out of Survey No. 46, Hissa No. 12, having total area admeasuring of H. 01-08 Ares, together with Pot-Kharab area admeasuring of H. 00-20 Ares, total area admeasuring of H. 01-28 Ares, assessed at Rs. 01-00 Paise, situated at Village – Lohgaon, Taluka – Haveli, District – Pune</v>
      </c>
      <c r="J84" s="72" t="str">
        <f t="array" ref="J84">XLOOKUP(C84,'Master Data'!C:C,'Master Data'!I:I)</f>
        <v>Group</v>
      </c>
      <c r="K84" s="72" t="str">
        <f t="array" ref="K84">XLOOKUP(C84,'Master Data'!C:C,'Master Data'!J:J)</f>
        <v/>
      </c>
      <c r="L84" s="74" t="str">
        <f t="array" ref="L84">XLOOKUP(C:C,TSR_Completion!C:C,TSR_Completion!M:M)</f>
        <v>Completed and Issued</v>
      </c>
      <c r="M84" s="46" t="s">
        <v>798</v>
      </c>
      <c r="N84" s="4"/>
      <c r="O84" s="4"/>
      <c r="P84" s="4"/>
      <c r="Q84" s="4"/>
      <c r="R84" s="4"/>
      <c r="S84" s="4"/>
      <c r="T84" s="4"/>
      <c r="U84" s="4"/>
      <c r="V84" s="4"/>
      <c r="W84" s="4"/>
      <c r="X84" s="4"/>
      <c r="Y84" s="4"/>
    </row>
    <row r="85">
      <c r="A85" s="6">
        <v>655.0</v>
      </c>
      <c r="B85" s="6" t="s">
        <v>158</v>
      </c>
      <c r="C85" s="71">
        <v>7.7000216831E10</v>
      </c>
      <c r="D85" s="72" t="str">
        <f t="array" ref="D85">XLOOKUP(C85,'Master Data'!C:C,'Master Data'!D:D)</f>
        <v>Main</v>
      </c>
      <c r="E85" s="64" t="s">
        <v>829</v>
      </c>
      <c r="F85" s="72" t="str">
        <f t="array" ref="F85">XLOOKUP(C85,'Master Data'!C:C,'Master Data'!E:E)</f>
        <v>Asha Rupesh Jathar </v>
      </c>
      <c r="G85" s="72" t="str">
        <f t="array" ref="G85">XLOOKUP(C85,'Master Data'!C:C,'Master Data'!F:F)</f>
        <v>Jay Rupesh Jathar</v>
      </c>
      <c r="H85" s="72" t="str">
        <f t="array" ref="H85">XLOOKUP(C85,'Master Data'!C:C,'Master Data'!G:G)</f>
        <v> HL Internal Top Up </v>
      </c>
      <c r="I85" s="72" t="str">
        <f t="array" ref="I85">XLOOKUP(C85,'Master Data'!C:C,'Master Data'!H:H)</f>
        <v>All that piece and parcel of property bearing Flat No. 7A (as per Pune Municipal Corporation sanctioned plan Flat No. 7), having an area admeasuring 270 sq. ft. i.e. 25.09 sq. mtrs. built-up, situated on the Fourth Floor, in the building known as “Sai Shraddha”, constructed on the land bearing City Survey No. 532, situated at Mouje Ganesh Peth, Taluka Haveli, District Pune and within the local limits of Pune Municipal Corporation.</v>
      </c>
      <c r="J85" s="72" t="str">
        <f t="array" ref="J85">XLOOKUP(C85,'Master Data'!C:C,'Master Data'!I:I)</f>
        <v>Group</v>
      </c>
      <c r="K85" s="72" t="str">
        <f t="array" ref="K85">XLOOKUP(C85,'Master Data'!C:C,'Master Data'!J:J)</f>
        <v/>
      </c>
      <c r="L85" s="74" t="str">
        <f t="array" ref="L85">XLOOKUP(C:C,TSR_Completion!C:C,TSR_Completion!M:M)</f>
        <v>Completed and Issued</v>
      </c>
      <c r="M85" s="46" t="s">
        <v>798</v>
      </c>
      <c r="N85" s="4"/>
      <c r="O85" s="4"/>
      <c r="P85" s="4"/>
      <c r="Q85" s="4"/>
      <c r="R85" s="4"/>
      <c r="S85" s="4"/>
      <c r="T85" s="4"/>
      <c r="U85" s="4"/>
      <c r="V85" s="4"/>
      <c r="W85" s="4"/>
      <c r="X85" s="4"/>
      <c r="Y85" s="4"/>
    </row>
    <row r="86">
      <c r="A86" s="6">
        <v>664.0</v>
      </c>
      <c r="B86" s="6" t="s">
        <v>158</v>
      </c>
      <c r="C86" s="6">
        <v>7.7000258258E10</v>
      </c>
      <c r="D86" s="72" t="str">
        <f t="array" ref="D86">XLOOKUP(C86,'Master Data'!C:C,'Master Data'!D:D)</f>
        <v>Main</v>
      </c>
      <c r="E86" s="64" t="s">
        <v>829</v>
      </c>
      <c r="F86" s="72" t="str">
        <f t="array" ref="F86">XLOOKUP(C86,'Master Data'!C:C,'Master Data'!E:E)</f>
        <v>Balaji Ambadas Samlet</v>
      </c>
      <c r="G86" s="72" t="str">
        <f t="array" ref="G86">XLOOKUP(C86,'Master Data'!C:C,'Master Data'!F:F)</f>
        <v/>
      </c>
      <c r="H86" s="72" t="str">
        <f t="array" ref="H86">XLOOKUP(C86,'Master Data'!C:C,'Master Data'!G:G)</f>
        <v>Resale Property</v>
      </c>
      <c r="I86" s="72" t="str">
        <f t="array" ref="I86">XLOOKUP(C86,'Master Data'!C:C,'Master Data'!H:H)</f>
        <v>Kharadi S.No . 37</v>
      </c>
      <c r="J86" s="72" t="str">
        <f t="array" ref="J86">XLOOKUP(C86,'Master Data'!C:C,'Master Data'!I:I)</f>
        <v>Group</v>
      </c>
      <c r="K86" s="72" t="str">
        <f t="array" ref="K86">XLOOKUP(C86,'Master Data'!C:C,'Master Data'!J:J)</f>
        <v/>
      </c>
      <c r="L86" s="74" t="str">
        <f t="array" ref="L86">XLOOKUP(C:C,TSR_Completion!C:C,TSR_Completion!M:M)</f>
        <v>#N/A</v>
      </c>
      <c r="M86" s="46" t="s">
        <v>798</v>
      </c>
      <c r="N86" s="4"/>
      <c r="O86" s="4"/>
      <c r="P86" s="4"/>
      <c r="Q86" s="4"/>
      <c r="R86" s="4"/>
      <c r="S86" s="4"/>
      <c r="T86" s="4"/>
      <c r="U86" s="4"/>
      <c r="V86" s="4"/>
      <c r="W86" s="4"/>
      <c r="X86" s="4"/>
      <c r="Y86" s="4"/>
    </row>
    <row r="87">
      <c r="A87" s="6">
        <v>627.0</v>
      </c>
      <c r="B87" s="6" t="s">
        <v>158</v>
      </c>
      <c r="C87" s="6">
        <v>7.7000253356E10</v>
      </c>
      <c r="D87" s="72" t="str">
        <f t="array" ref="D87">XLOOKUP(C87,'Master Data'!C:C,'Master Data'!D:D)</f>
        <v>Kolhapur</v>
      </c>
      <c r="E87" s="64" t="s">
        <v>827</v>
      </c>
      <c r="F87" s="72" t="str">
        <f t="array" ref="F87">XLOOKUP(C87,'Master Data'!C:C,'Master Data'!E:E)</f>
        <v>Mr. Akshay Suresh Patil</v>
      </c>
      <c r="G87" s="72" t="str">
        <f t="array" ref="G87">XLOOKUP(C87,'Master Data'!C:C,'Master Data'!F:F)</f>
        <v>Savita Suresh Patil</v>
      </c>
      <c r="H87" s="72" t="str">
        <f t="array" ref="H87">XLOOKUP(C87,'Master Data'!C:C,'Master Data'!G:G)</f>
        <v>Apana Ghar Regular Under Construction</v>
      </c>
      <c r="I87" s="72" t="str">
        <f t="array" ref="I87">XLOOKUP(C87,'Master Data'!C:C,'Master Data'!H:H)</f>
        <v>All that piece and parcel of land property bearing non-agricultural Plot No. 34, having an area admeasuring of 160.34 sq.mtrs., carved out of Gat No. 307/A and Gat No. 307/B, both situated at Village – Vathar Tarf Vadgaon, Taluka – Hatkanangale, District – Kolhapur.</v>
      </c>
      <c r="J87" s="72" t="str">
        <f t="array" ref="J87">XLOOKUP(C87,'Master Data'!C:C,'Master Data'!I:I)</f>
        <v>Ref. No. : IHFC/TSR/88/2025</v>
      </c>
      <c r="K87" s="72" t="str">
        <f t="array" ref="K87">XLOOKUP(C87,'Master Data'!C:C,'Master Data'!J:J)</f>
        <v/>
      </c>
      <c r="L87" s="74" t="str">
        <f t="array" ref="L87">XLOOKUP(C:C,TSR_Completion!C:C,TSR_Completion!M:M)</f>
        <v>Completed and Issued</v>
      </c>
      <c r="M87" s="4"/>
      <c r="N87" s="4"/>
      <c r="O87" s="4"/>
      <c r="P87" s="4"/>
      <c r="Q87" s="4"/>
      <c r="R87" s="4"/>
      <c r="S87" s="4"/>
      <c r="T87" s="4"/>
      <c r="U87" s="4"/>
      <c r="V87" s="4"/>
      <c r="W87" s="4"/>
      <c r="X87" s="4"/>
      <c r="Y87" s="4"/>
    </row>
    <row r="88">
      <c r="A88" s="6">
        <v>625.0</v>
      </c>
      <c r="B88" s="6" t="s">
        <v>158</v>
      </c>
      <c r="C88" s="6" t="s">
        <v>510</v>
      </c>
      <c r="D88" s="72" t="str">
        <f t="array" ref="D88">XLOOKUP(C88,'Master Data'!C:C,'Master Data'!D:D)</f>
        <v>Main</v>
      </c>
      <c r="E88" s="64" t="s">
        <v>827</v>
      </c>
      <c r="F88" s="72" t="str">
        <f t="array" ref="F88">XLOOKUP(C88,'Master Data'!C:C,'Master Data'!E:E)</f>
        <v>Sandeep Jadhav</v>
      </c>
      <c r="G88" s="72" t="str">
        <f t="array" ref="G88">XLOOKUP(C88,'Master Data'!C:C,'Master Data'!F:F)</f>
        <v/>
      </c>
      <c r="H88" s="72" t="str">
        <f t="array" ref="H88">XLOOKUP(C88,'Master Data'!C:C,'Master Data'!G:G)</f>
        <v>LAP - Commercial</v>
      </c>
      <c r="I88" s="72" t="str">
        <f t="array" ref="I88">XLOOKUP(C88,'Master Data'!C:C,'Master Data'!H:H)</f>
        <v>All that piece and parcel of Unit No. G-01, having built-up area admeasuring of 457.728 sq. mtrs., situated on the Ground Floor, out of the project known as "Bellissima", being constructed on the land project land, i.e. Surve No. 271/1, 275/A, 275/B and 275, situated at Village – Baner, Taluka – Haveli, District – Pune and within local limits of Pune Municipal Corporation, Pune.</v>
      </c>
      <c r="J88" s="72" t="str">
        <f t="array" ref="J88">XLOOKUP(C88,'Master Data'!C:C,'Master Data'!I:I)</f>
        <v>email</v>
      </c>
      <c r="K88" s="72" t="str">
        <f t="array" ref="K88">XLOOKUP(C88,'Master Data'!C:C,'Master Data'!J:J)</f>
        <v/>
      </c>
      <c r="L88" s="74" t="str">
        <f t="array" ref="L88">XLOOKUP(C:C,TSR_Completion!C:C,TSR_Completion!M:M)</f>
        <v>Completed and Issued</v>
      </c>
      <c r="M88" s="4"/>
      <c r="N88" s="4"/>
      <c r="O88" s="4"/>
      <c r="P88" s="4"/>
      <c r="Q88" s="4"/>
      <c r="R88" s="4"/>
      <c r="S88" s="4"/>
      <c r="T88" s="4"/>
      <c r="U88" s="4"/>
      <c r="V88" s="4"/>
      <c r="W88" s="4"/>
      <c r="X88" s="4"/>
      <c r="Y88" s="4"/>
    </row>
    <row r="89">
      <c r="A89" s="6">
        <v>656.0</v>
      </c>
      <c r="B89" s="6" t="s">
        <v>158</v>
      </c>
      <c r="C89" s="6" t="s">
        <v>528</v>
      </c>
      <c r="D89" s="72" t="str">
        <f t="array" ref="D89">XLOOKUP(C89,'Master Data'!C:C,'Master Data'!D:D)</f>
        <v>Vishrantwadi</v>
      </c>
      <c r="E89" s="64" t="s">
        <v>829</v>
      </c>
      <c r="F89" s="72" t="str">
        <f t="array" ref="F89">XLOOKUP(C89,'Master Data'!C:C,'Master Data'!E:E)</f>
        <v>Sabiya Arif Shaikh</v>
      </c>
      <c r="G89" s="72" t="str">
        <f t="array" ref="G89">XLOOKUP(C89,'Master Data'!C:C,'Master Data'!F:F)</f>
        <v/>
      </c>
      <c r="H89" s="72" t="str">
        <f t="array" ref="H89">XLOOKUP(C89,'Master Data'!C:C,'Master Data'!G:G)</f>
        <v>Resale</v>
      </c>
      <c r="I89" s="72" t="str">
        <f t="array" ref="I89">XLOOKUP(C89,'Master Data'!C:C,'Master Data'!H:H)</f>
        <v>All that piece and parcel of property bearing Flat No. 306, admeasuring Carpet Area 29.39 Sq. Mtrs., along with adjoining Terrace Area 3.15 Sq. Mtrs. and Balcony Area 6.87 Sq. Mtrs., situated on the Third Floor in Building No. “A”, in the project known as “Prajol Ashiyana”, constructed on the land bearing CTS No. 5023, CTS No. 5020/4 (Sheet No. 118), CTS No. 5026 (Sheet No. 119) and other connected CTS numbers, situated at Village Pimpri Waghere, Taluka Haveli, District Pune and within the local limits of Pimpri Chinchwad Municipal Corporation.</v>
      </c>
      <c r="J89" s="72" t="str">
        <f t="array" ref="J89">XLOOKUP(C89,'Master Data'!C:C,'Master Data'!I:I)</f>
        <v>Group</v>
      </c>
      <c r="K89" s="72" t="str">
        <f t="array" ref="K89">XLOOKUP(C89,'Master Data'!C:C,'Master Data'!J:J)</f>
        <v/>
      </c>
      <c r="L89" s="74" t="str">
        <f t="array" ref="L89">XLOOKUP(C:C,TSR_Completion!C:C,TSR_Completion!M:M)</f>
        <v>Completed and Issued</v>
      </c>
      <c r="M89" s="46" t="s">
        <v>830</v>
      </c>
      <c r="N89" s="4"/>
      <c r="O89" s="4"/>
      <c r="P89" s="4"/>
      <c r="Q89" s="4"/>
      <c r="R89" s="4"/>
      <c r="S89" s="4"/>
      <c r="T89" s="4"/>
      <c r="U89" s="4"/>
      <c r="V89" s="4"/>
      <c r="W89" s="4"/>
      <c r="X89" s="4"/>
      <c r="Y89" s="4"/>
    </row>
    <row r="90">
      <c r="A90" s="6">
        <v>625.0</v>
      </c>
      <c r="B90" s="6" t="s">
        <v>158</v>
      </c>
      <c r="C90" s="6" t="s">
        <v>520</v>
      </c>
      <c r="D90" s="72" t="str">
        <f t="array" ref="D90">XLOOKUP(C90,'Master Data'!C:C,'Master Data'!D:D)</f>
        <v>Main</v>
      </c>
      <c r="E90" s="64" t="s">
        <v>827</v>
      </c>
      <c r="F90" s="72" t="str">
        <f t="array" ref="F90">XLOOKUP(C90,'Master Data'!C:C,'Master Data'!E:E)</f>
        <v>Sandeep Jadhav</v>
      </c>
      <c r="G90" s="72" t="str">
        <f t="array" ref="G90">XLOOKUP(C90,'Master Data'!C:C,'Master Data'!F:F)</f>
        <v/>
      </c>
      <c r="H90" s="72" t="str">
        <f t="array" ref="H90">XLOOKUP(C90,'Master Data'!C:C,'Master Data'!G:G)</f>
        <v>LAP - Commercial</v>
      </c>
      <c r="I90" s="72" t="str">
        <f t="array" ref="I90">XLOOKUP(C90,'Master Data'!C:C,'Master Data'!H:H)</f>
        <v>All that piece and parcel of Unit No. G-02, having built-up area admeasuring of 463.699 sq. mtrs., situated on the Ground Floor, out of the project known as "Bellissima", being constructed on the land project land, i.e. Surve No. 271/1, 275/A, 275/B and 275, situated at Village – Baner, Taluka – Haveli, District – Pune and within local limits of Pune Municipal Corporation, Pune.</v>
      </c>
      <c r="J90" s="72" t="str">
        <f t="array" ref="J90">XLOOKUP(C90,'Master Data'!C:C,'Master Data'!I:I)</f>
        <v>email</v>
      </c>
      <c r="K90" s="72" t="str">
        <f t="array" ref="K90">XLOOKUP(C90,'Master Data'!C:C,'Master Data'!J:J)</f>
        <v/>
      </c>
      <c r="L90" s="74" t="str">
        <f t="array" ref="L90">XLOOKUP(C:C,TSR_Completion!C:C,TSR_Completion!M:M)</f>
        <v>Completed and Issued</v>
      </c>
      <c r="M90" s="4"/>
      <c r="N90" s="4"/>
      <c r="O90" s="4"/>
      <c r="P90" s="4"/>
      <c r="Q90" s="4"/>
      <c r="R90" s="4"/>
      <c r="S90" s="4"/>
      <c r="T90" s="4"/>
      <c r="U90" s="4"/>
      <c r="V90" s="4"/>
      <c r="W90" s="4"/>
      <c r="X90" s="4"/>
      <c r="Y90" s="4"/>
    </row>
    <row r="91">
      <c r="A91" s="6">
        <v>625.0</v>
      </c>
      <c r="B91" s="6" t="s">
        <v>158</v>
      </c>
      <c r="C91" s="6" t="s">
        <v>522</v>
      </c>
      <c r="D91" s="72" t="str">
        <f t="array" ref="D91">XLOOKUP(C91,'Master Data'!C:C,'Master Data'!D:D)</f>
        <v>Main</v>
      </c>
      <c r="E91" s="64" t="s">
        <v>827</v>
      </c>
      <c r="F91" s="72" t="str">
        <f t="array" ref="F91">XLOOKUP(C91,'Master Data'!C:C,'Master Data'!E:E)</f>
        <v>Sandeep Jadhav</v>
      </c>
      <c r="G91" s="72" t="str">
        <f t="array" ref="G91">XLOOKUP(C91,'Master Data'!C:C,'Master Data'!F:F)</f>
        <v/>
      </c>
      <c r="H91" s="72" t="str">
        <f t="array" ref="H91">XLOOKUP(C91,'Master Data'!C:C,'Master Data'!G:G)</f>
        <v>LAP - Commercial</v>
      </c>
      <c r="I91" s="72" t="str">
        <f t="array" ref="I91">XLOOKUP(C91,'Master Data'!C:C,'Master Data'!H:H)</f>
        <v>All that piece and parcel of Unit No. G-01, having built-up area admeasuring of 120.33 sq. mtrs., situated on the Ground Floor, out of the project known as "Bellissima", being constructed on the land project land, i.e. Surve No. 271/1, 275/A, 275/B and 275, situated at Village – Baner, Taluka – Haveli, District – Pune and within local limits of Pune Municipal Corporation, Pune.</v>
      </c>
      <c r="J91" s="72" t="str">
        <f t="array" ref="J91">XLOOKUP(C91,'Master Data'!C:C,'Master Data'!I:I)</f>
        <v>email</v>
      </c>
      <c r="K91" s="72" t="str">
        <f t="array" ref="K91">XLOOKUP(C91,'Master Data'!C:C,'Master Data'!J:J)</f>
        <v/>
      </c>
      <c r="L91" s="74" t="str">
        <f t="array" ref="L91">XLOOKUP(C:C,TSR_Completion!C:C,TSR_Completion!M:M)</f>
        <v>Completed and Issued</v>
      </c>
      <c r="M91" s="4"/>
      <c r="N91" s="4"/>
      <c r="O91" s="4"/>
      <c r="P91" s="4"/>
      <c r="Q91" s="4"/>
      <c r="R91" s="4"/>
      <c r="S91" s="4"/>
      <c r="T91" s="4"/>
      <c r="U91" s="4"/>
      <c r="V91" s="4"/>
      <c r="W91" s="4"/>
      <c r="X91" s="4"/>
      <c r="Y91" s="4"/>
    </row>
    <row r="92">
      <c r="A92" s="6">
        <v>657.0</v>
      </c>
      <c r="B92" s="6" t="s">
        <v>158</v>
      </c>
      <c r="C92" s="6" t="s">
        <v>682</v>
      </c>
      <c r="D92" s="72" t="str">
        <f t="array" ref="D92">XLOOKUP(C92,'Master Data'!C:C,'Master Data'!D:D)</f>
        <v>vishrantwadi</v>
      </c>
      <c r="E92" s="64" t="s">
        <v>829</v>
      </c>
      <c r="F92" s="72" t="str">
        <f t="array" ref="F92">XLOOKUP(C92,'Master Data'!C:C,'Master Data'!E:E)</f>
        <v>Sabiya Arif Shaikh</v>
      </c>
      <c r="G92" s="72" t="str">
        <f t="array" ref="G92">XLOOKUP(C92,'Master Data'!C:C,'Master Data'!F:F)</f>
        <v/>
      </c>
      <c r="H92" s="72" t="str">
        <f t="array" ref="H92">XLOOKUP(C92,'Master Data'!C:C,'Master Data'!G:G)</f>
        <v>Resale</v>
      </c>
      <c r="I92" s="72" t="str">
        <f t="array" ref="I92">XLOOKUP(C92,'Master Data'!C:C,'Master Data'!H:H)</f>
        <v>All that piece and parcel of property bearing Flat No. 307, admeasuring Carpet Area 28.49 Sq. Mtrs., along with adjoining Terrace Area 4.32 Sq. Mtrs. and Balcony Area 3.91 Sq. Mtrs., situated on the Third Floor in Building No. “A”, in the project known as “Prajol Ashiyana”, constructed on the land bearing CTS No. 5023, CTS No. 5020/4 (Sheet No. 118), CTS No. 5026 (Sheet No. 119) and other connected CTS numbers, situated at Village Pimpri Waghere, Taluka Haveli, District Pune and within the local limits of Pimpri Chinchwad Municipal Corporation.</v>
      </c>
      <c r="J92" s="72" t="str">
        <f t="array" ref="J92">XLOOKUP(C92,'Master Data'!C:C,'Master Data'!I:I)</f>
        <v>Group</v>
      </c>
      <c r="K92" s="72" t="str">
        <f t="array" ref="K92">XLOOKUP(C92,'Master Data'!C:C,'Master Data'!J:J)</f>
        <v/>
      </c>
      <c r="L92" s="74" t="str">
        <f t="array" ref="L92">XLOOKUP(C:C,TSR_Completion!C:C,TSR_Completion!M:M)</f>
        <v>Completed and Issued</v>
      </c>
      <c r="M92" s="4"/>
      <c r="N92" s="4"/>
      <c r="O92" s="4"/>
      <c r="P92" s="4"/>
      <c r="Q92" s="4"/>
      <c r="R92" s="4"/>
      <c r="S92" s="4"/>
      <c r="T92" s="4"/>
      <c r="U92" s="4"/>
      <c r="V92" s="4"/>
      <c r="W92" s="4"/>
      <c r="X92" s="4"/>
      <c r="Y92" s="4"/>
    </row>
    <row r="93">
      <c r="A93" s="6">
        <v>658.0</v>
      </c>
      <c r="B93" s="6" t="s">
        <v>158</v>
      </c>
      <c r="C93" s="6">
        <v>7.7000258336E10</v>
      </c>
      <c r="D93" s="72" t="str">
        <f t="array" ref="D93">XLOOKUP(C93,'Master Data'!C:C,'Master Data'!D:D)</f>
        <v>Kolhapur</v>
      </c>
      <c r="E93" s="64" t="s">
        <v>829</v>
      </c>
      <c r="F93" s="72" t="str">
        <f t="array" ref="F93">XLOOKUP(C93,'Master Data'!C:C,'Master Data'!E:E)</f>
        <v>Amruta Sandeep Bhapkar </v>
      </c>
      <c r="G93" s="72" t="str">
        <f t="array" ref="G93">XLOOKUP(C93,'Master Data'!C:C,'Master Data'!F:F)</f>
        <v>Sandeep Shrikant Bhapkar.  </v>
      </c>
      <c r="H93" s="72" t="str">
        <f t="array" ref="H93">XLOOKUP(C93,'Master Data'!C:C,'Master Data'!G:G)</f>
        <v>Regular Lap</v>
      </c>
      <c r="I93" s="72" t="str">
        <f t="array" ref="I93">XLOOKUP(C93,'Master Data'!C:C,'Master Data'!H:H)</f>
        <v>All that piece and parcel of property bearing CTS No. 2684/2/B/1, admeasuring 44.40 Sq. Mtrs., together with RCC construction standing thereon, situated at A Ward, Kolhapur City, within the limits of Kolhapur Municipal Corporation, Taluka Karveer, District Kolhapur</v>
      </c>
      <c r="J93" s="72" t="str">
        <f t="array" ref="J93">XLOOKUP(C93,'Master Data'!C:C,'Master Data'!I:I)</f>
        <v>Group</v>
      </c>
      <c r="K93" s="72" t="str">
        <f t="array" ref="K93">XLOOKUP(C93,'Master Data'!C:C,'Master Data'!J:J)</f>
        <v/>
      </c>
      <c r="L93" s="74" t="str">
        <f t="array" ref="L93">XLOOKUP(C:C,TSR_Completion!C:C,TSR_Completion!M:M)</f>
        <v>Completed and Issued</v>
      </c>
      <c r="M93" s="46" t="s">
        <v>798</v>
      </c>
      <c r="N93" s="4"/>
      <c r="O93" s="4"/>
      <c r="P93" s="4"/>
      <c r="Q93" s="4"/>
      <c r="R93" s="4"/>
      <c r="S93" s="4"/>
      <c r="T93" s="4"/>
      <c r="U93" s="4"/>
      <c r="V93" s="4"/>
      <c r="W93" s="4"/>
      <c r="X93" s="4"/>
      <c r="Y93" s="4"/>
    </row>
    <row r="94">
      <c r="A94" s="6">
        <v>659.0</v>
      </c>
      <c r="B94" s="6" t="s">
        <v>158</v>
      </c>
      <c r="C94" s="6">
        <v>7.700026405E10</v>
      </c>
      <c r="D94" s="72" t="str">
        <f t="array" ref="D94">XLOOKUP(C94,'Master Data'!C:C,'Master Data'!D:D)</f>
        <v>Kolhapur</v>
      </c>
      <c r="E94" s="64" t="s">
        <v>829</v>
      </c>
      <c r="F94" s="72" t="str">
        <f t="array" ref="F94">XLOOKUP(C94,'Master Data'!C:C,'Master Data'!E:E)</f>
        <v>Suhas Appasaheb Gavali </v>
      </c>
      <c r="G94" s="72" t="str">
        <f t="array" ref="G94">XLOOKUP(C94,'Master Data'!C:C,'Master Data'!F:F)</f>
        <v>Rajashri Suhas Gavali </v>
      </c>
      <c r="H94" s="72" t="str">
        <f t="array" ref="H94">XLOOKUP(C94,'Master Data'!C:C,'Master Data'!G:G)</f>
        <v>Regular Comercial Lap</v>
      </c>
      <c r="I94" s="72" t="str">
        <f t="array" ref="I94">XLOOKUP(C94,'Master Data'!C:C,'Master Data'!H:H)</f>
        <v>All that piece and parcel of property being Shop/Gala No. 2, admeasuring area 27.00 Sq. Mtrs., situated on the Ground Floor in the RCC building known as “Parijaat”, constructed/to be constructed on the land bearing City Survey No. 764/B and City Survey No. 764/A/2, admeasuring in aggregate 592.45 Sq. Mtrs. as per Property Card, situated at Kasba Bawada, E Ward, within the limits of Kolhapur Municipal Corporation, Taluka Karveer, District Kolhapur.</v>
      </c>
      <c r="J94" s="72" t="str">
        <f t="array" ref="J94">XLOOKUP(C94,'Master Data'!C:C,'Master Data'!I:I)</f>
        <v>Group</v>
      </c>
      <c r="K94" s="72" t="str">
        <f t="array" ref="K94">XLOOKUP(C94,'Master Data'!C:C,'Master Data'!J:J)</f>
        <v/>
      </c>
      <c r="L94" s="74" t="str">
        <f t="array" ref="L94">XLOOKUP(C:C,TSR_Completion!C:C,TSR_Completion!M:M)</f>
        <v>Completed and Issued</v>
      </c>
      <c r="M94" s="46" t="s">
        <v>798</v>
      </c>
      <c r="N94" s="4"/>
      <c r="O94" s="4"/>
      <c r="P94" s="4"/>
      <c r="Q94" s="4"/>
      <c r="R94" s="4"/>
      <c r="S94" s="4"/>
      <c r="T94" s="4"/>
      <c r="U94" s="4"/>
      <c r="V94" s="4"/>
      <c r="W94" s="4"/>
      <c r="X94" s="4"/>
      <c r="Y94" s="4"/>
    </row>
    <row r="95">
      <c r="A95" s="6" t="s">
        <v>831</v>
      </c>
      <c r="B95" s="6" t="s">
        <v>158</v>
      </c>
      <c r="C95" s="30" t="s">
        <v>231</v>
      </c>
      <c r="D95" s="72" t="str">
        <f t="array" ref="D95">XLOOKUP(C95,'Master Data'!C:C,'Master Data'!D:D)</f>
        <v>Main</v>
      </c>
      <c r="E95" s="64" t="s">
        <v>819</v>
      </c>
      <c r="F95" s="72" t="str">
        <f t="array" ref="F95">XLOOKUP(C95,'Master Data'!C:C,'Master Data'!E:E)</f>
        <v>M/s. Wakadkar Brothers</v>
      </c>
      <c r="G95" s="72" t="str">
        <f t="array" ref="G95">XLOOKUP(C95,'Master Data'!C:C,'Master Data'!F:F)</f>
        <v>Mr. Vishal Yashwant Wakadkar
Mr. Yashwant Sopan Wakadkar</v>
      </c>
      <c r="H95" s="72" t="str">
        <f t="array" ref="H95">XLOOKUP(C95,'Master Data'!C:C,'Master Data'!G:G)</f>
        <v>LAP - RESI</v>
      </c>
      <c r="I95" s="72" t="str">
        <f t="array" ref="I95">XLOOKUP(C95,'Master Data'!C:C,'Master Data'!H:H)</f>
        <v>All that piece and parcel of property bearing Flat/Apartment No. B-206, having an area admeasuring 65.82 Sq. Mtrs. (Carpet Area 51.10 Sq. Mtrs. + Enclosed Balcony Area 6.11 Sq. Mtrs. + Dry Balcony Area 2.21 Sq. Mtrs. + Terrace Area 6.40 Sq. Mtrs.), situated on the Second Floor, in Wing ‘B’, out of the project known as “Viva ABCD”, constructed/to be constructed on the entire land property bearing Survey Nos. 130/3/1, 130/3/2 and 130/2/4, situated at Village – Wakad, Taluka – Mulshi, District – Pune, within the limits of Pimpri Chinchwad Municipal Corporation.</v>
      </c>
      <c r="J95" s="72" t="str">
        <f t="array" ref="J95">XLOOKUP(C95,'Master Data'!C:C,'Master Data'!I:I)</f>
        <v>.</v>
      </c>
      <c r="K95" s="72" t="str">
        <f t="array" ref="K95">XLOOKUP(C95,'Master Data'!C:C,'Master Data'!J:J)</f>
        <v/>
      </c>
      <c r="L95" s="74" t="str">
        <f t="array" ref="L95">XLOOKUP(C:C,TSR_Completion!C:C,TSR_Completion!M:M)</f>
        <v>Completed and Issued</v>
      </c>
      <c r="M95" s="4"/>
      <c r="N95" s="4"/>
      <c r="O95" s="4"/>
      <c r="P95" s="4"/>
      <c r="Q95" s="4"/>
      <c r="R95" s="4"/>
      <c r="S95" s="4"/>
      <c r="T95" s="4"/>
      <c r="U95" s="4"/>
      <c r="V95" s="4"/>
      <c r="W95" s="4"/>
      <c r="X95" s="4"/>
      <c r="Y95" s="4"/>
    </row>
    <row r="96">
      <c r="A96" s="6" t="s">
        <v>832</v>
      </c>
      <c r="B96" s="6" t="s">
        <v>158</v>
      </c>
      <c r="C96" s="30" t="s">
        <v>234</v>
      </c>
      <c r="D96" s="72" t="str">
        <f t="array" ref="D96">XLOOKUP(C96,'Master Data'!C:C,'Master Data'!D:D)</f>
        <v>Main</v>
      </c>
      <c r="E96" s="64" t="s">
        <v>819</v>
      </c>
      <c r="F96" s="72" t="str">
        <f t="array" ref="F96">XLOOKUP(C96,'Master Data'!C:C,'Master Data'!E:E)</f>
        <v>M/s. Wakadkar Brothers</v>
      </c>
      <c r="G96" s="72" t="str">
        <f t="array" ref="G96">XLOOKUP(C96,'Master Data'!C:C,'Master Data'!F:F)</f>
        <v>Mr. Vishal Yashwant Wakadkar
Mr. Yashwant Sopan Wakadkar</v>
      </c>
      <c r="H96" s="72" t="str">
        <f t="array" ref="H96">XLOOKUP(C96,'Master Data'!C:C,'Master Data'!G:G)</f>
        <v>LAP - RESI</v>
      </c>
      <c r="I96" s="72" t="str">
        <f t="array" ref="I96">XLOOKUP(C96,'Master Data'!C:C,'Master Data'!H:H)</f>
        <v>All that piece and parcel of property bearing Flat/Apartment No. C-107, having an area admeasuring 76.58 Sq. Mtrs. (Carpet Area 58.42 Sq. Mtrs. + Enclosed Balcony Area 5.34 Sq. Mtrs. + Dry Balcony Area 2.21 Sq. Mtrs. + Terrace Area 10.61 Sq. Mtrs.), situated on the First Floor, in Wing ‘C’, out of the project known as “Viva ABCD”, constructed/to be constructed on the entire land property bearing Survey Nos. 130/3/1, 130/3/2 and 130/2/4, situated at Village – Wakad, Taluka – Mulshi, District – Pune, within the limits of Pimpri Chinchwad Municipal Corporation, along with one car parking space.</v>
      </c>
      <c r="J96" s="72" t="str">
        <f t="array" ref="J96">XLOOKUP(C96,'Master Data'!C:C,'Master Data'!I:I)</f>
        <v>.</v>
      </c>
      <c r="K96" s="72" t="str">
        <f t="array" ref="K96">XLOOKUP(C96,'Master Data'!C:C,'Master Data'!J:J)</f>
        <v/>
      </c>
      <c r="L96" s="74" t="str">
        <f t="array" ref="L96">XLOOKUP(C:C,TSR_Completion!C:C,TSR_Completion!M:M)</f>
        <v>Completed and Issued</v>
      </c>
      <c r="M96" s="4"/>
      <c r="N96" s="4"/>
      <c r="O96" s="4"/>
      <c r="P96" s="4"/>
      <c r="Q96" s="4"/>
      <c r="R96" s="4"/>
      <c r="S96" s="4"/>
      <c r="T96" s="4"/>
      <c r="U96" s="4"/>
      <c r="V96" s="4"/>
      <c r="W96" s="4"/>
      <c r="X96" s="4"/>
      <c r="Y96" s="4"/>
    </row>
    <row r="97">
      <c r="A97" s="6">
        <v>632.0</v>
      </c>
      <c r="B97" s="6" t="s">
        <v>158</v>
      </c>
      <c r="C97" s="6">
        <v>7.7000263661E10</v>
      </c>
      <c r="D97" s="72" t="str">
        <f t="array" ref="D97">XLOOKUP(C97,'Master Data'!C:C,'Master Data'!D:D)</f>
        <v>Chinchwad</v>
      </c>
      <c r="E97" s="64" t="s">
        <v>827</v>
      </c>
      <c r="F97" s="72" t="str">
        <f t="array" ref="F97">XLOOKUP(C97,'Master Data'!C:C,'Master Data'!E:E)</f>
        <v>Kiran Namdev Shinde</v>
      </c>
      <c r="G97" s="72" t="str">
        <f t="array" ref="G97">XLOOKUP(C97,'Master Data'!C:C,'Master Data'!F:F)</f>
        <v>Nirmalsharada Trading LLP
Rupali Kiran Shinde</v>
      </c>
      <c r="H97" s="72" t="str">
        <f t="array" ref="H97">XLOOKUP(C97,'Master Data'!C:C,'Master Data'!G:G)</f>
        <v>LAP</v>
      </c>
      <c r="I97" s="72" t="str">
        <f t="array" ref="I97">XLOOKUP(C97,'Master Data'!C:C,'Master Data'!H:H)</f>
        <v>All that piece and parcel of Shop No. 02, situated on the Ground Floor, admeasuring 323.03 square feet i.e. 30.02 square metres (carpet area), in Building No. “B”, in the building known as “Sai Vivek Co-operative Housing Society Ltd.”, together with membership rights in the said society, and along with proportionate undivided share in the land and common areas, amenities and facilities appurtenant thereto, constructed on land bearing Survey No. 77/4, lying and situated at Village Ravet, Taluka Haveli, District Pune, within the limits of Pimpri Chinchwad Municipal Corporation, Pimpri.</v>
      </c>
      <c r="J97" s="72" t="str">
        <f t="array" ref="J97">XLOOKUP(C97,'Master Data'!C:C,'Master Data'!I:I)</f>
        <v/>
      </c>
      <c r="K97" s="72" t="str">
        <f t="array" ref="K97">XLOOKUP(C97,'Master Data'!C:C,'Master Data'!J:J)</f>
        <v/>
      </c>
      <c r="L97" s="74" t="str">
        <f t="array" ref="L97">XLOOKUP(C:C,TSR_Completion!C:C,TSR_Completion!M:M)</f>
        <v>Completed and Issued</v>
      </c>
      <c r="M97" s="46" t="s">
        <v>798</v>
      </c>
      <c r="N97" s="4"/>
      <c r="O97" s="4"/>
      <c r="P97" s="4"/>
      <c r="Q97" s="4"/>
      <c r="R97" s="4"/>
      <c r="S97" s="4"/>
      <c r="T97" s="4"/>
      <c r="U97" s="4"/>
      <c r="V97" s="4"/>
      <c r="W97" s="4"/>
      <c r="X97" s="4"/>
      <c r="Y97" s="4"/>
    </row>
    <row r="98">
      <c r="A98" s="6">
        <v>663.0</v>
      </c>
      <c r="B98" s="6" t="s">
        <v>158</v>
      </c>
      <c r="C98" s="6">
        <v>7.7000266325E10</v>
      </c>
      <c r="D98" s="72" t="str">
        <f t="array" ref="D98">XLOOKUP(C98,'Master Data'!C:C,'Master Data'!D:D)</f>
        <v>Hadapsar </v>
      </c>
      <c r="E98" s="64" t="s">
        <v>826</v>
      </c>
      <c r="F98" s="72" t="str">
        <f t="array" ref="F98">XLOOKUP(C98,'Master Data'!C:C,'Master Data'!E:E)</f>
        <v>Swati Yogesh Ingale</v>
      </c>
      <c r="G98" s="72" t="str">
        <f t="array" ref="G98">XLOOKUP(C98,'Master Data'!C:C,'Master Data'!F:F)</f>
        <v>Yogesh Laxman Ingale</v>
      </c>
      <c r="H98" s="72" t="str">
        <f t="array" ref="H98">XLOOKUP(C98,'Master Data'!C:C,'Master Data'!G:G)</f>
        <v>Builder purchase</v>
      </c>
      <c r="I98" s="72" t="str">
        <f t="array" ref="I98">XLOOKUP(C98,'Master Data'!C:C,'Master Data'!H:H)</f>
        <v>All that piece and parcel of Flat/Apartment No. 302, having carpet area admeasuring 52.99 Sq. Mtrs. along with balcony area admeasuring 3.20 Sq. Mtrs., aggregating to total carpet area of 56.19 Sq. Mtrs., situated on the 3rd Floor, in Building/Wing “E”, of the project known as “DEW DROPS”, constructed/to be constructed on the land bearing Survey No. 72A, Hissa No. 2, situated at Village Saswad, Taluka Purandar, District Pune. The said flat is along with one tin shade car parking space, and is entitled to proportionate undivided share in the land and common areas and amenities appurtenant thereto.</v>
      </c>
      <c r="J98" s="72" t="str">
        <f t="array" ref="J98">XLOOKUP(C98,'Master Data'!C:C,'Master Data'!I:I)</f>
        <v>7887572265 NLK</v>
      </c>
      <c r="K98" s="72" t="str">
        <f t="array" ref="K98">XLOOKUP(C98,'Master Data'!C:C,'Master Data'!J:J)</f>
        <v/>
      </c>
      <c r="L98" s="74" t="str">
        <f t="array" ref="L98">XLOOKUP(C:C,TSR_Completion!C:C,TSR_Completion!M:M)</f>
        <v>Completed and Issued</v>
      </c>
      <c r="M98" s="46" t="s">
        <v>798</v>
      </c>
      <c r="O98" s="4"/>
      <c r="P98" s="4"/>
      <c r="Q98" s="4"/>
      <c r="R98" s="4"/>
      <c r="S98" s="4"/>
      <c r="T98" s="4"/>
      <c r="U98" s="4"/>
      <c r="V98" s="4"/>
      <c r="W98" s="4"/>
      <c r="X98" s="4"/>
      <c r="Y98" s="4"/>
    </row>
    <row r="99">
      <c r="A99" s="6">
        <v>660.0</v>
      </c>
      <c r="B99" s="6" t="s">
        <v>158</v>
      </c>
      <c r="C99" s="6">
        <v>7.7000259155E10</v>
      </c>
      <c r="D99" s="72" t="str">
        <f t="array" ref="D99">XLOOKUP(C99,'Master Data'!C:C,'Master Data'!D:D)</f>
        <v>Wakad</v>
      </c>
      <c r="E99" s="64" t="s">
        <v>826</v>
      </c>
      <c r="F99" s="72" t="str">
        <f t="array" ref="F99">XLOOKUP(C99,'Master Data'!C:C,'Master Data'!E:E)</f>
        <v>Jagdish Popat Patil</v>
      </c>
      <c r="G99" s="72" t="str">
        <f t="array" ref="G99">XLOOKUP(C99,'Master Data'!C:C,'Master Data'!F:F)</f>
        <v>Popat Patil,Nirmala Patil</v>
      </c>
      <c r="H99" s="72" t="str">
        <f t="array" ref="H99">XLOOKUP(C99,'Master Data'!C:C,'Master Data'!G:G)</f>
        <v>Builder purchase </v>
      </c>
      <c r="I99" s="72" t="str">
        <f t="array" ref="I99">XLOOKUP(C99,'Master Data'!C:C,'Master Data'!H:H)</f>
        <v>All that piece and parcel of property being Flat No. 104, admeasuring Carpet Area 31.28 Sq. Mtrs., together with Balcony area admeasuring 5.42 Sq. Mtrs., situated on the First Floor in C &amp; D Wing/Building of the project known as “Khush Vista Phase I”, constructed/to be constructed on the land bearing Survey No. 2/1A/1B/2A/2B/2C/Plot No. D admeasuring 5591.35 Sq. Mtrs. and Survey No. 2/1A/1B/2A/2B/2C/Open Space/Plot No. D admeasuring 776.16 Sq. Mtrs., situated at Village Mohammadwadi, Taluka Haveli, District Pune and within the limits of Pune Municipal Corporation, along with all easements and appurtenances thereto.</v>
      </c>
      <c r="J99" s="72" t="str">
        <f t="array" ref="J99">XLOOKUP(C99,'Master Data'!C:C,'Master Data'!I:I)</f>
        <v>Group</v>
      </c>
      <c r="K99" s="72" t="str">
        <f t="array" ref="K99">XLOOKUP(C99,'Master Data'!C:C,'Master Data'!J:J)</f>
        <v/>
      </c>
      <c r="L99" s="74" t="str">
        <f t="array" ref="L99">XLOOKUP(C:C,TSR_Completion!C:C,TSR_Completion!M:M)</f>
        <v>Completed and Issued</v>
      </c>
      <c r="M99" s="46" t="s">
        <v>798</v>
      </c>
      <c r="N99" s="4"/>
      <c r="O99" s="4"/>
      <c r="P99" s="4"/>
      <c r="Q99" s="4"/>
      <c r="R99" s="4"/>
      <c r="S99" s="4"/>
      <c r="T99" s="4"/>
      <c r="U99" s="4"/>
      <c r="V99" s="4"/>
      <c r="W99" s="4"/>
      <c r="X99" s="4"/>
      <c r="Y99" s="4"/>
    </row>
    <row r="100">
      <c r="A100" s="6">
        <v>634.0</v>
      </c>
      <c r="B100" s="6" t="s">
        <v>158</v>
      </c>
      <c r="C100" s="50" t="s">
        <v>556</v>
      </c>
      <c r="D100" s="72" t="str">
        <f t="array" ref="D100">XLOOKUP(C100,'Master Data'!C:C,'Master Data'!D:D)</f>
        <v>APF</v>
      </c>
      <c r="E100" s="64" t="s">
        <v>826</v>
      </c>
      <c r="F100" s="72" t="str">
        <f t="array" ref="F100">XLOOKUP(C100,'Master Data'!C:C,'Master Data'!E:E)</f>
        <v>Avighna Heights</v>
      </c>
      <c r="G100" s="75">
        <v>10.0</v>
      </c>
      <c r="H100" s="72" t="str">
        <f t="array" ref="H100">XLOOKUP(C100,'Master Data'!C:C,'Master Data'!G:G)</f>
        <v>APF</v>
      </c>
      <c r="I100" s="72" t="str">
        <f t="array" ref="I100">XLOOKUP(C100,'Master Data'!C:C,'Master Data'!H:H)</f>
        <v>All those pieces and parcels of land bearing N.A. Plot No. 53 and N.A. Plot No. 54, situate at Vadgaon, Taluka – Maval, District – Pune, formed out of Survey No. 81 + 81/2 + 281/2B, admeasuring in aggregate 905.20 Sq. Mtrs. (i.e. Plot No. 53 admeasuring 418.50 Sq. Mtrs. and Plot No. 54 admeasuring 486.70 Sq. Mtrs.), assessed at 00 Rs. 14 Ps.,</v>
      </c>
      <c r="J100" s="72" t="str">
        <f t="array" ref="J100">XLOOKUP(C100,'Master Data'!C:C,'Master Data'!I:I)</f>
        <v>Hardcopy (8888167545)Sourabh shinde WAKAD</v>
      </c>
      <c r="K100" s="72" t="str">
        <f t="array" ref="K100">XLOOKUP(C100,'Master Data'!C:C,'Master Data'!J:J)</f>
        <v>.</v>
      </c>
      <c r="L100" s="74" t="str">
        <f t="array" ref="L100">XLOOKUP(C:C,TSR_Completion!C:C,TSR_Completion!M:M)</f>
        <v>Completed and Issued</v>
      </c>
      <c r="M100" s="46" t="s">
        <v>813</v>
      </c>
      <c r="N100" s="4"/>
      <c r="O100" s="4"/>
      <c r="P100" s="4"/>
      <c r="Q100" s="4"/>
      <c r="R100" s="4"/>
      <c r="S100" s="4"/>
      <c r="T100" s="4"/>
      <c r="U100" s="4"/>
      <c r="V100" s="4"/>
      <c r="W100" s="4"/>
      <c r="X100" s="4"/>
      <c r="Y100" s="4"/>
    </row>
    <row r="101">
      <c r="A101" s="6">
        <v>670.0</v>
      </c>
      <c r="B101" s="6" t="s">
        <v>158</v>
      </c>
      <c r="C101" s="6">
        <v>7.792151864E9</v>
      </c>
      <c r="D101" s="72" t="str">
        <f t="array" ref="D101">XLOOKUP(C101,'Master Data'!C:C,'Master Data'!D:D)</f>
        <v>Wakad</v>
      </c>
      <c r="E101" s="64" t="s">
        <v>826</v>
      </c>
      <c r="F101" s="72" t="str">
        <f t="array" ref="F101">XLOOKUP(C101,'Master Data'!C:C,'Master Data'!E:E)</f>
        <v>Vishnu Bhausaheb Lasure</v>
      </c>
      <c r="G101" s="72" t="str">
        <f t="array" ref="G101">XLOOKUP(C101,'Master Data'!C:C,'Master Data'!F:F)</f>
        <v>Anjana Vishnu Lasure</v>
      </c>
      <c r="H101" s="72" t="str">
        <f t="array" ref="H101">XLOOKUP(C101,'Master Data'!C:C,'Master Data'!G:G)</f>
        <v> Resale Commercial Lap</v>
      </c>
      <c r="I101" s="72" t="str">
        <f t="array" ref="I101">XLOOKUP(C101,'Master Data'!C:C,'Master Data'!H:H)</f>
        <v>All that piece and parcel of Shop/Gala No. 2, admeasuring approximately 240 Sq. Ft., situated on the Ground Floor in the building known as “Shankar Chhaya A”, constructed on land bearing Survey No. 92 (part), situated at Erandwane, Taluka Haveli, District Pune, within the limits of Pune Municipal Corporation.</v>
      </c>
      <c r="J101" s="72" t="str">
        <f t="array" ref="J101">XLOOKUP(C101,'Master Data'!C:C,'Master Data'!I:I)</f>
        <v>Group</v>
      </c>
      <c r="K101" s="72" t="str">
        <f t="array" ref="K101">XLOOKUP(C101,'Master Data'!C:C,'Master Data'!J:J)</f>
        <v/>
      </c>
      <c r="L101" s="74" t="str">
        <f t="array" ref="L101">XLOOKUP(C:C,TSR_Completion!C:C,TSR_Completion!M:M)</f>
        <v>Completed and Issued</v>
      </c>
      <c r="M101" s="46" t="s">
        <v>798</v>
      </c>
      <c r="N101" s="4"/>
      <c r="O101" s="4"/>
      <c r="P101" s="4"/>
      <c r="Q101" s="4"/>
      <c r="R101" s="4"/>
      <c r="S101" s="4"/>
      <c r="T101" s="4"/>
      <c r="U101" s="4"/>
      <c r="V101" s="4"/>
      <c r="W101" s="4"/>
      <c r="X101" s="4"/>
      <c r="Y101" s="4"/>
    </row>
    <row r="102">
      <c r="A102" s="6">
        <v>671.0</v>
      </c>
      <c r="B102" s="6" t="s">
        <v>158</v>
      </c>
      <c r="C102" s="6">
        <v>7.792151866E9</v>
      </c>
      <c r="D102" s="72" t="str">
        <f t="array" ref="D102">XLOOKUP(C102,'Master Data'!C:C,'Master Data'!D:D)</f>
        <v>wakad</v>
      </c>
      <c r="E102" s="64" t="s">
        <v>826</v>
      </c>
      <c r="F102" s="72" t="str">
        <f t="array" ref="F102">XLOOKUP(C102,'Master Data'!C:C,'Master Data'!E:E)</f>
        <v>Pankaj prakash chand Jangid </v>
      </c>
      <c r="G102" s="72" t="str">
        <f t="array" ref="G102">XLOOKUP(C102,'Master Data'!C:C,'Master Data'!F:F)</f>
        <v> PRAKASH CHAND SOHANLALJI JANGID</v>
      </c>
      <c r="H102" s="72" t="str">
        <f t="array" ref="H102">XLOOKUP(C102,'Master Data'!C:C,'Master Data'!G:G)</f>
        <v>LAP</v>
      </c>
      <c r="I102" s="72" t="str">
        <f t="array" ref="I102">XLOOKUP(C102,'Master Data'!C:C,'Master Data'!H:H)</f>
        <v>All that piece and parcel of Flat No. 613, admeasuring Carpet Area 56.82 Sq. Mtrs., along with Enclosed Balcony area admeasuring 4.19 Sq. Mtrs., adjoining Terrace area admeasuring 5.44 Sq. Mtrs. and Dry Balcony area admeasuring 2.76 Sq. Mtrs., situated on the Sixth Floor in Building “A” of the project known as “Arun Ayon”, constructed on land bearing Survey Nos. 97/1A/1A/3, 97/1A/1A/4, 97/1A/1A/5, 97/1A/1A/6, 97/1A/1A/7, 97/1A/1A/11, 97/1A/1A/13 and 97/1A/1A/38, situated at Village Ravet, Taluka Haveli, District Pune, within the limits of Pimpri Chinchwad Municipal Corporation. Together with Covered Parking Space No. UD-7 on Upper Ground Floor, and along with proportionate undivided share in the land and all easements, rights and appurtenances thereto.</v>
      </c>
      <c r="J102" s="72" t="str">
        <f t="array" ref="J102">XLOOKUP(C102,'Master Data'!C:C,'Master Data'!I:I)</f>
        <v>Group</v>
      </c>
      <c r="K102" s="72" t="str">
        <f t="array" ref="K102">XLOOKUP(C102,'Master Data'!C:C,'Master Data'!J:J)</f>
        <v/>
      </c>
      <c r="L102" s="74" t="str">
        <f t="array" ref="L102">XLOOKUP(C:C,TSR_Completion!C:C,TSR_Completion!M:M)</f>
        <v>Completed and Issued</v>
      </c>
      <c r="M102" s="46" t="s">
        <v>798</v>
      </c>
      <c r="N102" s="4"/>
      <c r="O102" s="4"/>
      <c r="P102" s="4"/>
      <c r="Q102" s="4"/>
      <c r="R102" s="4"/>
      <c r="S102" s="4"/>
      <c r="T102" s="4"/>
      <c r="U102" s="4"/>
      <c r="V102" s="4"/>
      <c r="W102" s="4"/>
      <c r="X102" s="4"/>
      <c r="Y102" s="4"/>
    </row>
    <row r="103">
      <c r="A103" s="6">
        <v>672.0</v>
      </c>
      <c r="B103" s="6" t="s">
        <v>158</v>
      </c>
      <c r="C103" s="6">
        <v>7.70002602E10</v>
      </c>
      <c r="D103" s="72" t="str">
        <f t="array" ref="D103">XLOOKUP(C103,'Master Data'!C:C,'Master Data'!D:D)</f>
        <v>Main</v>
      </c>
      <c r="E103" s="64" t="s">
        <v>826</v>
      </c>
      <c r="F103" s="72" t="str">
        <f t="array" ref="F103">XLOOKUP(C103,'Master Data'!C:C,'Master Data'!E:E)</f>
        <v>Sandeep Sathiya </v>
      </c>
      <c r="G103" s="72" t="str">
        <f t="array" ref="G103">XLOOKUP(C103,'Master Data'!C:C,'Master Data'!F:F)</f>
        <v>Seema Sethiya</v>
      </c>
      <c r="H103" s="72" t="str">
        <f t="array" ref="H103">XLOOKUP(C103,'Master Data'!C:C,'Master Data'!G:G)</f>
        <v>NRP -Commercial</v>
      </c>
      <c r="I103" s="72" t="str">
        <f t="array" ref="I103">XLOOKUP(C103,'Master Data'!C:C,'Master Data'!H:H)</f>
        <v>Mahmadwadi S.No.43</v>
      </c>
      <c r="J103" s="72" t="str">
        <f t="array" ref="J103">XLOOKUP(C103,'Master Data'!C:C,'Master Data'!I:I)</f>
        <v>9075190361 NK</v>
      </c>
      <c r="K103" s="72" t="str">
        <f t="array" ref="K103">XLOOKUP(C103,'Master Data'!C:C,'Master Data'!J:J)</f>
        <v/>
      </c>
      <c r="L103" s="74" t="str">
        <f t="array" ref="L103">XLOOKUP(C:C,TSR_Completion!C:C,TSR_Completion!M:M)</f>
        <v>#N/A</v>
      </c>
      <c r="M103" s="46" t="s">
        <v>798</v>
      </c>
      <c r="N103" s="4"/>
      <c r="O103" s="4"/>
      <c r="P103" s="4"/>
      <c r="Q103" s="4"/>
      <c r="R103" s="4"/>
      <c r="S103" s="4"/>
      <c r="T103" s="4"/>
      <c r="U103" s="4"/>
      <c r="V103" s="4"/>
      <c r="W103" s="4"/>
      <c r="X103" s="4"/>
      <c r="Y103" s="4"/>
    </row>
    <row r="104">
      <c r="A104" s="6">
        <v>640.0</v>
      </c>
      <c r="B104" s="6" t="s">
        <v>158</v>
      </c>
      <c r="C104" s="6">
        <v>3.64010451442E11</v>
      </c>
      <c r="D104" s="72" t="str">
        <f t="array" ref="D104">XLOOKUP(C104,'Master Data'!C:C,'Master Data'!D:D)</f>
        <v>Main</v>
      </c>
      <c r="E104" s="64" t="s">
        <v>833</v>
      </c>
      <c r="F104" s="72" t="str">
        <f t="array" ref="F104">XLOOKUP(C104,'Master Data'!C:C,'Master Data'!E:E)</f>
        <v>Rohit Ramesh Salekar</v>
      </c>
      <c r="G104" s="72" t="str">
        <f t="array" ref="G104">XLOOKUP(C104,'Master Data'!C:C,'Master Data'!F:F)</f>
        <v>Kushal Ramesh Salekar</v>
      </c>
      <c r="H104" s="72" t="str">
        <f t="array" ref="H104">XLOOKUP(C104,'Master Data'!C:C,'Master Data'!G:G)</f>
        <v>Builder Purchase</v>
      </c>
      <c r="I104" s="72" t="str">
        <f t="array" ref="I104">XLOOKUP(C104,'Master Data'!C:C,'Master Data'!H:H)</f>
        <v>All that piece and parcel of property bearing Flat No. 401, having an area admeasuring 51.98 Sq. Mtrs. (Carpet Area) along with exclusive area of 4.75 Sq. Mtrs., situated on the Fourth Floor, in the building out of the project known as “PRAJAKT RESIDENCE”, constructed/to be constructed on the entire land property, i.e. Survey No. 21/5, situated at Village – Dhayari, Taluka – Haveli, District – Pune and within the local limits of Pune Municipal Corporation.</v>
      </c>
      <c r="J104" s="72" t="str">
        <f t="array" ref="J104">XLOOKUP(C104,'Master Data'!C:C,'Master Data'!I:I)</f>
        <v>7448000858 NK</v>
      </c>
      <c r="K104" s="72" t="str">
        <f t="array" ref="K104">XLOOKUP(C104,'Master Data'!C:C,'Master Data'!J:J)</f>
        <v/>
      </c>
      <c r="L104" s="74" t="str">
        <f t="array" ref="L104">XLOOKUP(C:C,TSR_Completion!C:C,TSR_Completion!M:M)</f>
        <v>Completed and Issued</v>
      </c>
      <c r="M104" s="46" t="s">
        <v>813</v>
      </c>
      <c r="N104" s="4"/>
      <c r="O104" s="4"/>
      <c r="P104" s="4"/>
      <c r="Q104" s="4"/>
      <c r="R104" s="4"/>
      <c r="S104" s="4"/>
      <c r="T104" s="4"/>
      <c r="U104" s="4"/>
      <c r="V104" s="4"/>
      <c r="W104" s="4"/>
      <c r="X104" s="4"/>
      <c r="Y104" s="4"/>
    </row>
    <row r="105">
      <c r="A105" s="6">
        <v>635.0</v>
      </c>
      <c r="B105" s="6" t="s">
        <v>158</v>
      </c>
      <c r="C105" s="71" t="s">
        <v>560</v>
      </c>
      <c r="D105" s="72" t="str">
        <f t="array" ref="D105">XLOOKUP(C105,'Master Data'!C:C,'Master Data'!D:D)</f>
        <v>APF(Hadpsar)</v>
      </c>
      <c r="E105" s="64" t="s">
        <v>823</v>
      </c>
      <c r="F105" s="72" t="str">
        <f t="array" ref="F105">XLOOKUP(C105,'Master Data'!C:C,'Master Data'!E:E)</f>
        <v>Santiago Skyarc (Anjani Gatha)</v>
      </c>
      <c r="G105" s="72" t="str">
        <f t="array" ref="G105">XLOOKUP(C105,'Master Data'!C:C,'Master Data'!F:F)</f>
        <v/>
      </c>
      <c r="H105" s="72" t="str">
        <f t="array" ref="H105">XLOOKUP(C105,'Master Data'!C:C,'Master Data'!G:G)</f>
        <v>APF</v>
      </c>
      <c r="I105" s="72" t="str">
        <f t="array" ref="I105">XLOOKUP(C105,'Master Data'!C:C,'Master Data'!H:H)</f>
        <v>Chikhali S.No.1582</v>
      </c>
      <c r="J105" s="72" t="str">
        <f t="array" ref="J105">XLOOKUP(C105,'Master Data'!C:C,'Master Data'!I:I)</f>
        <v>Hardcopy 9823212931 Suraj</v>
      </c>
      <c r="K105" s="72" t="str">
        <f t="array" ref="K105">XLOOKUP(C105,'Master Data'!C:C,'Master Data'!J:J)</f>
        <v>.</v>
      </c>
      <c r="L105" s="74" t="str">
        <f t="array" ref="L105">XLOOKUP(C:C,TSR_Completion!C:C,TSR_Completion!M:M)</f>
        <v>Completed and Issued</v>
      </c>
      <c r="M105" s="46" t="s">
        <v>813</v>
      </c>
      <c r="N105" s="4"/>
      <c r="O105" s="4"/>
      <c r="P105" s="4"/>
      <c r="Q105" s="4"/>
      <c r="R105" s="4"/>
      <c r="S105" s="4"/>
      <c r="T105" s="4"/>
      <c r="U105" s="4"/>
      <c r="V105" s="4"/>
      <c r="W105" s="4"/>
      <c r="X105" s="4"/>
      <c r="Y105" s="4"/>
    </row>
    <row r="106">
      <c r="A106" s="6">
        <v>636.0</v>
      </c>
      <c r="B106" s="6" t="s">
        <v>158</v>
      </c>
      <c r="C106" s="26" t="s">
        <v>581</v>
      </c>
      <c r="D106" s="72" t="str">
        <f t="array" ref="D106">XLOOKUP(C106,'Master Data'!C:C,'Master Data'!D:D)</f>
        <v>Main</v>
      </c>
      <c r="E106" s="64" t="s">
        <v>823</v>
      </c>
      <c r="F106" s="72" t="str">
        <f t="array" ref="F106">XLOOKUP(C106,'Master Data'!C:C,'Master Data'!E:E)</f>
        <v>Vitthal Residency</v>
      </c>
      <c r="G106" s="72" t="str">
        <f t="array" ref="G106">XLOOKUP(C106,'Master Data'!C:C,'Master Data'!F:F)</f>
        <v/>
      </c>
      <c r="H106" s="72" t="str">
        <f t="array" ref="H106">XLOOKUP(C106,'Master Data'!C:C,'Master Data'!G:G)</f>
        <v>APF</v>
      </c>
      <c r="I106" s="72" t="str">
        <f t="array" ref="I106">XLOOKUP(C106,'Master Data'!C:C,'Master Data'!H:H)</f>
        <v>Pune. Khedshivapur. Milkat No. 154, </v>
      </c>
      <c r="J106" s="75">
        <v>7.020692966E9</v>
      </c>
      <c r="K106" s="72" t="str">
        <f t="array" ref="K106">XLOOKUP(C106,'Master Data'!C:C,'Master Data'!J:J)</f>
        <v/>
      </c>
      <c r="L106" s="74" t="str">
        <f t="array" ref="L106">XLOOKUP(C:C,TSR_Completion!C:C,TSR_Completion!M:M)</f>
        <v>Completed and Issued</v>
      </c>
      <c r="M106" s="46" t="s">
        <v>798</v>
      </c>
      <c r="N106" s="4"/>
      <c r="O106" s="4"/>
      <c r="P106" s="4"/>
      <c r="Q106" s="4"/>
      <c r="R106" s="4"/>
      <c r="S106" s="4"/>
      <c r="T106" s="4"/>
      <c r="U106" s="4"/>
      <c r="V106" s="4"/>
      <c r="W106" s="4"/>
      <c r="X106" s="4"/>
      <c r="Y106" s="4"/>
    </row>
    <row r="107">
      <c r="A107" s="6">
        <v>666.0</v>
      </c>
      <c r="B107" s="6" t="s">
        <v>158</v>
      </c>
      <c r="C107" s="26">
        <v>7.7000264635E10</v>
      </c>
      <c r="D107" s="72" t="str">
        <f t="array" ref="D107">XLOOKUP(C107,'Master Data'!C:C,'Master Data'!D:D)</f>
        <v>Main</v>
      </c>
      <c r="E107" s="64" t="s">
        <v>834</v>
      </c>
      <c r="F107" s="72" t="str">
        <f t="array" ref="F107">XLOOKUP(C107,'Master Data'!C:C,'Master Data'!E:E)</f>
        <v>Rajesh Wagh </v>
      </c>
      <c r="G107" s="72" t="str">
        <f t="array" ref="G107">XLOOKUP(C107,'Master Data'!C:C,'Master Data'!F:F)</f>
        <v>Harshada wagh</v>
      </c>
      <c r="H107" s="72" t="str">
        <f t="array" ref="H107">XLOOKUP(C107,'Master Data'!C:C,'Master Data'!G:G)</f>
        <v>Resale </v>
      </c>
      <c r="I107" s="72" t="str">
        <f t="array" ref="I107">XLOOKUP(C107,'Master Data'!C:C,'Master Data'!H:H)</f>
        <v>All that piece and parcel of Flat No. 404, admeasuring carpet area of 50.94 Sq. Mtrs., along with enclosed balcony admeasuring 5.87 Sq. Mtrs., open balcony admeasuring 2.05 Sq. Mtrs. and terrace admeasuring 6.72 Sq. Mtrs., situated on the 4th Floor, in Wing/Building No. D-1, in the project known as “Renuka Tulsi Phase-II”, constructed on the land bearing Survey No. 125, corresponding to CTS Nos. 2437 (Part) and 2438 (Part), situated at Village Chinchwad, Taluka Haveli, District Pune.</v>
      </c>
      <c r="J107" s="72" t="str">
        <f t="array" ref="J107">XLOOKUP(C107,'Master Data'!C:C,'Master Data'!I:I)</f>
        <v>Group</v>
      </c>
      <c r="K107" s="72" t="str">
        <f t="array" ref="K107">XLOOKUP(C107,'Master Data'!C:C,'Master Data'!J:J)</f>
        <v/>
      </c>
      <c r="L107" s="74" t="str">
        <f t="array" ref="L107">XLOOKUP(C:C,TSR_Completion!C:C,TSR_Completion!M:M)</f>
        <v>Completed and Issued</v>
      </c>
      <c r="M107" s="46" t="s">
        <v>798</v>
      </c>
      <c r="N107" s="4"/>
      <c r="O107" s="4"/>
      <c r="P107" s="4"/>
      <c r="Q107" s="4"/>
      <c r="R107" s="4"/>
      <c r="S107" s="4"/>
      <c r="T107" s="4"/>
      <c r="U107" s="4"/>
      <c r="V107" s="4"/>
      <c r="W107" s="4"/>
      <c r="X107" s="4"/>
      <c r="Y107" s="4"/>
    </row>
    <row r="108">
      <c r="A108" s="6">
        <v>673.0</v>
      </c>
      <c r="B108" s="6" t="s">
        <v>158</v>
      </c>
      <c r="C108" s="23">
        <v>7.700026363E10</v>
      </c>
      <c r="D108" s="72" t="str">
        <f t="array" ref="D108">XLOOKUP(C108,'Master Data'!C:C,'Master Data'!D:D)</f>
        <v>Hadapsar</v>
      </c>
      <c r="E108" s="64" t="s">
        <v>834</v>
      </c>
      <c r="F108" s="72" t="str">
        <f t="array" ref="F108">XLOOKUP(C108,'Master Data'!C:C,'Master Data'!E:E)</f>
        <v> Manesh Tarachand Khaire</v>
      </c>
      <c r="G108" s="72" t="str">
        <f t="array" ref="G108">XLOOKUP(C108,'Master Data'!C:C,'Master Data'!F:F)</f>
        <v>Reshma Manesh Khaire</v>
      </c>
      <c r="H108" s="75" t="s">
        <v>73</v>
      </c>
      <c r="I108" s="72" t="str">
        <f t="array" ref="I108">XLOOKUP(C108,'Master Data'!C:C,'Master Data'!H:H)</f>
        <v>All that piece and parcel of property bearing Flat No. 14, having an area admeasuring 39.94 Sq. Mtrs. i.e. 430 Sq. Ft. (Carpet Area), situated on the Third Floor, in Building/Wing No. A, Building No. 12, out of the project known as “Dreams Nivara Phase II”, constructed on the entire land property bearing Gat No. 528 and Gat No. 529, situated at Village – Koregaon-Mul, Taluka – Haveli, District – Pune.</v>
      </c>
      <c r="J108" s="72" t="str">
        <f t="array" ref="J108">XLOOKUP(C108,'Master Data'!C:C,'Master Data'!I:I)</f>
        <v>Group</v>
      </c>
      <c r="K108" s="72" t="str">
        <f t="array" ref="K108">XLOOKUP(C108,'Master Data'!C:C,'Master Data'!J:J)</f>
        <v/>
      </c>
      <c r="L108" s="74" t="str">
        <f t="array" ref="L108">XLOOKUP(C:C,TSR_Completion!C:C,TSR_Completion!M:M)</f>
        <v>Completed and Issued</v>
      </c>
      <c r="M108" s="46" t="s">
        <v>798</v>
      </c>
      <c r="N108" s="4"/>
      <c r="O108" s="4"/>
      <c r="P108" s="4"/>
      <c r="Q108" s="4"/>
      <c r="R108" s="4"/>
      <c r="S108" s="4"/>
      <c r="T108" s="4"/>
      <c r="U108" s="4"/>
      <c r="V108" s="4"/>
      <c r="W108" s="4"/>
      <c r="X108" s="4"/>
      <c r="Y108" s="4"/>
    </row>
    <row r="109">
      <c r="A109" s="6">
        <v>674.0</v>
      </c>
      <c r="B109" s="6" t="s">
        <v>158</v>
      </c>
      <c r="C109" s="52">
        <v>7.7000266081E10</v>
      </c>
      <c r="D109" s="72" t="str">
        <f t="array" ref="D109">XLOOKUP(C109,'Master Data'!C:C,'Master Data'!D:D)</f>
        <v>Chinchwad</v>
      </c>
      <c r="E109" s="64" t="s">
        <v>835</v>
      </c>
      <c r="F109" s="72" t="str">
        <f t="array" ref="F109">XLOOKUP(C109,'Master Data'!C:C,'Master Data'!E:E)</f>
        <v>CHIRAG RAVINDRA THORAVE</v>
      </c>
      <c r="G109" s="72" t="str">
        <f t="array" ref="G109">XLOOKUP(C109,'Master Data'!C:C,'Master Data'!F:F)</f>
        <v>RAVINDRA TUKARAM THORAVE</v>
      </c>
      <c r="H109" s="75" t="s">
        <v>73</v>
      </c>
      <c r="I109" s="72" t="str">
        <f t="array" ref="I109">XLOOKUP(C109,'Master Data'!C:C,'Master Data'!H:H)</f>
        <v>All that piece and parcel of property admeasuring of H. 00-15 Ares, out of Gat No. 520/4, having an area admeasuring of H. 00-60 Ares, assessed at Rs. 02-18 Paise, situated at Village – Charoli Khurd, Taluka – Khed, District – Pune.</v>
      </c>
      <c r="J109" s="6" t="s">
        <v>603</v>
      </c>
      <c r="K109" s="72" t="str">
        <f t="array" ref="K109">XLOOKUP(C109,'Master Data'!C:C,'Master Data'!J:J)</f>
        <v/>
      </c>
      <c r="L109" s="74" t="str">
        <f t="array" ref="L109">XLOOKUP(C:C,TSR_Completion!C:C,TSR_Completion!M:M)</f>
        <v>Completed and Issued</v>
      </c>
      <c r="M109" s="46" t="s">
        <v>813</v>
      </c>
      <c r="N109" s="4"/>
      <c r="O109" s="4"/>
      <c r="P109" s="4"/>
      <c r="Q109" s="4"/>
      <c r="R109" s="4"/>
      <c r="S109" s="4"/>
      <c r="T109" s="4"/>
      <c r="U109" s="4"/>
      <c r="V109" s="4"/>
      <c r="W109" s="4"/>
      <c r="X109" s="4"/>
      <c r="Y109" s="4"/>
    </row>
    <row r="110">
      <c r="A110" s="6">
        <v>675.0</v>
      </c>
      <c r="B110" s="6" t="s">
        <v>158</v>
      </c>
      <c r="C110" s="26">
        <v>7.7000259062E10</v>
      </c>
      <c r="D110" s="72" t="str">
        <f t="array" ref="D110">XLOOKUP(C110,'Master Data'!C:C,'Master Data'!D:D)</f>
        <v>Main</v>
      </c>
      <c r="E110" s="64" t="s">
        <v>834</v>
      </c>
      <c r="F110" s="72" t="str">
        <f t="array" ref="F110">XLOOKUP(C110,'Master Data'!C:C,'Master Data'!E:E)</f>
        <v> Rohini Inchale </v>
      </c>
      <c r="G110" s="72" t="str">
        <f t="array" ref="G110">XLOOKUP(C110,'Master Data'!C:C,'Master Data'!F:F)</f>
        <v>Anil Inchale </v>
      </c>
      <c r="H110" s="75" t="s">
        <v>606</v>
      </c>
      <c r="I110" s="72" t="str">
        <f t="array" ref="I110">XLOOKUP(C110,'Master Data'!C:C,'Master Data'!H:H)</f>
        <v>All that piece and parcel of property bearing Flat No. 401, having a carpet area admeasuring 24.71 Square Meters (i.e. 266 Square Feet) along with terrace area admeasuring 88 Square Feet (i.e. 40.31 Square Meters built-up saleable area), situated on the 4th Floor, in “Renuka Heritage – Building C”, constructed on the land bearing CTS No. 170A/5+170B, admeasuring area 213.68 Square Meters, situated at Parvati, Taluka Haveli, District Pune, within the local limits of Pune Municipal Corporation and within the registration limits of Sub-Registrar District Pune.</v>
      </c>
      <c r="J110" s="72" t="str">
        <f t="array" ref="J110">XLOOKUP(C110,'Master Data'!C:C,'Master Data'!I:I)</f>
        <v>Document in Group</v>
      </c>
      <c r="K110" s="72" t="str">
        <f t="array" ref="K110">XLOOKUP(C110,'Master Data'!C:C,'Master Data'!J:J)</f>
        <v/>
      </c>
      <c r="L110" s="74" t="str">
        <f t="array" ref="L110">XLOOKUP(C:C,TSR_Completion!C:C,TSR_Completion!M:M)</f>
        <v>Completed and Issued</v>
      </c>
      <c r="M110" s="46" t="s">
        <v>798</v>
      </c>
      <c r="N110" s="4"/>
      <c r="O110" s="4"/>
      <c r="P110" s="4"/>
      <c r="Q110" s="4"/>
      <c r="R110" s="4"/>
      <c r="S110" s="4"/>
      <c r="T110" s="4"/>
      <c r="U110" s="4"/>
      <c r="V110" s="4"/>
      <c r="W110" s="4"/>
      <c r="X110" s="4"/>
      <c r="Y110" s="4"/>
    </row>
    <row r="111">
      <c r="A111" s="6">
        <v>661.0</v>
      </c>
      <c r="B111" s="6" t="s">
        <v>158</v>
      </c>
      <c r="C111" s="26">
        <v>7.700026612E10</v>
      </c>
      <c r="D111" s="75" t="s">
        <v>43</v>
      </c>
      <c r="E111" s="64" t="s">
        <v>834</v>
      </c>
      <c r="F111" s="72" t="str">
        <f t="array" ref="F111">XLOOKUP(C111,'Master Data'!C:C,'Master Data'!E:E)</f>
        <v>Nikita Malhari Kande</v>
      </c>
      <c r="G111" s="72" t="str">
        <f t="array" ref="G111">XLOOKUP(C111,'Master Data'!C:C,'Master Data'!F:F)</f>
        <v>Malhari Shripati Kande </v>
      </c>
      <c r="H111" s="75" t="s">
        <v>606</v>
      </c>
      <c r="I111" s="72" t="str">
        <f t="array" ref="I111">XLOOKUP(C111,'Master Data'!C:C,'Master Data'!H:H)</f>
        <v>All that piece and parcel of property being Flat No. 304, admeasuring Carpet Area 54.35 Sq. Mtrs., together with adjoining Terrace area admeasuring 8.56 Sq. Mtrs., along with one covered car parking space, situated on the Third Floor in Wing “B” of the building known as “Shreeji Sharan”, constructed on the land bearing Survey Nos. 165/1, 171/1, 171/2, 171/3 and 171/4, admeasuring in aggregate 0 Hectare 49 Ares, situated at Village Chovisawadi, Taluka Haveli, District Pune, along with all rights, easements and appurtenances thereto.</v>
      </c>
      <c r="J111" s="72" t="str">
        <f t="array" ref="J111">XLOOKUP(C111,'Master Data'!C:C,'Master Data'!I:I)</f>
        <v/>
      </c>
      <c r="K111" s="72" t="str">
        <f t="array" ref="K111">XLOOKUP(C111,'Master Data'!C:C,'Master Data'!J:J)</f>
        <v/>
      </c>
      <c r="L111" s="74" t="str">
        <f t="array" ref="L111">XLOOKUP(C:C,TSR_Completion!C:C,TSR_Completion!M:M)</f>
        <v>Completed and Issued</v>
      </c>
      <c r="M111" s="46" t="s">
        <v>798</v>
      </c>
      <c r="N111" s="4"/>
      <c r="O111" s="4"/>
      <c r="P111" s="4"/>
      <c r="Q111" s="4"/>
      <c r="R111" s="4"/>
      <c r="S111" s="4"/>
      <c r="T111" s="4"/>
      <c r="U111" s="4"/>
      <c r="V111" s="4"/>
      <c r="W111" s="4"/>
      <c r="X111" s="4"/>
      <c r="Y111" s="4"/>
    </row>
    <row r="112">
      <c r="A112" s="6">
        <v>662.0</v>
      </c>
      <c r="B112" s="6" t="s">
        <v>158</v>
      </c>
      <c r="C112" s="26">
        <v>7.7000256904E10</v>
      </c>
      <c r="D112" s="72" t="str">
        <f t="array" ref="D112">XLOOKUP(C112,'Master Data'!C:C,'Master Data'!D:D)</f>
        <v>Baner</v>
      </c>
      <c r="E112" s="64" t="s">
        <v>834</v>
      </c>
      <c r="F112" s="72" t="str">
        <f t="array" ref="F112">XLOOKUP(C112,'Master Data'!C:C,'Master Data'!E:E)</f>
        <v> Gayatri Govardhan Raut</v>
      </c>
      <c r="G112" s="72" t="str">
        <f t="array" ref="G112">XLOOKUP(C112,'Master Data'!C:C,'Master Data'!F:F)</f>
        <v>Govardhan Chaganrao Raut</v>
      </c>
      <c r="H112" s="72" t="str">
        <f t="array" ref="H112">XLOOKUP(C112,'Master Data'!C:C,'Master Data'!G:G)</f>
        <v> Builder</v>
      </c>
      <c r="I112" s="72" t="str">
        <f t="array" ref="I112">XLOOKUP(C112,'Master Data'!C:C,'Master Data'!H:H)</f>
        <v>All that piece and parcel of property being Shop No. 4, admeasuring Carpet Area 24.98 Sq. Mtrs., situated on the Ground Floor in Commercial Building “A” of the project known as “Sopan Sai”, constructed on the land bearing Survey Nos. 12/2+3/1, 12/2+3/3 and 12/1, situated at Village Alandi Devachi (Nagari), Taluka Khed, District Pune, along with all rights, easements and appurtenances thereto.</v>
      </c>
      <c r="J112" s="75" t="s">
        <v>836</v>
      </c>
      <c r="K112" s="72" t="str">
        <f t="array" ref="K112">XLOOKUP(C112,'Master Data'!C:C,'Master Data'!J:J)</f>
        <v/>
      </c>
      <c r="L112" s="74" t="str">
        <f t="array" ref="L112">XLOOKUP(C:C,TSR_Completion!C:C,TSR_Completion!M:M)</f>
        <v>Completed and Issued</v>
      </c>
      <c r="M112" s="46" t="s">
        <v>798</v>
      </c>
      <c r="N112" s="46" t="s">
        <v>837</v>
      </c>
      <c r="O112" s="4"/>
      <c r="P112" s="4"/>
      <c r="Q112" s="4"/>
      <c r="R112" s="4"/>
      <c r="S112" s="4"/>
      <c r="T112" s="4"/>
      <c r="U112" s="4"/>
      <c r="V112" s="4"/>
      <c r="W112" s="4"/>
      <c r="X112" s="4"/>
      <c r="Y112" s="4"/>
    </row>
    <row r="113">
      <c r="A113" s="6">
        <v>676.0</v>
      </c>
      <c r="B113" s="6" t="s">
        <v>158</v>
      </c>
      <c r="C113" s="6">
        <v>7.7000261187E10</v>
      </c>
      <c r="D113" s="75" t="s">
        <v>83</v>
      </c>
      <c r="E113" s="64" t="s">
        <v>834</v>
      </c>
      <c r="F113" s="72" t="str">
        <f t="array" ref="F113">XLOOKUP(C113,'Master Data'!C:C,'Master Data'!E:E)</f>
        <v>Dhiraj sanjay shinde </v>
      </c>
      <c r="G113" s="72" t="str">
        <f t="array" ref="G113">XLOOKUP(C113,'Master Data'!C:C,'Master Data'!F:F)</f>
        <v>Prajakta Diraj shinde</v>
      </c>
      <c r="H113" s="72" t="str">
        <f t="array" ref="H113">XLOOKUP(C113,'Master Data'!C:C,'Master Data'!G:G)</f>
        <v/>
      </c>
      <c r="I113" s="72" t="str">
        <f t="array" ref="I113">XLOOKUP(C113,'Master Data'!C:C,'Master Data'!H:H)</f>
        <v>All that piece and parcel of property bearing Flat No. 803, having an area admeasuring of 59.89 sq. mtrs., i.e. 644.65 sq. feet carpet area, situated on the 8th Floor, in Wing No. “D”, out of the project known as “Satyam Prima”, constructed on the entire land property, i.e. S. No. 80/2/5, 80/2/4 and 80/2/3, all situated at Village – Manjari Budruk, Taluka – Haveli, District – Pune.</v>
      </c>
      <c r="J113" s="72" t="str">
        <f t="array" ref="J113">XLOOKUP(C113,'Master Data'!C:C,'Master Data'!I:I)</f>
        <v>Hardcopy</v>
      </c>
      <c r="K113" s="72" t="str">
        <f t="array" ref="K113">XLOOKUP(C113,'Master Data'!C:C,'Master Data'!J:J)</f>
        <v/>
      </c>
      <c r="L113" s="74" t="str">
        <f t="array" ref="L113">XLOOKUP(C:C,TSR_Completion!C:C,TSR_Completion!M:M)</f>
        <v>Completed and Issued</v>
      </c>
      <c r="M113" s="46" t="s">
        <v>798</v>
      </c>
      <c r="N113" s="4"/>
      <c r="O113" s="4"/>
      <c r="P113" s="4"/>
      <c r="Q113" s="4"/>
      <c r="R113" s="4"/>
      <c r="S113" s="4"/>
      <c r="T113" s="4"/>
      <c r="U113" s="4"/>
      <c r="V113" s="4"/>
      <c r="W113" s="4"/>
      <c r="X113" s="4"/>
      <c r="Y113" s="4"/>
    </row>
    <row r="114">
      <c r="A114" s="6">
        <v>665.0</v>
      </c>
      <c r="B114" s="6" t="s">
        <v>158</v>
      </c>
      <c r="C114" s="6">
        <v>7.7000265914E10</v>
      </c>
      <c r="D114" s="72" t="str">
        <f t="array" ref="D114">XLOOKUP(C114,'Master Data'!C:C,'Master Data'!D:D)</f>
        <v>Baner</v>
      </c>
      <c r="E114" s="64" t="s">
        <v>834</v>
      </c>
      <c r="F114" s="72" t="str">
        <f t="array" ref="F114">XLOOKUP(C114,'Master Data'!C:C,'Master Data'!E:E)</f>
        <v>Kedar Kumbhare</v>
      </c>
      <c r="G114" s="72" t="str">
        <f t="array" ref="G114">XLOOKUP(C114,'Master Data'!C:C,'Master Data'!F:F)</f>
        <v>Raviraj Kumbhare</v>
      </c>
      <c r="H114" s="72" t="str">
        <f t="array" ref="H114">XLOOKUP(C114,'Master Data'!C:C,'Master Data'!G:G)</f>
        <v>Resale </v>
      </c>
      <c r="I114" s="72" t="str">
        <f t="array" ref="I114">XLOOKUP(C114,'Master Data'!C:C,'Master Data'!H:H)</f>
        <v>All that piece and parcel of Flat No. D-504, admeasuring carpet area of 50.35 Sq. Mtrs. (i.e. 542 Sq. Ft.), along with terrace area admeasuring 6.22 Sq. Mtrs. (i.e. 67 Sq. Ft.), aggregating to total saleable built-up area of 69.68 Sq. Mtrs. (i.e. 750 Sq. Ft.), situated on the 5th Floor, in D-Wing Building, in the project known as “Urban Gram Pirangut – I”, constructed on the land bearing Gat Nos. 1210 (Old Gat No. 279), 1211 (Old Gat No. 280), 1212 (Old Gat No. 308) and 1213 (Old Gat No. 307), situated at Village Pirangut, Taluka Mulshi, District Pune.</v>
      </c>
      <c r="J114" s="72" t="str">
        <f t="array" ref="J114">XLOOKUP(C114,'Master Data'!C:C,'Master Data'!I:I)</f>
        <v>Group</v>
      </c>
      <c r="K114" s="72" t="str">
        <f t="array" ref="K114">XLOOKUP(C114,'Master Data'!C:C,'Master Data'!J:J)</f>
        <v/>
      </c>
      <c r="L114" s="74" t="str">
        <f t="array" ref="L114">XLOOKUP(C:C,TSR_Completion!C:C,TSR_Completion!M:M)</f>
        <v>Completed and Issued</v>
      </c>
      <c r="M114" s="46" t="s">
        <v>798</v>
      </c>
      <c r="N114" s="4"/>
      <c r="O114" s="4"/>
      <c r="P114" s="4"/>
      <c r="Q114" s="4"/>
      <c r="R114" s="4"/>
      <c r="S114" s="4"/>
      <c r="T114" s="4"/>
      <c r="U114" s="4"/>
      <c r="V114" s="4"/>
      <c r="W114" s="4"/>
      <c r="X114" s="4"/>
      <c r="Y114" s="4"/>
    </row>
    <row r="115">
      <c r="A115" s="6"/>
      <c r="B115" s="6" t="s">
        <v>158</v>
      </c>
      <c r="C115" s="6">
        <v>7.7000258591E10</v>
      </c>
      <c r="D115" s="72" t="str">
        <f t="array" ref="D115">XLOOKUP(C115,'Master Data'!C:C,'Master Data'!D:D)</f>
        <v>Main</v>
      </c>
      <c r="E115" s="64" t="s">
        <v>834</v>
      </c>
      <c r="F115" s="72" t="str">
        <f t="array" ref="F115">XLOOKUP(C115,'Master Data'!C:C,'Master Data'!E:E)</f>
        <v> shubhash devkar </v>
      </c>
      <c r="G115" s="72" t="str">
        <f t="array" ref="G115">XLOOKUP(C115,'Master Data'!C:C,'Master Data'!F:F)</f>
        <v>Anita devkar </v>
      </c>
      <c r="H115" s="72" t="str">
        <f t="array" ref="H115">XLOOKUP(C115,'Master Data'!C:C,'Master Data'!G:G)</f>
        <v>builder purchase </v>
      </c>
      <c r="I115" s="72" t="str">
        <f t="array" ref="I115">XLOOKUP(C115,'Master Data'!C:C,'Master Data'!H:H)</f>
        <v>Chikhali S.No.669</v>
      </c>
      <c r="J115" s="72" t="str">
        <f t="array" ref="J115">XLOOKUP(C115,'Master Data'!C:C,'Master Data'!I:I)</f>
        <v>Group</v>
      </c>
      <c r="K115" s="72" t="str">
        <f t="array" ref="K115">XLOOKUP(C115,'Master Data'!C:C,'Master Data'!J:J)</f>
        <v/>
      </c>
      <c r="L115" s="74" t="str">
        <f t="array" ref="L115">XLOOKUP(C:C,TSR_Completion!C:C,TSR_Completion!M:M)</f>
        <v>#N/A</v>
      </c>
      <c r="M115" s="46" t="s">
        <v>798</v>
      </c>
      <c r="N115" s="4"/>
      <c r="O115" s="4"/>
      <c r="P115" s="4"/>
      <c r="Q115" s="4"/>
      <c r="R115" s="4"/>
      <c r="S115" s="4"/>
      <c r="T115" s="4"/>
      <c r="U115" s="4"/>
      <c r="V115" s="4"/>
      <c r="W115" s="4"/>
      <c r="X115" s="4"/>
      <c r="Y115" s="4"/>
    </row>
    <row r="116">
      <c r="A116" s="6">
        <v>645.0</v>
      </c>
      <c r="B116" s="6" t="s">
        <v>158</v>
      </c>
      <c r="C116" s="6">
        <v>7.700026179E10</v>
      </c>
      <c r="D116" s="72" t="str">
        <f t="array" ref="D116">XLOOKUP(C116,'Master Data'!C:C,'Master Data'!D:D)</f>
        <v>Main</v>
      </c>
      <c r="E116" s="64" t="s">
        <v>834</v>
      </c>
      <c r="F116" s="72" t="str">
        <f t="array" ref="F116">XLOOKUP(C116,'Master Data'!C:C,'Master Data'!E:E)</f>
        <v>Mahalunge Real Estate Developers Pvt. Ltd.</v>
      </c>
      <c r="G116" s="72" t="str">
        <f t="array" ref="G116">XLOOKUP(C116,'Master Data'!C:C,'Master Data'!F:F)</f>
        <v>4e2038fbf4974653</v>
      </c>
      <c r="H116" s="72" t="str">
        <f t="array" ref="H116">XLOOKUP(C116,'Master Data'!C:C,'Master Data'!G:G)</f>
        <v>LAP Commercial</v>
      </c>
      <c r="I116" s="72" t="str">
        <f t="array" ref="I116">XLOOKUP(C116,'Master Data'!C:C,'Master Data'!H:H)</f>
        <v>Pune. Wakad. S. No. 153</v>
      </c>
      <c r="J116" s="72" t="str">
        <f t="array" ref="J116">XLOOKUP(C116,'Master Data'!C:C,'Master Data'!I:I)</f>
        <v/>
      </c>
      <c r="K116" s="72" t="str">
        <f t="array" ref="K116">XLOOKUP(C116,'Master Data'!C:C,'Master Data'!J:J)</f>
        <v/>
      </c>
      <c r="L116" s="74" t="str">
        <f t="array" ref="L116">XLOOKUP(C:C,TSR_Completion!C:C,TSR_Completion!M:M)</f>
        <v>Completed and Issued</v>
      </c>
      <c r="M116" s="46" t="s">
        <v>798</v>
      </c>
      <c r="N116" s="4"/>
      <c r="O116" s="4"/>
      <c r="P116" s="4"/>
      <c r="Q116" s="4"/>
      <c r="R116" s="4"/>
      <c r="S116" s="4"/>
      <c r="T116" s="4"/>
      <c r="U116" s="4"/>
      <c r="V116" s="4"/>
      <c r="W116" s="4"/>
      <c r="X116" s="4"/>
      <c r="Y116" s="4"/>
    </row>
    <row r="117">
      <c r="A117" s="6">
        <v>669.0</v>
      </c>
      <c r="B117" s="6" t="s">
        <v>158</v>
      </c>
      <c r="C117" s="6">
        <v>7.7000262993E10</v>
      </c>
      <c r="D117" s="72" t="str">
        <f t="array" ref="D117">XLOOKUP(C117,'Master Data'!C:C,'Master Data'!D:D)</f>
        <v>Main</v>
      </c>
      <c r="E117" s="64" t="s">
        <v>835</v>
      </c>
      <c r="F117" s="72" t="str">
        <f t="array" ref="F117">XLOOKUP(C117,'Master Data'!C:C,'Master Data'!E:E)</f>
        <v>Vijay Shelar</v>
      </c>
      <c r="G117" s="72" t="str">
        <f t="array" ref="G117">XLOOKUP(C117,'Master Data'!C:C,'Master Data'!F:F)</f>
        <v>Reshma Shelar</v>
      </c>
      <c r="H117" s="72" t="str">
        <f t="array" ref="H117">XLOOKUP(C117,'Master Data'!C:C,'Master Data'!G:G)</f>
        <v> resale </v>
      </c>
      <c r="I117" s="72" t="str">
        <f t="array" ref="I117">XLOOKUP(C117,'Master Data'!C:C,'Master Data'!H:H)</f>
        <v>All that piece and parcel of Flat No. 102, admeasuring saleable area of 51.40 Sq. Mtrs. (i.e. 553 Sq. Ft.), situated on the 1st Floor, in the building known as “Jai Ganesh Apartment”, constructed on land bearing Survey No. 26, Hissa No. 3, admeasuring 04 Ares (i.e. 4000 Sq. Ft.), situated at Village Pimple Gurav, Taluka Haveli, District Pune, together with two-wheeler parking space.</v>
      </c>
      <c r="J117" s="72" t="str">
        <f t="array" ref="J117">XLOOKUP(C117,'Master Data'!C:C,'Master Data'!I:I)</f>
        <v>Group</v>
      </c>
      <c r="K117" s="72" t="str">
        <f t="array" ref="K117">XLOOKUP(C117,'Master Data'!C:C,'Master Data'!J:J)</f>
        <v/>
      </c>
      <c r="L117" s="74" t="str">
        <f t="array" ref="L117">XLOOKUP(C:C,TSR_Completion!C:C,TSR_Completion!M:M)</f>
        <v>Completed and Issued</v>
      </c>
      <c r="M117" s="46" t="s">
        <v>798</v>
      </c>
      <c r="N117" s="4"/>
      <c r="O117" s="4"/>
      <c r="P117" s="4"/>
      <c r="Q117" s="4"/>
      <c r="R117" s="4"/>
      <c r="S117" s="4"/>
      <c r="T117" s="4"/>
      <c r="U117" s="4"/>
      <c r="V117" s="4"/>
      <c r="W117" s="4"/>
      <c r="X117" s="4"/>
      <c r="Y117" s="4"/>
    </row>
    <row r="118">
      <c r="A118" s="6">
        <v>680.0</v>
      </c>
      <c r="B118" s="6" t="s">
        <v>158</v>
      </c>
      <c r="C118" s="55">
        <v>7.7000262716E10</v>
      </c>
      <c r="D118" s="72" t="str">
        <f t="array" ref="D118">XLOOKUP(C118,'Master Data'!C:C,'Master Data'!D:D)</f>
        <v>Wakad</v>
      </c>
      <c r="E118" s="64" t="s">
        <v>835</v>
      </c>
      <c r="F118" s="72" t="str">
        <f t="array" ref="F118">XLOOKUP(C118,'Master Data'!C:C,'Master Data'!E:E)</f>
        <v>Mr. Kalim Fatemohammad Shaikh</v>
      </c>
      <c r="G118" s="72" t="str">
        <f t="array" ref="G118">XLOOKUP(C118,'Master Data'!C:C,'Master Data'!F:F)</f>
        <v>Rajiya Kalim Shaikh</v>
      </c>
      <c r="H118" s="72" t="str">
        <f t="array" ref="H118">XLOOKUP(C118,'Master Data'!C:C,'Master Data'!G:G)</f>
        <v>Resale</v>
      </c>
      <c r="I118" s="72" t="str">
        <f t="array" ref="I118">XLOOKUP(C118,'Master Data'!C:C,'Master Data'!H:H)</f>
        <v>All that piece and parcel of land admeasuring of H. 00-01 Ares, i.e. 100 sq. mtrs., and the construction of RCC residential housing having built-up area admeasuring of 177.33 sq. mtrs., out of Survey No. 140/6, having total area admeasuring of H. 00-03 Ares, assessed at Rs. 00-06 Paise, situated at Village – Chinchwad, Taluka – Haveli, District – Pune and within local limits of Pimpri Chinchwad Municipal Corporation, Pimpri</v>
      </c>
      <c r="J118" s="75">
        <v>9.970797053E9</v>
      </c>
      <c r="K118" s="72" t="str">
        <f t="array" ref="K118">XLOOKUP(C118,'Master Data'!C:C,'Master Data'!J:J)</f>
        <v/>
      </c>
      <c r="L118" s="74" t="str">
        <f t="array" ref="L118">XLOOKUP(C:C,TSR_Completion!C:C,TSR_Completion!M:M)</f>
        <v>Completed and Issued</v>
      </c>
      <c r="M118" s="4"/>
      <c r="N118" s="4"/>
      <c r="O118" s="4"/>
      <c r="P118" s="4"/>
      <c r="Q118" s="4"/>
      <c r="R118" s="4"/>
      <c r="S118" s="4"/>
      <c r="T118" s="4"/>
      <c r="U118" s="4"/>
      <c r="V118" s="4"/>
      <c r="W118" s="4"/>
      <c r="X118" s="4"/>
      <c r="Y118" s="4"/>
    </row>
    <row r="119">
      <c r="A119" s="6">
        <v>681.0</v>
      </c>
      <c r="B119" s="6" t="s">
        <v>158</v>
      </c>
      <c r="C119" s="6">
        <v>7.7000256651E10</v>
      </c>
      <c r="D119" s="72" t="str">
        <f t="array" ref="D119">XLOOKUP(C119,'Master Data'!C:C,'Master Data'!D:D)</f>
        <v>Baner</v>
      </c>
      <c r="E119" s="64" t="s">
        <v>835</v>
      </c>
      <c r="F119" s="72" t="str">
        <f t="array" ref="F119">XLOOKUP(C119,'Master Data'!C:C,'Master Data'!E:E)</f>
        <v>Mallikarjun Jattappa Mendgudli</v>
      </c>
      <c r="G119" s="75" t="s">
        <v>104</v>
      </c>
      <c r="H119" s="72" t="str">
        <f t="array" ref="H119">XLOOKUP(C119,'Master Data'!C:C,'Master Data'!G:G)</f>
        <v>Resale home loan</v>
      </c>
      <c r="I119" s="72" t="str">
        <f t="array" ref="I119">XLOOKUP(C119,'Master Data'!C:C,'Master Data'!H:H)</f>
        <v>All that piece and parcel of property bearing Flat No. 04, having an area admeasuring of 400 sq. ft. (i.e. 37.19 sq. mtrs.), situated on the First Floor, in the building known as “Shivdatta Apartment”, constructed on the land bearing Survey No. 30/7 and 30/7/3, situated at Village – Ambegaon Budruk, Taluka – Haveli, District – Pune and within the local limits of Pune Municipal Corporation.</v>
      </c>
      <c r="J119" s="72" t="str">
        <f t="array" ref="J119">XLOOKUP(C119,'Master Data'!C:C,'Master Data'!I:I)</f>
        <v>Group</v>
      </c>
      <c r="K119" s="72" t="str">
        <f t="array" ref="K119">XLOOKUP(C119,'Master Data'!C:C,'Master Data'!J:J)</f>
        <v/>
      </c>
      <c r="L119" s="74" t="str">
        <f t="array" ref="L119">XLOOKUP(C:C,TSR_Completion!C:C,TSR_Completion!M:M)</f>
        <v>Completed and Issued</v>
      </c>
      <c r="M119" s="46" t="s">
        <v>798</v>
      </c>
      <c r="N119" s="4"/>
      <c r="O119" s="4"/>
      <c r="P119" s="4"/>
      <c r="Q119" s="4"/>
      <c r="R119" s="4"/>
      <c r="S119" s="4"/>
      <c r="T119" s="4"/>
      <c r="U119" s="4"/>
      <c r="V119" s="4"/>
      <c r="W119" s="4"/>
      <c r="X119" s="4"/>
      <c r="Y119" s="4"/>
    </row>
    <row r="120">
      <c r="A120" s="6">
        <v>677.0</v>
      </c>
      <c r="B120" s="6" t="s">
        <v>158</v>
      </c>
      <c r="C120" s="6">
        <v>7.7000265402E10</v>
      </c>
      <c r="D120" s="72" t="str">
        <f t="array" ref="D120">XLOOKUP(C120,'Master Data'!C:C,'Master Data'!D:D)</f>
        <v>Kharadi</v>
      </c>
      <c r="E120" s="64" t="s">
        <v>838</v>
      </c>
      <c r="F120" s="72" t="str">
        <f t="array" ref="F120">XLOOKUP(C120,'Master Data'!C:C,'Master Data'!E:E)</f>
        <v>JAVED SAYYED</v>
      </c>
      <c r="G120" s="72" t="str">
        <f t="array" ref="G120">XLOOKUP(C120,'Master Data'!C:C,'Master Data'!F:F)</f>
        <v/>
      </c>
      <c r="H120" s="72" t="str">
        <f t="array" ref="H120">XLOOKUP(C120,'Master Data'!C:C,'Master Data'!G:G)</f>
        <v>RESAL PURCHASE </v>
      </c>
      <c r="I120" s="72" t="str">
        <f t="array" ref="I120">XLOOKUP(C120,'Master Data'!C:C,'Master Data'!H:H)</f>
        <v>All that piece and parcel of land and ground situated within the Registration Sub-District Taluka Haveli, District Pune and within the limits of Pune Municipal Corporation, bearing Survey No. 46 (Part) and Survey No. 62 (Part) at Village Kondhwa Khurd, admeasuring in aggregate 26,100 sq. mtrs., out of which a Community Co-operative Housing Society has been constructed and allotted Plot No. A-83, admeasuring 2000 sq. ft., together with a bungalow/unit constructed thereon having built-up area 675 sq. ft. (i.e. 52.70 sq. mtrs.)</v>
      </c>
      <c r="J120" s="72" t="str">
        <f t="array" ref="J120">XLOOKUP(C120,'Master Data'!C:C,'Master Data'!I:I)</f>
        <v>Group</v>
      </c>
      <c r="K120" s="72" t="str">
        <f t="array" ref="K120">XLOOKUP(C120,'Master Data'!C:C,'Master Data'!J:J)</f>
        <v/>
      </c>
      <c r="L120" s="74" t="str">
        <f t="array" ref="L120">XLOOKUP(C:C,TSR_Completion!C:C,TSR_Completion!M:M)</f>
        <v>Completed and Issued</v>
      </c>
      <c r="M120" s="46" t="s">
        <v>798</v>
      </c>
      <c r="N120" s="4"/>
      <c r="O120" s="4"/>
      <c r="P120" s="4"/>
      <c r="Q120" s="4"/>
      <c r="R120" s="4"/>
      <c r="S120" s="4"/>
      <c r="T120" s="4"/>
      <c r="U120" s="4"/>
      <c r="V120" s="4"/>
      <c r="W120" s="4"/>
      <c r="X120" s="4"/>
      <c r="Y120" s="4"/>
    </row>
    <row r="121">
      <c r="A121" s="6"/>
      <c r="B121" s="6" t="s">
        <v>158</v>
      </c>
      <c r="C121" s="6"/>
      <c r="D121" s="72" t="str">
        <f t="array" ref="D121">XLOOKUP(C121,'Master Data'!C:C,'Master Data'!D:D)</f>
        <v>#N/A</v>
      </c>
      <c r="E121" s="64"/>
      <c r="F121" s="72" t="str">
        <f t="array" ref="F121">XLOOKUP(C121,'Master Data'!C:C,'Master Data'!E:E)</f>
        <v>#N/A</v>
      </c>
      <c r="G121" s="72" t="str">
        <f t="array" ref="G121">XLOOKUP(C121,'Master Data'!C:C,'Master Data'!F:F)</f>
        <v>#N/A</v>
      </c>
      <c r="H121" s="72" t="str">
        <f t="array" ref="H121">XLOOKUP(C121,'Master Data'!C:C,'Master Data'!G:G)</f>
        <v>#N/A</v>
      </c>
      <c r="I121" s="72" t="str">
        <f t="array" ref="I121">XLOOKUP(C121,'Master Data'!C:C,'Master Data'!H:H)</f>
        <v>#N/A</v>
      </c>
      <c r="J121" s="72" t="str">
        <f t="array" ref="J121">XLOOKUP(C121,'Master Data'!C:C,'Master Data'!I:I)</f>
        <v>#N/A</v>
      </c>
      <c r="K121" s="72" t="str">
        <f t="array" ref="K121">XLOOKUP(C121,'Master Data'!C:C,'Master Data'!J:J)</f>
        <v>#N/A</v>
      </c>
      <c r="L121" s="74" t="str">
        <f t="array" ref="L121">XLOOKUP(C:C,TSR_Completion!C:C,TSR_Completion!M:M)</f>
        <v>#N/A</v>
      </c>
      <c r="M121" s="46" t="s">
        <v>798</v>
      </c>
      <c r="N121" s="4"/>
      <c r="O121" s="4"/>
      <c r="P121" s="4"/>
      <c r="Q121" s="4"/>
      <c r="R121" s="4"/>
      <c r="S121" s="4"/>
      <c r="T121" s="4"/>
      <c r="U121" s="4"/>
      <c r="V121" s="4"/>
      <c r="W121" s="4"/>
      <c r="X121" s="4"/>
      <c r="Y121" s="4"/>
    </row>
    <row r="122">
      <c r="A122" s="6">
        <v>646.0</v>
      </c>
      <c r="B122" s="6" t="s">
        <v>158</v>
      </c>
      <c r="C122" s="6">
        <v>7.7000261193E10</v>
      </c>
      <c r="D122" s="72" t="str">
        <f t="array" ref="D122">XLOOKUP(C122,'Master Data'!C:C,'Master Data'!D:D)</f>
        <v>Chinchwad</v>
      </c>
      <c r="E122" s="64" t="s">
        <v>826</v>
      </c>
      <c r="F122" s="72" t="str">
        <f t="array" ref="F122">XLOOKUP(C122,'Master Data'!C:C,'Master Data'!E:E)</f>
        <v>Dnyaneshwar Pandharinath Mohite</v>
      </c>
      <c r="G122" s="72" t="str">
        <f t="array" ref="G122">XLOOKUP(C122,'Master Data'!C:C,'Master Data'!F:F)</f>
        <v>Shital Mohite</v>
      </c>
      <c r="H122" s="72" t="str">
        <f t="array" ref="H122">XLOOKUP(C122,'Master Data'!C:C,'Master Data'!G:G)</f>
        <v>HL</v>
      </c>
      <c r="I122" s="72" t="str">
        <f t="array" ref="I122">XLOOKUP(C122,'Master Data'!C:C,'Master Data'!H:H)</f>
        <v>All that piece and parcel of property bearing Flat No. 613, having an area admeasuring 32.58 sq. mtrs. carpet area along with enclosed balcony admeasuring 5.03 sq. mtrs. and terrace admeasuring 5.65 sq. mtrs., situated on the Sixth Floor, in Building/Wing No. B, out of the project known as “Ganesh Siddhi”, constructed/to be constructed on the entire land property, i.e. Gat Nos. 967, 968, 969, 970, 985, 986, 987 and 988, situated at Village – Chikhali, Taluka - Haveli, District - Pune and within local limits of Pimpri Chinchwad Municipal Corporation.</v>
      </c>
      <c r="J122" s="72" t="str">
        <f t="array" ref="J122">XLOOKUP(C122,'Master Data'!C:C,'Master Data'!I:I)</f>
        <v>.</v>
      </c>
      <c r="K122" s="72" t="str">
        <f t="array" ref="K122">XLOOKUP(C122,'Master Data'!C:C,'Master Data'!J:J)</f>
        <v/>
      </c>
      <c r="L122" s="74" t="str">
        <f t="array" ref="L122">XLOOKUP(C:C,TSR_Completion!C:C,TSR_Completion!M:M)</f>
        <v>Completed and Issued</v>
      </c>
      <c r="M122" s="46" t="s">
        <v>798</v>
      </c>
      <c r="N122" s="4"/>
      <c r="O122" s="4"/>
      <c r="P122" s="4"/>
      <c r="Q122" s="4"/>
      <c r="R122" s="4"/>
      <c r="S122" s="4"/>
      <c r="T122" s="4"/>
      <c r="U122" s="4"/>
      <c r="V122" s="4"/>
      <c r="W122" s="4"/>
      <c r="X122" s="4"/>
      <c r="Y122" s="4"/>
    </row>
    <row r="123">
      <c r="A123" s="6">
        <v>685.0</v>
      </c>
      <c r="B123" s="6" t="s">
        <v>158</v>
      </c>
      <c r="C123" s="6">
        <v>7.7000265151E10</v>
      </c>
      <c r="D123" s="75" t="s">
        <v>78</v>
      </c>
      <c r="E123" s="64" t="s">
        <v>835</v>
      </c>
      <c r="F123" s="72" t="str">
        <f t="array" ref="F123">XLOOKUP(C123,'Master Data'!C:C,'Master Data'!E:E)</f>
        <v>NINAD NAIKWADE</v>
      </c>
      <c r="G123" s="72" t="str">
        <f t="array" ref="G123">XLOOKUP(C123,'Master Data'!C:C,'Master Data'!F:F)</f>
        <v>SANJAY NAIKWADE</v>
      </c>
      <c r="H123" s="75" t="s">
        <v>839</v>
      </c>
      <c r="I123" s="72" t="str">
        <f t="array" ref="I123">XLOOKUP(C123,'Master Data'!C:C,'Master Data'!H:H)</f>
        <v>All that piece and parcel of property bearing Shop No. 02, having an area admeasuring 221.25 sq. ft. (i.e. 20.56 sq. mtrs. carpet area) and 310 sq. ft. built-up area, situated on the Lower Ground Floor, in the building known as “ABC Junction H-9 Co-operative Housing Society Ltd.”, constructed on the land bearing Plot No. H-9, Akurdi District Center, situated at Village – Akurdi, Taluka – Haveli, District – Pune and within the local limits of Pimpri Chinchwad Municipal Corporation.</v>
      </c>
      <c r="J123" s="72" t="str">
        <f t="array" ref="J123">XLOOKUP(C123,'Master Data'!C:C,'Master Data'!I:I)</f>
        <v>Group</v>
      </c>
      <c r="K123" s="72" t="str">
        <f t="array" ref="K123">XLOOKUP(C123,'Master Data'!C:C,'Master Data'!J:J)</f>
        <v/>
      </c>
      <c r="L123" s="74" t="str">
        <f t="array" ref="L123">XLOOKUP(C:C,TSR_Completion!C:C,TSR_Completion!M:M)</f>
        <v>Completed and Issued</v>
      </c>
      <c r="M123" s="46" t="s">
        <v>798</v>
      </c>
      <c r="N123" s="4"/>
      <c r="O123" s="4"/>
      <c r="P123" s="4"/>
      <c r="Q123" s="4"/>
      <c r="R123" s="4"/>
      <c r="S123" s="4"/>
      <c r="T123" s="4"/>
      <c r="U123" s="4"/>
      <c r="V123" s="4"/>
      <c r="W123" s="4"/>
      <c r="X123" s="4"/>
      <c r="Y123" s="4"/>
    </row>
    <row r="124">
      <c r="A124" s="6">
        <v>682.0</v>
      </c>
      <c r="B124" s="6" t="s">
        <v>158</v>
      </c>
      <c r="C124" s="6">
        <v>7.700024785E10</v>
      </c>
      <c r="D124" s="72" t="str">
        <f t="array" ref="D124">XLOOKUP(C124,'Master Data'!C:C,'Master Data'!D:D)</f>
        <v>Baner</v>
      </c>
      <c r="E124" s="64" t="s">
        <v>835</v>
      </c>
      <c r="F124" s="72" t="str">
        <f t="array" ref="F124">XLOOKUP(C124,'Master Data'!C:C,'Master Data'!E:E)</f>
        <v>Vithal Tandale</v>
      </c>
      <c r="G124" s="72" t="str">
        <f t="array" ref="G124">XLOOKUP(C124,'Master Data'!C:C,'Master Data'!F:F)</f>
        <v>bharti shirsath</v>
      </c>
      <c r="H124" s="72" t="str">
        <f t="array" ref="H124">XLOOKUP(C124,'Master Data'!C:C,'Master Data'!G:G)</f>
        <v> Resale </v>
      </c>
      <c r="I124" s="87" t="s">
        <v>840</v>
      </c>
      <c r="J124" s="72" t="str">
        <f t="array" ref="J124">XLOOKUP(C124,'Master Data'!C:C,'Master Data'!I:I)</f>
        <v>7030156651 Nk</v>
      </c>
      <c r="K124" s="72" t="str">
        <f t="array" ref="K124">XLOOKUP(C124,'Master Data'!C:C,'Master Data'!J:J)</f>
        <v/>
      </c>
      <c r="L124" s="74" t="str">
        <f t="array" ref="L124">XLOOKUP(C:C,TSR_Completion!C:C,TSR_Completion!M:M)</f>
        <v>Completed and Issued</v>
      </c>
      <c r="M124" s="46" t="s">
        <v>798</v>
      </c>
      <c r="N124" s="4"/>
      <c r="O124" s="4"/>
      <c r="P124" s="4"/>
      <c r="Q124" s="4"/>
      <c r="R124" s="4"/>
      <c r="S124" s="4"/>
      <c r="T124" s="4"/>
      <c r="U124" s="4"/>
      <c r="V124" s="4"/>
      <c r="W124" s="4"/>
      <c r="X124" s="4"/>
      <c r="Y124" s="4"/>
    </row>
    <row r="125">
      <c r="A125" s="6">
        <v>683.0</v>
      </c>
      <c r="B125" s="6" t="s">
        <v>158</v>
      </c>
      <c r="C125" s="6">
        <v>7.7000264699E10</v>
      </c>
      <c r="D125" s="72" t="str">
        <f t="array" ref="D125">XLOOKUP(C125,'Master Data'!C:C,'Master Data'!D:D)</f>
        <v>Baner</v>
      </c>
      <c r="E125" s="64" t="s">
        <v>835</v>
      </c>
      <c r="F125" s="72" t="str">
        <f t="array" ref="F125">XLOOKUP(C125,'Master Data'!C:C,'Master Data'!E:E)</f>
        <v>Vishal Babasaheb Jadhav</v>
      </c>
      <c r="G125" s="72" t="str">
        <f t="array" ref="G125">XLOOKUP(C125,'Master Data'!C:C,'Master Data'!F:F)</f>
        <v>Pradnya Vishal Jadhav</v>
      </c>
      <c r="H125" s="72" t="str">
        <f t="array" ref="H125">XLOOKUP(C125,'Master Data'!C:C,'Master Data'!G:G)</f>
        <v> BT+TopUp</v>
      </c>
      <c r="I125" s="72" t="str">
        <f t="array" ref="I125">XLOOKUP(C125,'Master Data'!C:C,'Master Data'!H:H)</f>
        <v>All that piece and parcel of property bearing Flat No. 21, having an area admeasuring of 444 sq. ft. (i.e. 41.26 sq. mtrs. built-up area), situated on the Fourth Floor, in Building No. 5, out of the project known as “Runwal Park Co-operative Housing Society Ltd.”, constructed on the entire land property bearing Survey No. 580/581, CTS No. 3223, Plot No. R-9 (A+B), situated at Village – Munjeri Bibwewadi, Taluka – Haveli, District – Pune and within local limits of Pune Municipal Corporation.</v>
      </c>
      <c r="J125" s="72" t="str">
        <f t="array" ref="J125">XLOOKUP(C125,'Master Data'!C:C,'Master Data'!I:I)</f>
        <v>Group</v>
      </c>
      <c r="K125" s="72" t="str">
        <f t="array" ref="K125">XLOOKUP(C125,'Master Data'!C:C,'Master Data'!J:J)</f>
        <v/>
      </c>
      <c r="L125" s="74" t="str">
        <f t="array" ref="L125">XLOOKUP(C:C,TSR_Completion!C:C,TSR_Completion!M:M)</f>
        <v>Completed and Issued</v>
      </c>
      <c r="M125" s="46" t="s">
        <v>798</v>
      </c>
      <c r="N125" s="4"/>
      <c r="O125" s="4"/>
      <c r="P125" s="4"/>
      <c r="Q125" s="4"/>
      <c r="R125" s="4"/>
      <c r="S125" s="4"/>
      <c r="T125" s="4"/>
      <c r="U125" s="4"/>
      <c r="V125" s="4"/>
      <c r="W125" s="4"/>
      <c r="X125" s="4"/>
      <c r="Y125" s="4"/>
    </row>
    <row r="126">
      <c r="A126" s="6">
        <v>648.0</v>
      </c>
      <c r="B126" s="6" t="s">
        <v>158</v>
      </c>
      <c r="C126" s="6" t="s">
        <v>655</v>
      </c>
      <c r="D126" s="72" t="str">
        <f t="array" ref="D126">XLOOKUP(C126,'Master Data'!C:C,'Master Data'!D:D)</f>
        <v>wakad</v>
      </c>
      <c r="E126" s="64" t="s">
        <v>823</v>
      </c>
      <c r="F126" s="72" t="str">
        <f t="array" ref="F126">XLOOKUP(C126,'Master Data'!C:C,'Master Data'!E:E)</f>
        <v>Sai Shot Blasting Services</v>
      </c>
      <c r="G126" s="72" t="str">
        <f t="array" ref="G126">XLOOKUP(C126,'Master Data'!C:C,'Master Data'!F:F)</f>
        <v>Nitin Shripad Satpute</v>
      </c>
      <c r="H126" s="72" t="str">
        <f t="array" ref="H126">XLOOKUP(C126,'Master Data'!C:C,'Master Data'!G:G)</f>
        <v>LAP BT</v>
      </c>
      <c r="I126" s="72" t="str">
        <f t="array" ref="I126">XLOOKUP(C126,'Master Data'!C:C,'Master Data'!H:H)</f>
        <v>All that piece and parcel of property bearing Flat No. 10, having an area admeasuring 70.44 sq. mtrs. carpet area along with terrace area admeasuring 11.33 sq. mtrs., situated on the Third Floor, in Building/Wing No. A, out of the project known as “Stone Ridge Building A Co-operative Housing Society Ltd.”, constructed on the land bearing Survey No. 315/2/13 corresponding to City Survey No. 6768, situated at Village – Pimpri Waghere, Taluka – Haveli, District – Pune and within local limits of Pimpri Chinchwad Municipal Corporation, bearing Property No. 0602181902323.</v>
      </c>
      <c r="J126" s="72">
        <f t="array" ref="J126">XLOOKUP(C126,'Master Data'!C:C,'Master Data'!I:I)</f>
        <v>9730988668</v>
      </c>
      <c r="K126" s="72" t="str">
        <f t="array" ref="K126">XLOOKUP(C126,'Master Data'!C:C,'Master Data'!J:J)</f>
        <v/>
      </c>
      <c r="L126" s="74" t="str">
        <f t="array" ref="L126">XLOOKUP(C:C,TSR_Completion!C:C,TSR_Completion!M:M)</f>
        <v>Completed and Issued</v>
      </c>
      <c r="M126" s="4"/>
      <c r="N126" s="4"/>
      <c r="O126" s="4"/>
      <c r="P126" s="4"/>
      <c r="Q126" s="4"/>
      <c r="R126" s="4"/>
      <c r="S126" s="4"/>
      <c r="T126" s="4"/>
      <c r="U126" s="4"/>
      <c r="V126" s="4"/>
      <c r="W126" s="4"/>
      <c r="X126" s="4"/>
      <c r="Y126" s="4"/>
    </row>
    <row r="127">
      <c r="A127" s="6">
        <v>649.0</v>
      </c>
      <c r="B127" s="6" t="s">
        <v>158</v>
      </c>
      <c r="C127" s="6" t="s">
        <v>665</v>
      </c>
      <c r="D127" s="72" t="str">
        <f t="array" ref="D127">XLOOKUP(C127,'Master Data'!C:C,'Master Data'!D:D)</f>
        <v>wakad</v>
      </c>
      <c r="E127" s="64" t="s">
        <v>823</v>
      </c>
      <c r="F127" s="72" t="str">
        <f t="array" ref="F127">XLOOKUP(C127,'Master Data'!C:C,'Master Data'!E:E)</f>
        <v>Sai Shot Blasting Services</v>
      </c>
      <c r="G127" s="72" t="str">
        <f t="array" ref="G127">XLOOKUP(C127,'Master Data'!C:C,'Master Data'!F:F)</f>
        <v>Nitin Shripad Satpute</v>
      </c>
      <c r="H127" s="72" t="str">
        <f t="array" ref="H127">XLOOKUP(C127,'Master Data'!C:C,'Master Data'!G:G)</f>
        <v>LAP BT</v>
      </c>
      <c r="I127" s="72" t="str">
        <f t="array" ref="I127">XLOOKUP(C127,'Master Data'!C:C,'Master Data'!H:H)</f>
        <v>All that piece and parcel of property bearing Flat No. 11, having an area admeasuring 65.70 sq. mtrs. carpet area along with terrace area admeasuring 11.33 sq. mtrs., situated on the Third Floor, in Building/Wing No. A, out of the project known as “Stone Ridge”, constructed on the land bearing Survey No. 315/2/13 corresponding to City Survey No. 6768, situated at Village – Pimpri Waghere, Taluka – Haveli, District – Pune and within local limits of Pimpri Chinchwad Municipal Corporation.</v>
      </c>
      <c r="J127" s="72" t="str">
        <f t="array" ref="J127">XLOOKUP(C127,'Master Data'!C:C,'Master Data'!I:I)</f>
        <v/>
      </c>
      <c r="K127" s="72" t="str">
        <f t="array" ref="K127">XLOOKUP(C127,'Master Data'!C:C,'Master Data'!J:J)</f>
        <v/>
      </c>
      <c r="L127" s="74" t="str">
        <f t="array" ref="L127">XLOOKUP(C:C,TSR_Completion!C:C,TSR_Completion!M:M)</f>
        <v>Completed and Issued</v>
      </c>
      <c r="M127" s="4"/>
      <c r="N127" s="4"/>
      <c r="O127" s="4"/>
      <c r="P127" s="4"/>
      <c r="Q127" s="4"/>
      <c r="R127" s="4"/>
      <c r="S127" s="4"/>
      <c r="T127" s="4"/>
      <c r="U127" s="4"/>
      <c r="V127" s="4"/>
      <c r="W127" s="4"/>
      <c r="X127" s="4"/>
      <c r="Y127" s="4"/>
    </row>
    <row r="128">
      <c r="A128" s="6" t="s">
        <v>841</v>
      </c>
      <c r="B128" s="6" t="s">
        <v>158</v>
      </c>
      <c r="C128" s="6" t="s">
        <v>684</v>
      </c>
      <c r="D128" s="72" t="str">
        <f t="array" ref="D128">XLOOKUP(C128,'Master Data'!C:C,'Master Data'!D:D)</f>
        <v>Main</v>
      </c>
      <c r="E128" s="64" t="s">
        <v>829</v>
      </c>
      <c r="F128" s="72" t="str">
        <f t="array" ref="F128">XLOOKUP(C128,'Master Data'!C:C,'Master Data'!E:E)</f>
        <v>Santosh Jawalkar </v>
      </c>
      <c r="G128" s="72" t="str">
        <f t="array" ref="G128">XLOOKUP(C128,'Master Data'!C:C,'Master Data'!F:F)</f>
        <v>Irsha Jawalkar, Raghunath Jawalkar, Muktabai Jawalkar</v>
      </c>
      <c r="H128" s="72" t="str">
        <f t="array" ref="H128">XLOOKUP(C128,'Master Data'!C:C,'Master Data'!G:G)</f>
        <v>LAP</v>
      </c>
      <c r="I128" s="72" t="str">
        <f t="array" ref="I128">XLOOKUP(C128,'Master Data'!C:C,'Master Data'!H:H)</f>
        <v>All that piece and parcel of property being Flat No. 304, admeasuring Carpet Area 518.07 Sq. Ft., together with Open/Enclosed Balcony area admeasuring 54.14 Sq. Ft., Dry Balcony area admeasuring 19.38 Sq. Ft. and Terrace area admeasuring 66.52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v>
      </c>
      <c r="J128" s="72" t="str">
        <f t="array" ref="J128">XLOOKUP(C128,'Master Data'!C:C,'Master Data'!I:I)</f>
        <v>8983701761 NLK</v>
      </c>
      <c r="K128" s="72" t="str">
        <f t="array" ref="K128">XLOOKUP(C128,'Master Data'!C:C,'Master Data'!J:J)</f>
        <v/>
      </c>
      <c r="L128" s="74" t="str">
        <f t="array" ref="L128">XLOOKUP(C:C,TSR_Completion!C:C,TSR_Completion!M:M)</f>
        <v>Completed and Issued</v>
      </c>
      <c r="M128" s="4"/>
      <c r="N128" s="4"/>
      <c r="O128" s="4"/>
      <c r="P128" s="4"/>
      <c r="Q128" s="4"/>
      <c r="R128" s="4"/>
      <c r="S128" s="4"/>
      <c r="T128" s="4"/>
      <c r="U128" s="4"/>
      <c r="V128" s="4"/>
      <c r="W128" s="4"/>
      <c r="X128" s="4"/>
      <c r="Y128" s="4"/>
    </row>
    <row r="129">
      <c r="A129" s="6" t="s">
        <v>842</v>
      </c>
      <c r="B129" s="6" t="s">
        <v>158</v>
      </c>
      <c r="C129" s="6" t="s">
        <v>686</v>
      </c>
      <c r="D129" s="72" t="str">
        <f t="array" ref="D129">XLOOKUP(C129,'Master Data'!C:C,'Master Data'!D:D)</f>
        <v>Main</v>
      </c>
      <c r="E129" s="64" t="s">
        <v>829</v>
      </c>
      <c r="F129" s="72" t="str">
        <f t="array" ref="F129">XLOOKUP(C129,'Master Data'!C:C,'Master Data'!E:E)</f>
        <v>Santosh Jawalkar </v>
      </c>
      <c r="G129" s="72" t="str">
        <f t="array" ref="G129">XLOOKUP(C129,'Master Data'!C:C,'Master Data'!F:F)</f>
        <v>Irsha Jawalkar, Raghunath Jawalkar, Muktabai Jawalkar</v>
      </c>
      <c r="H129" s="72" t="str">
        <f t="array" ref="H129">XLOOKUP(C129,'Master Data'!C:C,'Master Data'!G:G)</f>
        <v>LAP</v>
      </c>
      <c r="I129" s="72" t="str">
        <f t="array" ref="I129">XLOOKUP(C129,'Master Data'!C:C,'Master Data'!H:H)</f>
        <v>All that piece and parcel of property being Flat No. A-1102, admeasuring Carpet Area 572.32 Sq. Ft., together with Open/Enclosed Balcony area admeasuring 0 Sq. Ft., Dry Balcony area admeasuring 19.38 Sq. Ft. and Terrace area admeasuring 59.09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v>
      </c>
      <c r="J129" s="72" t="str">
        <f t="array" ref="J129">XLOOKUP(C129,'Master Data'!C:C,'Master Data'!I:I)</f>
        <v>8983701761 NLK</v>
      </c>
      <c r="K129" s="72" t="str">
        <f t="array" ref="K129">XLOOKUP(C129,'Master Data'!C:C,'Master Data'!J:J)</f>
        <v/>
      </c>
      <c r="L129" s="74" t="str">
        <f t="array" ref="L129">XLOOKUP(C:C,TSR_Completion!C:C,TSR_Completion!M:M)</f>
        <v>Completed and Issued</v>
      </c>
      <c r="M129" s="4"/>
      <c r="N129" s="4"/>
      <c r="O129" s="4"/>
      <c r="P129" s="4"/>
      <c r="Q129" s="4"/>
      <c r="R129" s="4"/>
      <c r="S129" s="4"/>
      <c r="T129" s="4"/>
      <c r="U129" s="4"/>
      <c r="V129" s="4"/>
      <c r="W129" s="4"/>
      <c r="X129" s="4"/>
      <c r="Y129" s="4"/>
    </row>
    <row r="130">
      <c r="A130" s="6">
        <v>687.0</v>
      </c>
      <c r="B130" s="6" t="s">
        <v>158</v>
      </c>
      <c r="C130" s="6">
        <v>7.7000253088E10</v>
      </c>
      <c r="D130" s="72" t="str">
        <f t="array" ref="D130">XLOOKUP(C130,'Master Data'!C:C,'Master Data'!D:D)</f>
        <v>HFC Siliguri Branch</v>
      </c>
      <c r="E130" s="64" t="s">
        <v>843</v>
      </c>
      <c r="F130" s="72" t="str">
        <f t="array" ref="F130">XLOOKUP(C130,'Master Data'!C:C,'Master Data'!E:E)</f>
        <v>Kuljeet Singh </v>
      </c>
      <c r="G130" s="72" t="str">
        <f t="array" ref="G130">XLOOKUP(C130,'Master Data'!C:C,'Master Data'!F:F)</f>
        <v>Paramjit Singh </v>
      </c>
      <c r="H130" s="72" t="str">
        <f t="array" ref="H130">XLOOKUP(C130,'Master Data'!C:C,'Master Data'!G:G)</f>
        <v>Regular Home Loan Seller BT</v>
      </c>
      <c r="I130" s="72" t="str">
        <f t="array" ref="I130">XLOOKUP(C130,'Master Data'!C:C,'Master Data'!H:H)</f>
        <v>All that piece and parcel of property bearing Flat No. 703, having an area admeasuring of 38.55 sq. mtrs. carpet area (equivalent to 415 sq. ft.) inclusive of balcony area, situated on the Seventh Floor, in Building/Wing No. A-3, out of the project known as “Xrbia Hinjewadi”, constructed/to be constructed on the entire land property bearing Plot No. R-29 (out of sanctioned layout of larger land), situated at Village – Dattawadi, Taluka – Mulshi, District – Pune and within local limits of Gram Panchayat, Dattawadi.</v>
      </c>
      <c r="J130" s="72" t="str">
        <f t="array" ref="J130">XLOOKUP(C130,'Master Data'!C:C,'Master Data'!I:I)</f>
        <v>9641889945Nlk</v>
      </c>
      <c r="K130" s="72" t="str">
        <f t="array" ref="K130">XLOOKUP(C130,'Master Data'!C:C,'Master Data'!J:J)</f>
        <v/>
      </c>
      <c r="L130" s="74" t="str">
        <f t="array" ref="L130">XLOOKUP(C:C,TSR_Completion!C:C,TSR_Completion!M:M)</f>
        <v>Completed and Issued</v>
      </c>
      <c r="M130" s="46" t="s">
        <v>798</v>
      </c>
      <c r="N130" s="4"/>
      <c r="O130" s="4"/>
      <c r="P130" s="4"/>
      <c r="Q130" s="4"/>
      <c r="R130" s="4"/>
      <c r="S130" s="4"/>
      <c r="T130" s="4"/>
      <c r="U130" s="4"/>
      <c r="V130" s="4"/>
      <c r="W130" s="4"/>
      <c r="X130" s="4"/>
      <c r="Y130" s="4"/>
    </row>
    <row r="131">
      <c r="A131" s="6">
        <v>691.0</v>
      </c>
      <c r="B131" s="6" t="s">
        <v>158</v>
      </c>
      <c r="C131" s="6">
        <v>7.7000244168E10</v>
      </c>
      <c r="D131" s="72" t="str">
        <f t="array" ref="D131">XLOOKUP(C131,'Master Data'!C:C,'Master Data'!D:D)</f>
        <v>Hadapsar </v>
      </c>
      <c r="E131" s="64" t="s">
        <v>843</v>
      </c>
      <c r="F131" s="72" t="str">
        <f t="array" ref="F131">XLOOKUP(C131,'Master Data'!C:C,'Master Data'!E:E)</f>
        <v>Ganesh sarak </v>
      </c>
      <c r="G131" s="72" t="str">
        <f t="array" ref="G131">XLOOKUP(C131,'Master Data'!C:C,'Master Data'!F:F)</f>
        <v>Subhash sarak </v>
      </c>
      <c r="H131" s="72" t="str">
        <f t="array" ref="H131">XLOOKUP(C131,'Master Data'!C:C,'Master Data'!G:G)</f>
        <v>Lap</v>
      </c>
      <c r="I131" s="72" t="str">
        <f t="array" ref="I131">XLOOKUP(C131,'Master Data'!C:C,'Master Data'!H:H)</f>
        <v>All that piece and parcel of property bearing land situated at Village – Uruli Devachi, Taluka – Haveli, District – Pune, within the jurisdiction of Sub-Registrar Haveli No. 1 to 27 and within the limits of Fursungi–Uruli Devachi Municipal Council, comprising:
(i) Survey No. 237, Hissa No. 2A/43 admeasuring 00 Hectare 01 Are (i.e. 100 sq. mtrs.), and
(ii) Survey No. 237, Hissa No. 2A/45 admeasuring 00 Hectare 00.0040 Are (i.e. 40 sq. mtrs.),
aggregating to a total area of 00 Hectare 00.0140 Are (i.e. 140 sq. mtrs.), together with R.C.C. construction standing thereon admeasuring about 750 sq. ft. (i.e. 69.70 sq. mtrs.) on ground floor, bearing Property No. P/M/83/01239000,
</v>
      </c>
      <c r="J131" s="72" t="str">
        <f t="array" ref="J131">XLOOKUP(C131,'Master Data'!C:C,'Master Data'!I:I)</f>
        <v/>
      </c>
      <c r="K131" s="72" t="str">
        <f t="array" ref="K131">XLOOKUP(C131,'Master Data'!C:C,'Master Data'!J:J)</f>
        <v/>
      </c>
      <c r="L131" s="74" t="str">
        <f t="array" ref="L131">XLOOKUP(C:C,TSR_Completion!C:C,TSR_Completion!M:M)</f>
        <v>Completed and Issued</v>
      </c>
      <c r="M131" s="46" t="s">
        <v>798</v>
      </c>
      <c r="N131" s="4"/>
      <c r="O131" s="4"/>
      <c r="P131" s="4"/>
      <c r="Q131" s="4"/>
      <c r="R131" s="4"/>
      <c r="S131" s="4"/>
      <c r="T131" s="4"/>
      <c r="U131" s="4"/>
      <c r="V131" s="4"/>
      <c r="W131" s="4"/>
      <c r="X131" s="4"/>
      <c r="Y131" s="4"/>
    </row>
    <row r="132">
      <c r="A132" s="6">
        <v>686.0</v>
      </c>
      <c r="B132" s="6" t="s">
        <v>158</v>
      </c>
      <c r="C132" s="6">
        <v>7.7000264605E10</v>
      </c>
      <c r="D132" s="72" t="str">
        <f t="array" ref="D132">XLOOKUP(C132,'Master Data'!C:C,'Master Data'!D:D)</f>
        <v>Chinchwad</v>
      </c>
      <c r="E132" s="64" t="s">
        <v>843</v>
      </c>
      <c r="F132" s="72" t="str">
        <f t="array" ref="F132">XLOOKUP(C132,'Master Data'!C:C,'Master Data'!E:E)</f>
        <v>Sandip Raghnunath Gore</v>
      </c>
      <c r="G132" s="72" t="str">
        <f t="array" ref="G132">XLOOKUP(C132,'Master Data'!C:C,'Master Data'!F:F)</f>
        <v>Kalyani Keshav Hirave</v>
      </c>
      <c r="H132" s="72" t="str">
        <f t="array" ref="H132">XLOOKUP(C132,'Master Data'!C:C,'Master Data'!G:G)</f>
        <v>HL</v>
      </c>
      <c r="I132" s="72" t="str">
        <f t="array" ref="I132">XLOOKUP(C132,'Master Data'!C:C,'Master Data'!H:H)</f>
        <v>All that piece and parcel of property bearing Flat No. 203, having an area admeasuring of 33.37 sq. mtrs. carpet area plus 13.39 sq. mtrs. balcony area aggregating to 46.76 sq. mtrs. (i.e. 503.32 sq. ft.), situated on the 2nd Floor, out of the project known as “DATTASHREE”, constructed/to be constructed on the entire land property bearing Survey No. 37 Hissa No. 5/7 and Survey No. 37 Hissa No. 5/9, situated at Village – Warje, Taluka – Haveli, District – Pune and within local limits of Pune Municipal Corporation.</v>
      </c>
      <c r="J132" s="72" t="str">
        <f t="array" ref="J132">XLOOKUP(C132,'Master Data'!C:C,'Master Data'!I:I)</f>
        <v/>
      </c>
      <c r="K132" s="72" t="str">
        <f t="array" ref="K132">XLOOKUP(C132,'Master Data'!C:C,'Master Data'!J:J)</f>
        <v/>
      </c>
      <c r="L132" s="74" t="str">
        <f t="array" ref="L132">XLOOKUP(C:C,TSR_Completion!C:C,TSR_Completion!M:M)</f>
        <v>Completed and Issued</v>
      </c>
      <c r="M132" s="46" t="s">
        <v>798</v>
      </c>
      <c r="N132" s="4"/>
      <c r="O132" s="4"/>
      <c r="P132" s="4"/>
      <c r="Q132" s="4"/>
      <c r="R132" s="4"/>
      <c r="S132" s="4"/>
      <c r="T132" s="4"/>
      <c r="U132" s="4"/>
      <c r="V132" s="4"/>
      <c r="W132" s="4"/>
      <c r="X132" s="4"/>
      <c r="Y132" s="4"/>
    </row>
    <row r="133">
      <c r="A133" s="6">
        <v>668.0</v>
      </c>
      <c r="B133" s="6" t="s">
        <v>158</v>
      </c>
      <c r="C133" s="6">
        <v>7.7000260474E10</v>
      </c>
      <c r="D133" s="72" t="str">
        <f t="array" ref="D133">XLOOKUP(C133,'Master Data'!C:C,'Master Data'!D:D)</f>
        <v>Main</v>
      </c>
      <c r="E133" s="64" t="s">
        <v>843</v>
      </c>
      <c r="F133" s="72" t="str">
        <f t="array" ref="F133">XLOOKUP(C133,'Master Data'!C:C,'Master Data'!E:E)</f>
        <v>Omkar Ganapatrao Desai</v>
      </c>
      <c r="G133" s="72" t="str">
        <f t="array" ref="G133">XLOOKUP(C133,'Master Data'!C:C,'Master Data'!F:F)</f>
        <v>Poonam Omkar Desai</v>
      </c>
      <c r="H133" s="72" t="str">
        <f t="array" ref="H133">XLOOKUP(C133,'Master Data'!C:C,'Master Data'!G:G)</f>
        <v>Resale</v>
      </c>
      <c r="I133" s="72" t="str">
        <f t="array" ref="I133">XLOOKUP(C133,'Master Data'!C:C,'Master Data'!H:H)</f>
        <v>All that piece and parcel of Flat No. O-306, admeasuring carpet area of 35.8 Sq. Mtrs. (i.e. 386 Sq. Ft.), along with adjoining terrace admeasuring about 4.18 Sq. Mtrs., situated on the 3rd Floor, in Building No. O, in the project known as “Shriniwas Green Land County Co-operative Housing Society Ltd.”, together with one car parking area admeasuring 9 Sq. Mtrs., constructed on the land bearing Survey No. 42/1A/1 to 42/1A/19, admeasuring in aggregate 04 Hectares 68 Ares, situated at Village Narhe, Taluka Haveli, District Pune.</v>
      </c>
      <c r="J133" s="75" t="s">
        <v>713</v>
      </c>
      <c r="K133" s="72" t="str">
        <f t="array" ref="K133">XLOOKUP(C133,'Master Data'!C:C,'Master Data'!J:J)</f>
        <v/>
      </c>
      <c r="L133" s="74" t="str">
        <f t="array" ref="L133">XLOOKUP(C:C,TSR_Completion!C:C,TSR_Completion!M:M)</f>
        <v>Completed and Issued</v>
      </c>
      <c r="M133" s="46" t="s">
        <v>798</v>
      </c>
      <c r="N133" s="4"/>
      <c r="O133" s="4"/>
      <c r="P133" s="4"/>
      <c r="Q133" s="4"/>
      <c r="R133" s="4"/>
      <c r="S133" s="4"/>
      <c r="T133" s="4"/>
      <c r="U133" s="4"/>
      <c r="V133" s="4"/>
      <c r="W133" s="4"/>
      <c r="X133" s="4"/>
      <c r="Y133" s="4"/>
    </row>
    <row r="134">
      <c r="A134" s="6">
        <v>667.0</v>
      </c>
      <c r="B134" s="6" t="s">
        <v>158</v>
      </c>
      <c r="C134" s="51">
        <v>7.7000261651E10</v>
      </c>
      <c r="D134" s="72" t="str">
        <f t="array" ref="D134">XLOOKUP(C134,'Master Data'!C:C,'Master Data'!D:D)</f>
        <v>Kharadi </v>
      </c>
      <c r="E134" s="64" t="s">
        <v>834</v>
      </c>
      <c r="F134" s="72" t="str">
        <f t="array" ref="F134">XLOOKUP(C134,'Master Data'!C:C,'Master Data'!E:E)</f>
        <v>Hanumant Rohidas Raut</v>
      </c>
      <c r="G134" s="72" t="str">
        <f t="array" ref="G134">XLOOKUP(C134,'Master Data'!C:C,'Master Data'!F:F)</f>
        <v>Archana Hanumant Raut</v>
      </c>
      <c r="H134" s="72" t="str">
        <f t="array" ref="H134">XLOOKUP(C134,'Master Data'!C:C,'Master Data'!G:G)</f>
        <v>Internal Top - UP</v>
      </c>
      <c r="I134" s="72" t="str">
        <f t="array" ref="I134">XLOOKUP(C134,'Master Data'!C:C,'Master Data'!H:H)</f>
        <v>All that piece and parcel of Flat No. 102, admeasuring saleable built-up area of 49.25 Sq. Mtrs. (i.e. 530 Sq. Ft.), situated on the 1st Floor, in the building known as “Unit Plaza”, constructed on land bearing Plot No. 160, admeasuring 180 Sq. Mtrs. (i.e. 1937 Sq. Ft.), forming part of the sanctioned layout out of land bearing Survey No. 178 (Old Survey No. 150), admeasuring in aggregate 17 Hectares 29 Ares, out of which 11 Hectares 94 Ares is assessable land and 00 Hectares 46 Ares is Potkharaba, situated at Village Phursungi, Taluka Haveli, District Pune.</v>
      </c>
      <c r="J134" s="72" t="str">
        <f t="array" ref="J134">XLOOKUP(C134,'Master Data'!C:C,'Master Data'!I:I)</f>
        <v/>
      </c>
      <c r="K134" s="72" t="str">
        <f t="array" ref="K134">XLOOKUP(C134,'Master Data'!C:C,'Master Data'!J:J)</f>
        <v/>
      </c>
      <c r="L134" s="74" t="str">
        <f t="array" ref="L134">XLOOKUP(C:C,TSR_Completion!C:C,TSR_Completion!M:M)</f>
        <v>Completed and Issued</v>
      </c>
      <c r="M134" s="46" t="s">
        <v>798</v>
      </c>
      <c r="N134" s="4"/>
      <c r="O134" s="4"/>
      <c r="P134" s="4"/>
      <c r="Q134" s="4"/>
      <c r="R134" s="4"/>
      <c r="S134" s="4"/>
      <c r="T134" s="4"/>
      <c r="U134" s="4"/>
      <c r="V134" s="4"/>
      <c r="W134" s="4"/>
      <c r="X134" s="4"/>
      <c r="Y134" s="4"/>
    </row>
    <row r="135">
      <c r="A135" s="6"/>
      <c r="B135" s="6" t="s">
        <v>158</v>
      </c>
      <c r="C135" s="6">
        <v>7.7000240367E10</v>
      </c>
      <c r="D135" s="72" t="str">
        <f t="array" ref="D135">XLOOKUP(C135,'Master Data'!C:C,'Master Data'!D:D)</f>
        <v>Main</v>
      </c>
      <c r="E135" s="64" t="s">
        <v>844</v>
      </c>
      <c r="F135" s="72" t="str">
        <f t="array" ref="F135">XLOOKUP(C135,'Master Data'!C:C,'Master Data'!E:E)</f>
        <v>Rameshwar dakhore </v>
      </c>
      <c r="G135" s="72" t="str">
        <f t="array" ref="G135">XLOOKUP(C135,'Master Data'!C:C,'Master Data'!F:F)</f>
        <v/>
      </c>
      <c r="H135" s="72" t="str">
        <f t="array" ref="H135">XLOOKUP(C135,'Master Data'!C:C,'Master Data'!G:G)</f>
        <v>Resale</v>
      </c>
      <c r="I135" s="72" t="str">
        <f t="array" ref="I135">XLOOKUP(C135,'Master Data'!C:C,'Master Data'!H:H)</f>
        <v>Kondave dhavde S.No. 343</v>
      </c>
      <c r="J135" s="72" t="str">
        <f t="array" ref="J135">XLOOKUP(C135,'Master Data'!C:C,'Master Data'!I:I)</f>
        <v>9096923616 NLK</v>
      </c>
      <c r="K135" s="72" t="str">
        <f t="array" ref="K135">XLOOKUP(C135,'Master Data'!C:C,'Master Data'!J:J)</f>
        <v/>
      </c>
      <c r="L135" s="74" t="str">
        <f t="array" ref="L135">XLOOKUP(C:C,TSR_Completion!C:C,TSR_Completion!M:M)</f>
        <v>#N/A</v>
      </c>
      <c r="M135" s="46" t="s">
        <v>798</v>
      </c>
      <c r="N135" s="4"/>
      <c r="O135" s="4"/>
      <c r="P135" s="4"/>
      <c r="Q135" s="4"/>
      <c r="R135" s="4"/>
      <c r="S135" s="4"/>
      <c r="T135" s="4"/>
      <c r="U135" s="4"/>
      <c r="V135" s="4"/>
      <c r="W135" s="4"/>
      <c r="X135" s="4"/>
      <c r="Y135" s="4"/>
    </row>
    <row r="136">
      <c r="A136" s="6">
        <v>692.0</v>
      </c>
      <c r="B136" s="6" t="s">
        <v>158</v>
      </c>
      <c r="C136" s="6">
        <v>7.7000241235E10</v>
      </c>
      <c r="D136" s="72" t="str">
        <f t="array" ref="D136">XLOOKUP(C136,'Master Data'!C:C,'Master Data'!D:D)</f>
        <v>Kolhapur</v>
      </c>
      <c r="E136" s="64" t="s">
        <v>844</v>
      </c>
      <c r="F136" s="72" t="str">
        <f t="array" ref="F136">XLOOKUP(C136,'Master Data'!C:C,'Master Data'!E:E)</f>
        <v> Yuvraj pandurang powar </v>
      </c>
      <c r="G136" s="72" t="str">
        <f t="array" ref="G136">XLOOKUP(C136,'Master Data'!C:C,'Master Data'!F:F)</f>
        <v/>
      </c>
      <c r="H136" s="72" t="str">
        <f t="array" ref="H136">XLOOKUP(C136,'Master Data'!C:C,'Master Data'!G:G)</f>
        <v>Micro LAP </v>
      </c>
      <c r="I136" s="72" t="str">
        <f t="array" ref="I136">XLOOKUP(C136,'Master Data'!C:C,'Master Data'!H:H)</f>
        <v/>
      </c>
      <c r="J136" s="72" t="str">
        <f t="array" ref="J136">XLOOKUP(C136,'Master Data'!C:C,'Master Data'!I:I)</f>
        <v/>
      </c>
      <c r="K136" s="72" t="str">
        <f t="array" ref="K136">XLOOKUP(C136,'Master Data'!C:C,'Master Data'!J:J)</f>
        <v/>
      </c>
      <c r="L136" s="74" t="str">
        <f t="array" ref="L136">XLOOKUP(C:C,TSR_Completion!C:C,TSR_Completion!M:M)</f>
        <v>#N/A</v>
      </c>
      <c r="M136" s="4"/>
      <c r="N136" s="4"/>
      <c r="O136" s="4"/>
      <c r="P136" s="4"/>
      <c r="Q136" s="4"/>
      <c r="R136" s="4"/>
      <c r="S136" s="4"/>
      <c r="T136" s="4"/>
      <c r="U136" s="4"/>
      <c r="V136" s="4"/>
      <c r="W136" s="4"/>
      <c r="X136" s="4"/>
      <c r="Y136" s="4"/>
    </row>
    <row r="137">
      <c r="A137" s="6">
        <v>679.0</v>
      </c>
      <c r="B137" s="6" t="s">
        <v>158</v>
      </c>
      <c r="C137" s="6">
        <v>7.70002597E10</v>
      </c>
      <c r="D137" s="72" t="str">
        <f t="array" ref="D137">XLOOKUP(C137,'Master Data'!C:C,'Master Data'!D:D)</f>
        <v>Baner</v>
      </c>
      <c r="E137" s="64" t="s">
        <v>844</v>
      </c>
      <c r="F137" s="72" t="str">
        <f t="array" ref="F137">XLOOKUP(C137,'Master Data'!C:C,'Master Data'!E:E)</f>
        <v> DINESH EKNATH IRALE</v>
      </c>
      <c r="G137" s="72" t="str">
        <f t="array" ref="G137">XLOOKUP(C137,'Master Data'!C:C,'Master Data'!F:F)</f>
        <v>MADHURI DINESH IRALE</v>
      </c>
      <c r="H137" s="72" t="str">
        <f t="array" ref="H137">XLOOKUP(C137,'Master Data'!C:C,'Master Data'!G:G)</f>
        <v>Builder Purchase </v>
      </c>
      <c r="I137" s="72" t="str">
        <f t="array" ref="I137">XLOOKUP(C137,'Master Data'!C:C,'Master Data'!H:H)</f>
        <v>All that piece and parcel of property bearing Flat No. 302, having an area admeasuring of 45.54 sq. mtrs. (i.e. 490 sq. ft. carpet area), situated on the Third Floor, in Inclusive Housing EWS Building, out of the project known as “The Kings Way AOP EWS”, constructed/to be constructed on the entire land property bearing Survey No. 67-A, Hissa Nos. 6-A, 8-A, 8-B, 7-A, 9-A, 9-B, 10-A and 10-C (corresponding to CTS No. 805), situated at Village – Ghorpadi, Taluka – Pune City, District – Pune and within local limits of Pune Municipal Corporation.</v>
      </c>
      <c r="J137" s="72" t="str">
        <f t="array" ref="J137">XLOOKUP(C137,'Master Data'!C:C,'Master Data'!I:I)</f>
        <v>Baner Group</v>
      </c>
      <c r="K137" s="72" t="str">
        <f t="array" ref="K137">XLOOKUP(C137,'Master Data'!C:C,'Master Data'!J:J)</f>
        <v/>
      </c>
      <c r="L137" s="74" t="str">
        <f t="array" ref="L137">XLOOKUP(C:C,TSR_Completion!C:C,TSR_Completion!M:M)</f>
        <v>Completed and Issued</v>
      </c>
      <c r="M137" s="46" t="s">
        <v>798</v>
      </c>
      <c r="N137" s="4"/>
      <c r="O137" s="4"/>
      <c r="P137" s="4"/>
      <c r="Q137" s="4"/>
      <c r="R137" s="4"/>
      <c r="S137" s="4"/>
      <c r="T137" s="4"/>
      <c r="U137" s="4"/>
      <c r="V137" s="4"/>
      <c r="W137" s="4"/>
      <c r="X137" s="4"/>
      <c r="Y137" s="4"/>
    </row>
    <row r="138">
      <c r="A138" s="6">
        <v>693.0</v>
      </c>
      <c r="B138" s="6" t="s">
        <v>158</v>
      </c>
      <c r="C138" s="6">
        <v>7.7000267101E10</v>
      </c>
      <c r="D138" s="72" t="str">
        <f t="array" ref="D138">XLOOKUP(C138,'Master Data'!C:C,'Master Data'!D:D)</f>
        <v>wakad</v>
      </c>
      <c r="E138" s="64" t="s">
        <v>844</v>
      </c>
      <c r="F138" s="72" t="str">
        <f t="array" ref="F138">XLOOKUP(C138,'Master Data'!C:C,'Master Data'!E:E)</f>
        <v>Beena K Revankar</v>
      </c>
      <c r="G138" s="72" t="str">
        <f t="array" ref="G138">XLOOKUP(C138,'Master Data'!C:C,'Master Data'!F:F)</f>
        <v/>
      </c>
      <c r="H138" s="72" t="str">
        <f t="array" ref="H138">XLOOKUP(C138,'Master Data'!C:C,'Master Data'!G:G)</f>
        <v>Seller BT</v>
      </c>
      <c r="I138" s="72" t="str">
        <f t="array" ref="I138">XLOOKUP(C138,'Master Data'!C:C,'Master Data'!H:H)</f>
        <v>Nanekarwadi S.No 407</v>
      </c>
      <c r="J138" s="72" t="str">
        <f t="array" ref="J138">XLOOKUP(C138,'Master Data'!C:C,'Master Data'!I:I)</f>
        <v>9527523011 NK</v>
      </c>
      <c r="K138" s="72" t="str">
        <f t="array" ref="K138">XLOOKUP(C138,'Master Data'!C:C,'Master Data'!J:J)</f>
        <v/>
      </c>
      <c r="L138" s="74" t="str">
        <f t="array" ref="L138">XLOOKUP(C:C,TSR_Completion!C:C,TSR_Completion!M:M)</f>
        <v>#N/A</v>
      </c>
      <c r="M138" s="46" t="s">
        <v>798</v>
      </c>
      <c r="N138" s="4"/>
      <c r="O138" s="4"/>
      <c r="P138" s="4"/>
      <c r="Q138" s="4"/>
      <c r="R138" s="4"/>
      <c r="S138" s="4"/>
      <c r="T138" s="4"/>
      <c r="U138" s="4"/>
      <c r="V138" s="4"/>
      <c r="W138" s="4"/>
      <c r="X138" s="4"/>
      <c r="Y138" s="4"/>
    </row>
    <row r="139">
      <c r="A139" s="6">
        <v>690.0</v>
      </c>
      <c r="B139" s="6" t="s">
        <v>158</v>
      </c>
      <c r="C139" s="6">
        <v>7.792151806E9</v>
      </c>
      <c r="D139" s="72" t="str">
        <f t="array" ref="D139">XLOOKUP(C139,'Master Data'!C:C,'Master Data'!D:D)</f>
        <v>wakad</v>
      </c>
      <c r="E139" s="64" t="s">
        <v>844</v>
      </c>
      <c r="F139" s="72" t="str">
        <f t="array" ref="F139">XLOOKUP(C139,'Master Data'!C:C,'Master Data'!E:E)</f>
        <v>Prakash Veerabhadrappa Biradar</v>
      </c>
      <c r="G139" s="72" t="str">
        <f t="array" ref="G139">XLOOKUP(C139,'Master Data'!C:C,'Master Data'!F:F)</f>
        <v>Jyoti Prakash Biradar</v>
      </c>
      <c r="H139" s="72" t="str">
        <f t="array" ref="H139">XLOOKUP(C139,'Master Data'!C:C,'Master Data'!G:G)</f>
        <v>Resale Seller BT</v>
      </c>
      <c r="I139" s="72" t="str">
        <f t="array" ref="I139">XLOOKUP(C139,'Master Data'!C:C,'Master Data'!H:H)</f>
        <v>All that piece and parcel of property bearing Flat No. 104, having an area admeasuring of 57.04 sq. mtrs. (i.e. 614 sq. ft.) carpet area including balconies along with 11.24 sq. mtrs. (i.e. 121 sq. ft.) adjacent terrace area (exclusive right to use), situated on the First Floor, in Building/Wing No. A, out of the project known as “Mohar Pratima”, constructed/to be constructed on the entire land property bearing Survey No. 348/2/1 corresponding to CTS No. 7694 and Survey No. 349 corresponding to CTS No. 7696, situated at Village – Talegaon Dabhade, Taluka – Maval, District – Pune and within local limits of Talegaon Dabhade Municipal Council.</v>
      </c>
      <c r="J139" s="72" t="str">
        <f t="array" ref="J139">XLOOKUP(C139,'Master Data'!C:C,'Master Data'!I:I)</f>
        <v>.</v>
      </c>
      <c r="K139" s="72" t="str">
        <f t="array" ref="K139">XLOOKUP(C139,'Master Data'!C:C,'Master Data'!J:J)</f>
        <v/>
      </c>
      <c r="L139" s="74" t="str">
        <f t="array" ref="L139">XLOOKUP(C:C,TSR_Completion!C:C,TSR_Completion!M:M)</f>
        <v>Completed and Issued</v>
      </c>
      <c r="M139" s="46" t="s">
        <v>798</v>
      </c>
      <c r="N139" s="4"/>
      <c r="O139" s="4"/>
      <c r="P139" s="4"/>
      <c r="Q139" s="4"/>
      <c r="R139" s="4"/>
      <c r="S139" s="4"/>
      <c r="T139" s="4"/>
      <c r="U139" s="4"/>
      <c r="V139" s="4"/>
      <c r="W139" s="4"/>
      <c r="X139" s="4"/>
      <c r="Y139" s="4"/>
    </row>
    <row r="140">
      <c r="A140" s="6">
        <v>678.0</v>
      </c>
      <c r="B140" s="6" t="s">
        <v>158</v>
      </c>
      <c r="C140" s="63">
        <v>7.700026819E10</v>
      </c>
      <c r="D140" s="72" t="str">
        <f t="array" ref="D140">XLOOKUP(C140,'Master Data'!C:C,'Master Data'!D:D)</f>
        <v>Chinchwad</v>
      </c>
      <c r="E140" s="64" t="s">
        <v>844</v>
      </c>
      <c r="F140" s="72" t="str">
        <f t="array" ref="F140">XLOOKUP(C140,'Master Data'!C:C,'Master Data'!E:E)</f>
        <v>PRAVIN GANGADHARRAO SONTAKKE</v>
      </c>
      <c r="G140" s="72" t="str">
        <f t="array" ref="G140">XLOOKUP(C140,'Master Data'!C:C,'Master Data'!F:F)</f>
        <v>Sheetal Pravin sontakke</v>
      </c>
      <c r="H140" s="72" t="str">
        <f t="array" ref="H140">XLOOKUP(C140,'Master Data'!C:C,'Master Data'!G:G)</f>
        <v>Builder purchase HL</v>
      </c>
      <c r="I140" s="72" t="str">
        <f t="array" ref="I140">XLOOKUP(C140,'Master Data'!C:C,'Master Data'!H:H)</f>
        <v>All that piece and parcel of property bearing Flat No. A3/B-709, having an area admeasuring of 78.04 Sq. Mtrs. (i.e. 840 Sq. Ft. Carpet Area), situated on the 7th Floor, in Building/Wing No. A3, Wing B, out of the project known as “Aditya Vivaaz”, constructed/to be constructed on the entire land property, i.e. Survey No. 92 (Part), situated at Village – Ravet, Taluka – Haveli, District – Pune and within local limits of Pimpri Chinchwad Municipal Corporation.</v>
      </c>
      <c r="J140" s="72" t="str">
        <f t="array" ref="J140">XLOOKUP(C140,'Master Data'!C:C,'Master Data'!I:I)</f>
        <v/>
      </c>
      <c r="K140" s="72" t="str">
        <f t="array" ref="K140">XLOOKUP(C140,'Master Data'!C:C,'Master Data'!J:J)</f>
        <v/>
      </c>
      <c r="L140" s="74" t="str">
        <f t="array" ref="L140">XLOOKUP(C:C,TSR_Completion!C:C,TSR_Completion!M:M)</f>
        <v>Completed and Issued</v>
      </c>
      <c r="M140" s="46" t="s">
        <v>798</v>
      </c>
      <c r="N140" s="4"/>
      <c r="O140" s="4"/>
      <c r="P140" s="4"/>
      <c r="Q140" s="4"/>
      <c r="R140" s="4"/>
      <c r="S140" s="4"/>
      <c r="T140" s="4"/>
      <c r="U140" s="4"/>
      <c r="V140" s="4"/>
      <c r="W140" s="4"/>
      <c r="X140" s="4"/>
      <c r="Y140" s="4"/>
    </row>
    <row r="141">
      <c r="A141" s="6">
        <v>689.0</v>
      </c>
      <c r="B141" s="6" t="s">
        <v>158</v>
      </c>
      <c r="C141" s="6" t="s">
        <v>632</v>
      </c>
      <c r="D141" s="72" t="str">
        <f t="array" ref="D141">XLOOKUP(C141,'Master Data'!C:C,'Master Data'!D:D)</f>
        <v>Main</v>
      </c>
      <c r="E141" s="64" t="s">
        <v>844</v>
      </c>
      <c r="F141" s="72" t="str">
        <f t="array" ref="F141">XLOOKUP(C141,'Master Data'!C:C,'Master Data'!E:E)</f>
        <v>Nilesh Rambhau Jadhav</v>
      </c>
      <c r="G141" s="72" t="str">
        <f t="array" ref="G141">XLOOKUP(C141,'Master Data'!C:C,'Master Data'!F:F)</f>
        <v>Bharati Nilesh Jadhav</v>
      </c>
      <c r="H141" s="72" t="str">
        <f t="array" ref="H141">XLOOKUP(C141,'Master Data'!C:C,'Master Data'!G:G)</f>
        <v>BT + TOP UP</v>
      </c>
      <c r="I141" s="72" t="str">
        <f t="array" ref="I141">XLOOKUP(C141,'Master Data'!C:C,'Master Data'!H:H)</f>
        <v>All that piece and parcel of property bearing Flat No. 301, having an area admeasuring of 367 sq. ft. carpet area + 38 sq. ft. covered balcony + 30 sq. ft. dry balcony + 38 sq. ft. open balcony, situated on the Third Floor, in Building/Wing No. A, out of the project known as “Atharva Patson Phoenix”, constructed/to be constructed on the entire land property bearing Gat No. 1615 admeasuring 00 Hectare 26 Ares, Gat No. 1616 admeasuring 00 Hectare 11 Ares and Gat No. 1617/1 admeasuring 00 Hectare 09.5 Ares, situated at Village – Chakan, Taluka – Khed, District – Pune and within local limits of Chakan Municipal Council.</v>
      </c>
      <c r="J141" s="72" t="str">
        <f t="array" ref="J141">XLOOKUP(C141,'Master Data'!C:C,'Master Data'!I:I)</f>
        <v>Group</v>
      </c>
      <c r="K141" s="72" t="str">
        <f t="array" ref="K141">XLOOKUP(C141,'Master Data'!C:C,'Master Data'!J:J)</f>
        <v/>
      </c>
      <c r="L141" s="74" t="str">
        <f t="array" ref="L141">XLOOKUP(C:C,TSR_Completion!C:C,TSR_Completion!M:M)</f>
        <v>Completed and Issued</v>
      </c>
      <c r="M141" s="46" t="s">
        <v>798</v>
      </c>
      <c r="N141" s="4"/>
      <c r="O141" s="4"/>
      <c r="P141" s="4"/>
      <c r="Q141" s="4"/>
      <c r="R141" s="4"/>
      <c r="S141" s="4"/>
      <c r="T141" s="4"/>
      <c r="U141" s="4"/>
      <c r="V141" s="4"/>
      <c r="W141" s="4"/>
      <c r="X141" s="4"/>
      <c r="Y141" s="4"/>
    </row>
    <row r="142">
      <c r="A142" s="6">
        <v>688.0</v>
      </c>
      <c r="B142" s="6" t="s">
        <v>158</v>
      </c>
      <c r="C142" s="6">
        <v>7.7000264942E10</v>
      </c>
      <c r="D142" s="72" t="str">
        <f t="array" ref="D142">XLOOKUP(C142,'Master Data'!C:C,'Master Data'!D:D)</f>
        <v>Baner</v>
      </c>
      <c r="E142" s="64" t="s">
        <v>845</v>
      </c>
      <c r="F142" s="72" t="str">
        <f t="array" ref="F142">XLOOKUP(C142,'Master Data'!C:C,'Master Data'!E:E)</f>
        <v>Vijay Chakravarti</v>
      </c>
      <c r="G142" s="72" t="str">
        <f t="array" ref="G142">XLOOKUP(C142,'Master Data'!C:C,'Master Data'!F:F)</f>
        <v/>
      </c>
      <c r="H142" s="72" t="str">
        <f t="array" ref="H142">XLOOKUP(C142,'Master Data'!C:C,'Master Data'!G:G)</f>
        <v>LAP</v>
      </c>
      <c r="I142" s="72" t="str">
        <f t="array" ref="I142">XLOOKUP(C142,'Master Data'!C:C,'Master Data'!H:H)</f>
        <v>All that piece and parcel of property bearing Survey No. 67/1B/4/1/43, having an area admeasuring of H. 00-01 Ares, i.e. 100 sq. mtrs., situated at Village – Dhanori, Taluka – Haveli, District – Pune and within local limits of Pune Municipal Corporation, Pune</v>
      </c>
      <c r="J142" s="72" t="str">
        <f t="array" ref="J142">XLOOKUP(C142,'Master Data'!C:C,'Master Data'!I:I)</f>
        <v/>
      </c>
      <c r="K142" s="72" t="str">
        <f t="array" ref="K142">XLOOKUP(C142,'Master Data'!C:C,'Master Data'!J:J)</f>
        <v/>
      </c>
      <c r="L142" s="74" t="str">
        <f t="array" ref="L142">XLOOKUP(C:C,TSR_Completion!C:C,TSR_Completion!M:M)</f>
        <v>Completed and Issued</v>
      </c>
      <c r="M142" s="46" t="s">
        <v>798</v>
      </c>
      <c r="N142" s="4"/>
      <c r="O142" s="4"/>
      <c r="P142" s="4"/>
      <c r="Q142" s="4"/>
      <c r="R142" s="4"/>
      <c r="S142" s="4"/>
      <c r="T142" s="4"/>
      <c r="U142" s="4"/>
      <c r="V142" s="4"/>
      <c r="W142" s="4"/>
      <c r="X142" s="4"/>
      <c r="Y142" s="4"/>
    </row>
    <row r="143">
      <c r="A143" s="6">
        <v>684.0</v>
      </c>
      <c r="B143" s="6" t="s">
        <v>158</v>
      </c>
      <c r="C143" s="6">
        <v>7.7000263796E10</v>
      </c>
      <c r="D143" s="72" t="str">
        <f t="array" ref="D143">XLOOKUP(C143,'Master Data'!C:C,'Master Data'!D:D)</f>
        <v>Main</v>
      </c>
      <c r="E143" s="64" t="s">
        <v>844</v>
      </c>
      <c r="F143" s="72" t="str">
        <f t="array" ref="F143">XLOOKUP(C143,'Master Data'!C:C,'Master Data'!E:E)</f>
        <v>Dipak Baban Mangade</v>
      </c>
      <c r="G143" s="72" t="str">
        <f t="array" ref="G143">XLOOKUP(C143,'Master Data'!C:C,'Master Data'!F:F)</f>
        <v>Priti Dipak Mangade</v>
      </c>
      <c r="H143" s="72" t="str">
        <f t="array" ref="H143">XLOOKUP(C143,'Master Data'!C:C,'Master Data'!G:G)</f>
        <v>Builder Purchase</v>
      </c>
      <c r="I143" s="72" t="str">
        <f t="array" ref="I143">XLOOKUP(C143,'Master Data'!C:C,'Master Data'!H:H)</f>
        <v>All that piece and parcel of property bearing Flat No. 808, having an area admeasuring of 447.03 sq. ft. (i.e. 41.53 sq. mtrs. carpet area) along with balcony area admeasuring 33.26 sq. ft. (i.e. 3.09 sq. mtrs.), situated on the 8th Floor, in Building “Amruta Vihar”, out of the project known as “AMRUTA VIHAR”, constructed/to be constructed on the entire land property bearing Survey No. 132/1/1A, situated at Village – Dhayari, Taluka – Haveli, District – Pune and within local limits of Pune Municipal Corporation.</v>
      </c>
      <c r="J143" s="72" t="str">
        <f t="array" ref="J143">XLOOKUP(C143,'Master Data'!C:C,'Master Data'!I:I)</f>
        <v>TSR+LSR</v>
      </c>
      <c r="K143" s="72" t="str">
        <f t="array" ref="K143">XLOOKUP(C143,'Master Data'!C:C,'Master Data'!J:J)</f>
        <v/>
      </c>
      <c r="L143" s="74" t="str">
        <f t="array" ref="L143">XLOOKUP(C:C,TSR_Completion!C:C,TSR_Completion!M:M)</f>
        <v>Completed and Issued</v>
      </c>
      <c r="M143" s="46" t="s">
        <v>798</v>
      </c>
      <c r="N143" s="4"/>
      <c r="O143" s="4"/>
      <c r="P143" s="4"/>
      <c r="Q143" s="4"/>
      <c r="R143" s="4"/>
      <c r="S143" s="4"/>
      <c r="T143" s="4"/>
      <c r="U143" s="4"/>
      <c r="V143" s="4"/>
      <c r="W143" s="4"/>
      <c r="X143" s="4"/>
      <c r="Y143" s="4"/>
    </row>
    <row r="144">
      <c r="A144" s="6"/>
      <c r="B144" s="6" t="s">
        <v>158</v>
      </c>
      <c r="C144" s="6">
        <v>7.7000261867E10</v>
      </c>
      <c r="D144" s="72" t="str">
        <f t="array" ref="D144">XLOOKUP(C144,'Master Data'!C:C,'Master Data'!D:D)</f>
        <v>Vishrantwadi</v>
      </c>
      <c r="E144" s="64" t="s">
        <v>846</v>
      </c>
      <c r="F144" s="72" t="str">
        <f t="array" ref="F144">XLOOKUP(C144,'Master Data'!C:C,'Master Data'!E:E)</f>
        <v>prashant pathare</v>
      </c>
      <c r="G144" s="72" t="str">
        <f t="array" ref="G144">XLOOKUP(C144,'Master Data'!C:C,'Master Data'!F:F)</f>
        <v>rajesh pathare</v>
      </c>
      <c r="H144" s="72" t="str">
        <f t="array" ref="H144">XLOOKUP(C144,'Master Data'!C:C,'Master Data'!G:G)</f>
        <v>Resale </v>
      </c>
      <c r="I144" s="72" t="str">
        <f t="array" ref="I144">XLOOKUP(C144,'Master Data'!C:C,'Master Data'!H:H)</f>
        <v>Sutarwadi S.No 2</v>
      </c>
      <c r="J144" s="72" t="str">
        <f t="array" ref="J144">XLOOKUP(C144,'Master Data'!C:C,'Master Data'!I:I)</f>
        <v>7040506640(Group)</v>
      </c>
      <c r="K144" s="72" t="str">
        <f t="array" ref="K144">XLOOKUP(C144,'Master Data'!C:C,'Master Data'!J:J)</f>
        <v/>
      </c>
      <c r="L144" s="74" t="str">
        <f t="array" ref="L144">XLOOKUP(C:C,TSR_Completion!C:C,TSR_Completion!M:M)</f>
        <v>#N/A</v>
      </c>
      <c r="M144" s="4"/>
      <c r="N144" s="4"/>
      <c r="O144" s="4"/>
      <c r="P144" s="4"/>
      <c r="Q144" s="4"/>
      <c r="R144" s="4"/>
      <c r="S144" s="4"/>
      <c r="T144" s="4"/>
      <c r="U144" s="4"/>
      <c r="V144" s="4"/>
      <c r="W144" s="4"/>
      <c r="X144" s="4"/>
      <c r="Y144" s="4"/>
    </row>
    <row r="145">
      <c r="A145" s="6"/>
      <c r="B145" s="6" t="s">
        <v>158</v>
      </c>
      <c r="C145" s="6">
        <v>7.7000262157E10</v>
      </c>
      <c r="D145" s="72" t="str">
        <f t="array" ref="D145">XLOOKUP(C145,'Master Data'!C:C,'Master Data'!D:D)</f>
        <v>Baner</v>
      </c>
      <c r="E145" s="64" t="s">
        <v>846</v>
      </c>
      <c r="F145" s="72" t="str">
        <f t="array" ref="F145">XLOOKUP(C145,'Master Data'!C:C,'Master Data'!E:E)</f>
        <v>Manish Udapurkar </v>
      </c>
      <c r="G145" s="72" t="str">
        <f t="array" ref="G145">XLOOKUP(C145,'Master Data'!C:C,'Master Data'!F:F)</f>
        <v> Monali Udapurkar</v>
      </c>
      <c r="H145" s="72" t="str">
        <f t="array" ref="H145">XLOOKUP(C145,'Master Data'!C:C,'Master Data'!G:G)</f>
        <v>NRP (office space in Vj central, kharadi)</v>
      </c>
      <c r="I145" s="72" t="str">
        <f t="array" ref="I145">XLOOKUP(C145,'Master Data'!C:C,'Master Data'!H:H)</f>
        <v>Kharadi(Mahapalike madhe samavishta)S.No.38</v>
      </c>
      <c r="J145" s="75" t="s">
        <v>783</v>
      </c>
      <c r="K145" s="72" t="str">
        <f t="array" ref="K145">XLOOKUP(C145,'Master Data'!C:C,'Master Data'!J:J)</f>
        <v/>
      </c>
      <c r="L145" s="74" t="str">
        <f t="array" ref="L145">XLOOKUP(C:C,TSR_Completion!C:C,TSR_Completion!M:M)</f>
        <v>#N/A</v>
      </c>
      <c r="M145" s="4"/>
      <c r="N145" s="4"/>
      <c r="O145" s="4"/>
      <c r="P145" s="4"/>
      <c r="Q145" s="4"/>
      <c r="R145" s="4"/>
      <c r="S145" s="4"/>
      <c r="T145" s="4"/>
      <c r="U145" s="4"/>
      <c r="V145" s="4"/>
      <c r="W145" s="4"/>
      <c r="X145" s="4"/>
      <c r="Y145" s="4"/>
    </row>
    <row r="146">
      <c r="A146" s="6"/>
      <c r="B146" s="6" t="s">
        <v>158</v>
      </c>
      <c r="C146" s="6">
        <v>7.7000267932E10</v>
      </c>
      <c r="D146" s="72" t="str">
        <f t="array" ref="D146">XLOOKUP(C146,'Master Data'!C:C,'Master Data'!D:D)</f>
        <v>Chinchwad</v>
      </c>
      <c r="E146" s="64" t="s">
        <v>847</v>
      </c>
      <c r="F146" s="72" t="str">
        <f t="array" ref="F146">XLOOKUP(C146,'Master Data'!C:C,'Master Data'!E:E)</f>
        <v>Pramod Kavde</v>
      </c>
      <c r="G146" s="72" t="str">
        <f t="array" ref="G146">XLOOKUP(C146,'Master Data'!C:C,'Master Data'!F:F)</f>
        <v>yogesh kavde</v>
      </c>
      <c r="H146" s="72" t="str">
        <f t="array" ref="H146">XLOOKUP(C146,'Master Data'!C:C,'Master Data'!G:G)</f>
        <v/>
      </c>
      <c r="I146" s="72" t="str">
        <f t="array" ref="I146">XLOOKUP(C146,'Master Data'!C:C,'Master Data'!H:H)</f>
        <v>Marunji S.No.55</v>
      </c>
      <c r="J146" s="75" t="s">
        <v>787</v>
      </c>
      <c r="K146" s="72" t="str">
        <f t="array" ref="K146">XLOOKUP(C146,'Master Data'!C:C,'Master Data'!J:J)</f>
        <v/>
      </c>
      <c r="L146" s="74" t="str">
        <f t="array" ref="L146">XLOOKUP(C:C,TSR_Completion!C:C,TSR_Completion!M:M)</f>
        <v>#N/A</v>
      </c>
      <c r="M146" s="4"/>
      <c r="N146" s="4"/>
      <c r="O146" s="4"/>
      <c r="P146" s="4"/>
      <c r="Q146" s="4"/>
      <c r="R146" s="4"/>
      <c r="S146" s="4"/>
      <c r="T146" s="4"/>
      <c r="U146" s="4"/>
      <c r="V146" s="4"/>
      <c r="W146" s="4"/>
      <c r="X146" s="4"/>
      <c r="Y146" s="4"/>
    </row>
    <row r="147">
      <c r="A147" s="6"/>
      <c r="B147" s="6" t="s">
        <v>158</v>
      </c>
      <c r="C147" s="71" t="s">
        <v>12</v>
      </c>
      <c r="D147" s="72" t="str">
        <f t="array" ref="D147">XLOOKUP(C147,'Master Data'!C:C,'Master Data'!D:D)</f>
        <v/>
      </c>
      <c r="E147" s="73"/>
      <c r="F147" s="72" t="str">
        <f t="array" ref="F147">XLOOKUP(C147,'Master Data'!C:C,'Master Data'!E:E)</f>
        <v/>
      </c>
      <c r="G147" s="72" t="str">
        <f t="array" ref="G147">XLOOKUP(C147,'Master Data'!C:C,'Master Data'!F:F)</f>
        <v/>
      </c>
      <c r="H147" s="72" t="str">
        <f t="array" ref="H147">XLOOKUP(C147,'Master Data'!C:C,'Master Data'!G:G)</f>
        <v/>
      </c>
      <c r="I147" s="72" t="str">
        <f t="array" ref="I147">XLOOKUP(C147,'Master Data'!C:C,'Master Data'!H:H)</f>
        <v/>
      </c>
      <c r="J147" s="72" t="str">
        <f t="array" ref="J147">XLOOKUP(C147,'Master Data'!C:C,'Master Data'!I:I)</f>
        <v/>
      </c>
      <c r="K147" s="72" t="str">
        <f t="array" ref="K147">XLOOKUP(C147,'Master Data'!C:C,'Master Data'!J:J)</f>
        <v/>
      </c>
      <c r="L147" s="74" t="str">
        <f t="array" ref="L147">XLOOKUP(C:C,TSR_Completion!C:C,TSR_Completion!M:M)</f>
        <v/>
      </c>
      <c r="M147" s="4"/>
      <c r="N147" s="4"/>
      <c r="O147" s="4"/>
      <c r="P147" s="4"/>
      <c r="Q147" s="4"/>
      <c r="R147" s="4"/>
      <c r="S147" s="4"/>
      <c r="T147" s="4"/>
      <c r="U147" s="4"/>
      <c r="V147" s="4"/>
      <c r="W147" s="4"/>
      <c r="X147" s="4"/>
      <c r="Y147" s="4"/>
    </row>
    <row r="148">
      <c r="A148" s="6"/>
      <c r="B148" s="6" t="s">
        <v>158</v>
      </c>
      <c r="C148" s="71" t="s">
        <v>12</v>
      </c>
      <c r="D148" s="72" t="str">
        <f t="array" ref="D148">XLOOKUP(C148,'Master Data'!C:C,'Master Data'!D:D)</f>
        <v/>
      </c>
      <c r="E148" s="73"/>
      <c r="F148" s="72" t="str">
        <f t="array" ref="F148">XLOOKUP(C148,'Master Data'!C:C,'Master Data'!E:E)</f>
        <v/>
      </c>
      <c r="G148" s="72" t="str">
        <f t="array" ref="G148">XLOOKUP(C148,'Master Data'!C:C,'Master Data'!F:F)</f>
        <v/>
      </c>
      <c r="H148" s="72" t="str">
        <f t="array" ref="H148">XLOOKUP(C148,'Master Data'!C:C,'Master Data'!G:G)</f>
        <v/>
      </c>
      <c r="I148" s="72" t="str">
        <f t="array" ref="I148">XLOOKUP(C148,'Master Data'!C:C,'Master Data'!H:H)</f>
        <v/>
      </c>
      <c r="J148" s="72" t="str">
        <f t="array" ref="J148">XLOOKUP(C148,'Master Data'!C:C,'Master Data'!I:I)</f>
        <v/>
      </c>
      <c r="K148" s="72" t="str">
        <f t="array" ref="K148">XLOOKUP(C148,'Master Data'!C:C,'Master Data'!J:J)</f>
        <v/>
      </c>
      <c r="L148" s="74" t="str">
        <f t="array" ref="L148">XLOOKUP(C:C,TSR_Completion!C:C,TSR_Completion!M:M)</f>
        <v/>
      </c>
      <c r="M148" s="4"/>
      <c r="N148" s="4"/>
      <c r="O148" s="4"/>
      <c r="P148" s="4"/>
      <c r="Q148" s="4"/>
      <c r="R148" s="4"/>
      <c r="S148" s="4"/>
      <c r="T148" s="4"/>
      <c r="U148" s="4"/>
      <c r="V148" s="4"/>
      <c r="W148" s="4"/>
      <c r="X148" s="4"/>
      <c r="Y148" s="4"/>
    </row>
    <row r="149">
      <c r="A149" s="6"/>
      <c r="B149" s="6" t="s">
        <v>158</v>
      </c>
      <c r="C149" s="71" t="s">
        <v>12</v>
      </c>
      <c r="D149" s="72" t="str">
        <f t="array" ref="D149">XLOOKUP(C149,'Master Data'!C:C,'Master Data'!D:D)</f>
        <v/>
      </c>
      <c r="E149" s="73"/>
      <c r="F149" s="72" t="str">
        <f t="array" ref="F149">XLOOKUP(C149,'Master Data'!C:C,'Master Data'!E:E)</f>
        <v/>
      </c>
      <c r="G149" s="72" t="str">
        <f t="array" ref="G149">XLOOKUP(C149,'Master Data'!C:C,'Master Data'!F:F)</f>
        <v/>
      </c>
      <c r="H149" s="72" t="str">
        <f t="array" ref="H149">XLOOKUP(C149,'Master Data'!C:C,'Master Data'!G:G)</f>
        <v/>
      </c>
      <c r="I149" s="72" t="str">
        <f t="array" ref="I149">XLOOKUP(C149,'Master Data'!C:C,'Master Data'!H:H)</f>
        <v/>
      </c>
      <c r="J149" s="72" t="str">
        <f t="array" ref="J149">XLOOKUP(C149,'Master Data'!C:C,'Master Data'!I:I)</f>
        <v/>
      </c>
      <c r="K149" s="72" t="str">
        <f t="array" ref="K149">XLOOKUP(C149,'Master Data'!C:C,'Master Data'!J:J)</f>
        <v/>
      </c>
      <c r="L149" s="74" t="str">
        <f t="array" ref="L149">XLOOKUP(C:C,TSR_Completion!C:C,TSR_Completion!M:M)</f>
        <v/>
      </c>
      <c r="M149" s="4"/>
      <c r="N149" s="4"/>
      <c r="O149" s="4"/>
      <c r="P149" s="4"/>
      <c r="Q149" s="4"/>
      <c r="R149" s="4"/>
      <c r="S149" s="4"/>
      <c r="T149" s="4"/>
      <c r="U149" s="4"/>
      <c r="V149" s="4"/>
      <c r="W149" s="4"/>
      <c r="X149" s="4"/>
      <c r="Y149" s="4"/>
    </row>
    <row r="150">
      <c r="A150" s="6"/>
      <c r="B150" s="6" t="s">
        <v>158</v>
      </c>
      <c r="C150" s="71" t="s">
        <v>12</v>
      </c>
      <c r="D150" s="72" t="str">
        <f t="array" ref="D150">XLOOKUP(C150,'Master Data'!C:C,'Master Data'!D:D)</f>
        <v/>
      </c>
      <c r="E150" s="73"/>
      <c r="F150" s="72" t="str">
        <f t="array" ref="F150">XLOOKUP(C150,'Master Data'!C:C,'Master Data'!E:E)</f>
        <v/>
      </c>
      <c r="G150" s="72" t="str">
        <f t="array" ref="G150">XLOOKUP(C150,'Master Data'!C:C,'Master Data'!F:F)</f>
        <v/>
      </c>
      <c r="H150" s="72" t="str">
        <f t="array" ref="H150">XLOOKUP(C150,'Master Data'!C:C,'Master Data'!G:G)</f>
        <v/>
      </c>
      <c r="I150" s="72" t="str">
        <f t="array" ref="I150">XLOOKUP(C150,'Master Data'!C:C,'Master Data'!H:H)</f>
        <v/>
      </c>
      <c r="J150" s="72" t="str">
        <f t="array" ref="J150">XLOOKUP(C150,'Master Data'!C:C,'Master Data'!I:I)</f>
        <v/>
      </c>
      <c r="K150" s="72" t="str">
        <f t="array" ref="K150">XLOOKUP(C150,'Master Data'!C:C,'Master Data'!J:J)</f>
        <v/>
      </c>
      <c r="L150" s="74" t="str">
        <f t="array" ref="L150">XLOOKUP(C:C,TSR_Completion!C:C,TSR_Completion!M:M)</f>
        <v/>
      </c>
      <c r="M150" s="4"/>
      <c r="N150" s="4"/>
      <c r="O150" s="4"/>
      <c r="P150" s="4"/>
      <c r="Q150" s="4"/>
      <c r="R150" s="4"/>
      <c r="S150" s="4"/>
      <c r="T150" s="4"/>
      <c r="U150" s="4"/>
      <c r="V150" s="4"/>
      <c r="W150" s="4"/>
      <c r="X150" s="4"/>
      <c r="Y150" s="4"/>
    </row>
    <row r="151">
      <c r="A151" s="6"/>
      <c r="B151" s="6" t="s">
        <v>158</v>
      </c>
      <c r="C151" s="71" t="s">
        <v>12</v>
      </c>
      <c r="D151" s="72" t="str">
        <f t="array" ref="D151">XLOOKUP(C151,'Master Data'!C:C,'Master Data'!D:D)</f>
        <v/>
      </c>
      <c r="E151" s="73"/>
      <c r="F151" s="72" t="str">
        <f t="array" ref="F151">XLOOKUP(C151,'Master Data'!C:C,'Master Data'!E:E)</f>
        <v/>
      </c>
      <c r="G151" s="72" t="str">
        <f t="array" ref="G151">XLOOKUP(C151,'Master Data'!C:C,'Master Data'!F:F)</f>
        <v/>
      </c>
      <c r="H151" s="72" t="str">
        <f t="array" ref="H151">XLOOKUP(C151,'Master Data'!C:C,'Master Data'!G:G)</f>
        <v/>
      </c>
      <c r="I151" s="72" t="str">
        <f t="array" ref="I151">XLOOKUP(C151,'Master Data'!C:C,'Master Data'!H:H)</f>
        <v/>
      </c>
      <c r="J151" s="72" t="str">
        <f t="array" ref="J151">XLOOKUP(C151,'Master Data'!C:C,'Master Data'!I:I)</f>
        <v/>
      </c>
      <c r="K151" s="72" t="str">
        <f t="array" ref="K151">XLOOKUP(C151,'Master Data'!C:C,'Master Data'!J:J)</f>
        <v/>
      </c>
      <c r="L151" s="74" t="str">
        <f t="array" ref="L151">XLOOKUP(C:C,TSR_Completion!C:C,TSR_Completion!M:M)</f>
        <v/>
      </c>
      <c r="M151" s="4"/>
      <c r="N151" s="4"/>
      <c r="O151" s="4"/>
      <c r="P151" s="4"/>
      <c r="Q151" s="4"/>
      <c r="R151" s="4"/>
      <c r="S151" s="4"/>
      <c r="T151" s="4"/>
      <c r="U151" s="4"/>
      <c r="V151" s="4"/>
      <c r="W151" s="4"/>
      <c r="X151" s="4"/>
      <c r="Y151" s="4"/>
    </row>
    <row r="152">
      <c r="A152" s="6"/>
      <c r="B152" s="6" t="s">
        <v>158</v>
      </c>
      <c r="C152" s="71" t="s">
        <v>12</v>
      </c>
      <c r="D152" s="72" t="str">
        <f t="array" ref="D152">XLOOKUP(C152,'Master Data'!C:C,'Master Data'!D:D)</f>
        <v/>
      </c>
      <c r="E152" s="73"/>
      <c r="F152" s="72" t="str">
        <f t="array" ref="F152">XLOOKUP(C152,'Master Data'!C:C,'Master Data'!E:E)</f>
        <v/>
      </c>
      <c r="G152" s="72" t="str">
        <f t="array" ref="G152">XLOOKUP(C152,'Master Data'!C:C,'Master Data'!F:F)</f>
        <v/>
      </c>
      <c r="H152" s="72" t="str">
        <f t="array" ref="H152">XLOOKUP(C152,'Master Data'!C:C,'Master Data'!G:G)</f>
        <v/>
      </c>
      <c r="I152" s="72" t="str">
        <f t="array" ref="I152">XLOOKUP(C152,'Master Data'!C:C,'Master Data'!H:H)</f>
        <v/>
      </c>
      <c r="J152" s="72" t="str">
        <f t="array" ref="J152">XLOOKUP(C152,'Master Data'!C:C,'Master Data'!I:I)</f>
        <v/>
      </c>
      <c r="K152" s="72" t="str">
        <f t="array" ref="K152">XLOOKUP(C152,'Master Data'!C:C,'Master Data'!J:J)</f>
        <v/>
      </c>
      <c r="L152" s="74" t="str">
        <f t="array" ref="L152">XLOOKUP(C:C,TSR_Completion!C:C,TSR_Completion!M:M)</f>
        <v/>
      </c>
      <c r="M152" s="4"/>
      <c r="N152" s="4"/>
      <c r="O152" s="4"/>
      <c r="P152" s="4"/>
      <c r="Q152" s="4"/>
      <c r="R152" s="4"/>
      <c r="S152" s="4"/>
      <c r="T152" s="4"/>
      <c r="U152" s="4"/>
      <c r="V152" s="4"/>
      <c r="W152" s="4"/>
      <c r="X152" s="4"/>
      <c r="Y152" s="4"/>
    </row>
    <row r="153">
      <c r="A153" s="6"/>
      <c r="B153" s="6" t="s">
        <v>158</v>
      </c>
      <c r="C153" s="71" t="s">
        <v>12</v>
      </c>
      <c r="D153" s="72" t="str">
        <f t="array" ref="D153">XLOOKUP(C153,'Master Data'!C:C,'Master Data'!D:D)</f>
        <v/>
      </c>
      <c r="E153" s="73"/>
      <c r="F153" s="72" t="str">
        <f t="array" ref="F153">XLOOKUP(C153,'Master Data'!C:C,'Master Data'!E:E)</f>
        <v/>
      </c>
      <c r="G153" s="72" t="str">
        <f t="array" ref="G153">XLOOKUP(C153,'Master Data'!C:C,'Master Data'!F:F)</f>
        <v/>
      </c>
      <c r="H153" s="72" t="str">
        <f t="array" ref="H153">XLOOKUP(C153,'Master Data'!C:C,'Master Data'!G:G)</f>
        <v/>
      </c>
      <c r="I153" s="72" t="str">
        <f t="array" ref="I153">XLOOKUP(C153,'Master Data'!C:C,'Master Data'!H:H)</f>
        <v/>
      </c>
      <c r="J153" s="72" t="str">
        <f t="array" ref="J153">XLOOKUP(C153,'Master Data'!C:C,'Master Data'!I:I)</f>
        <v/>
      </c>
      <c r="K153" s="72" t="str">
        <f t="array" ref="K153">XLOOKUP(C153,'Master Data'!C:C,'Master Data'!J:J)</f>
        <v/>
      </c>
      <c r="L153" s="74" t="str">
        <f t="array" ref="L153">XLOOKUP(C:C,TSR_Completion!C:C,TSR_Completion!M:M)</f>
        <v/>
      </c>
      <c r="M153" s="4"/>
      <c r="N153" s="4"/>
      <c r="O153" s="4"/>
      <c r="P153" s="4"/>
      <c r="Q153" s="4"/>
      <c r="R153" s="4"/>
      <c r="S153" s="4"/>
      <c r="T153" s="4"/>
      <c r="U153" s="4"/>
      <c r="V153" s="4"/>
      <c r="W153" s="4"/>
      <c r="X153" s="4"/>
      <c r="Y153" s="4"/>
    </row>
    <row r="154">
      <c r="A154" s="6"/>
      <c r="B154" s="6" t="s">
        <v>158</v>
      </c>
      <c r="C154" s="71" t="s">
        <v>12</v>
      </c>
      <c r="D154" s="72" t="str">
        <f t="array" ref="D154">XLOOKUP(C154,'Master Data'!C:C,'Master Data'!D:D)</f>
        <v/>
      </c>
      <c r="E154" s="73"/>
      <c r="F154" s="72" t="str">
        <f t="array" ref="F154">XLOOKUP(C154,'Master Data'!C:C,'Master Data'!E:E)</f>
        <v/>
      </c>
      <c r="G154" s="72" t="str">
        <f t="array" ref="G154">XLOOKUP(C154,'Master Data'!C:C,'Master Data'!F:F)</f>
        <v/>
      </c>
      <c r="H154" s="72" t="str">
        <f t="array" ref="H154">XLOOKUP(C154,'Master Data'!C:C,'Master Data'!G:G)</f>
        <v/>
      </c>
      <c r="I154" s="72" t="str">
        <f t="array" ref="I154">XLOOKUP(C154,'Master Data'!C:C,'Master Data'!H:H)</f>
        <v/>
      </c>
      <c r="J154" s="72" t="str">
        <f t="array" ref="J154">XLOOKUP(C154,'Master Data'!C:C,'Master Data'!I:I)</f>
        <v/>
      </c>
      <c r="K154" s="72" t="str">
        <f t="array" ref="K154">XLOOKUP(C154,'Master Data'!C:C,'Master Data'!J:J)</f>
        <v/>
      </c>
      <c r="L154" s="74" t="str">
        <f t="array" ref="L154">XLOOKUP(C:C,TSR_Completion!C:C,TSR_Completion!M:M)</f>
        <v/>
      </c>
      <c r="M154" s="4"/>
      <c r="N154" s="4"/>
      <c r="O154" s="4"/>
      <c r="P154" s="4"/>
      <c r="Q154" s="4"/>
      <c r="R154" s="4"/>
      <c r="S154" s="4"/>
      <c r="T154" s="4"/>
      <c r="U154" s="4"/>
      <c r="V154" s="4"/>
      <c r="W154" s="4"/>
      <c r="X154" s="4"/>
      <c r="Y154" s="4"/>
    </row>
    <row r="155">
      <c r="A155" s="6"/>
      <c r="B155" s="6" t="s">
        <v>158</v>
      </c>
      <c r="C155" s="71" t="s">
        <v>12</v>
      </c>
      <c r="D155" s="72" t="str">
        <f t="array" ref="D155">XLOOKUP(C155,'Master Data'!C:C,'Master Data'!D:D)</f>
        <v/>
      </c>
      <c r="E155" s="73"/>
      <c r="F155" s="72" t="str">
        <f t="array" ref="F155">XLOOKUP(C155,'Master Data'!C:C,'Master Data'!E:E)</f>
        <v/>
      </c>
      <c r="G155" s="72" t="str">
        <f t="array" ref="G155">XLOOKUP(C155,'Master Data'!C:C,'Master Data'!F:F)</f>
        <v/>
      </c>
      <c r="H155" s="72" t="str">
        <f t="array" ref="H155">XLOOKUP(C155,'Master Data'!C:C,'Master Data'!G:G)</f>
        <v/>
      </c>
      <c r="I155" s="72" t="str">
        <f t="array" ref="I155">XLOOKUP(C155,'Master Data'!C:C,'Master Data'!H:H)</f>
        <v/>
      </c>
      <c r="J155" s="72" t="str">
        <f t="array" ref="J155">XLOOKUP(C155,'Master Data'!C:C,'Master Data'!I:I)</f>
        <v/>
      </c>
      <c r="K155" s="72" t="str">
        <f t="array" ref="K155">XLOOKUP(C155,'Master Data'!C:C,'Master Data'!J:J)</f>
        <v/>
      </c>
      <c r="L155" s="74" t="str">
        <f t="array" ref="L155">XLOOKUP(C:C,TSR_Completion!C:C,TSR_Completion!M:M)</f>
        <v/>
      </c>
      <c r="M155" s="4"/>
      <c r="N155" s="4"/>
      <c r="O155" s="4"/>
      <c r="P155" s="4"/>
      <c r="Q155" s="4"/>
      <c r="R155" s="4"/>
      <c r="S155" s="4"/>
      <c r="T155" s="4"/>
      <c r="U155" s="4"/>
      <c r="V155" s="4"/>
      <c r="W155" s="4"/>
      <c r="X155" s="4"/>
      <c r="Y155" s="4"/>
    </row>
    <row r="156">
      <c r="A156" s="6"/>
      <c r="B156" s="6" t="s">
        <v>158</v>
      </c>
      <c r="C156" s="71" t="s">
        <v>12</v>
      </c>
      <c r="D156" s="72" t="str">
        <f t="array" ref="D156">XLOOKUP(C156,'Master Data'!C:C,'Master Data'!D:D)</f>
        <v/>
      </c>
      <c r="E156" s="73"/>
      <c r="F156" s="72" t="str">
        <f t="array" ref="F156">XLOOKUP(C156,'Master Data'!C:C,'Master Data'!E:E)</f>
        <v/>
      </c>
      <c r="G156" s="72" t="str">
        <f t="array" ref="G156">XLOOKUP(C156,'Master Data'!C:C,'Master Data'!F:F)</f>
        <v/>
      </c>
      <c r="H156" s="72" t="str">
        <f t="array" ref="H156">XLOOKUP(C156,'Master Data'!C:C,'Master Data'!G:G)</f>
        <v/>
      </c>
      <c r="I156" s="72" t="str">
        <f t="array" ref="I156">XLOOKUP(C156,'Master Data'!C:C,'Master Data'!H:H)</f>
        <v/>
      </c>
      <c r="J156" s="72" t="str">
        <f t="array" ref="J156">XLOOKUP(C156,'Master Data'!C:C,'Master Data'!I:I)</f>
        <v/>
      </c>
      <c r="K156" s="72" t="str">
        <f t="array" ref="K156">XLOOKUP(C156,'Master Data'!C:C,'Master Data'!J:J)</f>
        <v/>
      </c>
      <c r="L156" s="74" t="str">
        <f t="array" ref="L156">XLOOKUP(C:C,TSR_Completion!C:C,TSR_Completion!M:M)</f>
        <v/>
      </c>
      <c r="M156" s="4"/>
      <c r="N156" s="4"/>
      <c r="O156" s="4"/>
      <c r="P156" s="4"/>
      <c r="Q156" s="4"/>
      <c r="R156" s="4"/>
      <c r="S156" s="4"/>
      <c r="T156" s="4"/>
      <c r="U156" s="4"/>
      <c r="V156" s="4"/>
      <c r="W156" s="4"/>
      <c r="X156" s="4"/>
      <c r="Y156" s="4"/>
    </row>
    <row r="157">
      <c r="A157" s="6"/>
      <c r="B157" s="6" t="s">
        <v>158</v>
      </c>
      <c r="C157" s="71" t="s">
        <v>12</v>
      </c>
      <c r="D157" s="72" t="str">
        <f t="array" ref="D157">XLOOKUP(C157,'Master Data'!C:C,'Master Data'!D:D)</f>
        <v/>
      </c>
      <c r="E157" s="73"/>
      <c r="F157" s="72" t="str">
        <f t="array" ref="F157">XLOOKUP(C157,'Master Data'!C:C,'Master Data'!E:E)</f>
        <v/>
      </c>
      <c r="G157" s="72" t="str">
        <f t="array" ref="G157">XLOOKUP(C157,'Master Data'!C:C,'Master Data'!F:F)</f>
        <v/>
      </c>
      <c r="H157" s="72" t="str">
        <f t="array" ref="H157">XLOOKUP(C157,'Master Data'!C:C,'Master Data'!G:G)</f>
        <v/>
      </c>
      <c r="I157" s="72" t="str">
        <f t="array" ref="I157">XLOOKUP(C157,'Master Data'!C:C,'Master Data'!H:H)</f>
        <v/>
      </c>
      <c r="J157" s="72" t="str">
        <f t="array" ref="J157">XLOOKUP(C157,'Master Data'!C:C,'Master Data'!I:I)</f>
        <v/>
      </c>
      <c r="K157" s="72" t="str">
        <f t="array" ref="K157">XLOOKUP(C157,'Master Data'!C:C,'Master Data'!J:J)</f>
        <v/>
      </c>
      <c r="L157" s="74" t="str">
        <f t="array" ref="L157">XLOOKUP(C:C,TSR_Completion!C:C,TSR_Completion!M:M)</f>
        <v/>
      </c>
      <c r="M157" s="4"/>
      <c r="N157" s="4"/>
      <c r="O157" s="4"/>
      <c r="P157" s="4"/>
      <c r="Q157" s="4"/>
      <c r="R157" s="4"/>
      <c r="S157" s="4"/>
      <c r="T157" s="4"/>
      <c r="U157" s="4"/>
      <c r="V157" s="4"/>
      <c r="W157" s="4"/>
      <c r="X157" s="4"/>
      <c r="Y157" s="4"/>
    </row>
    <row r="158">
      <c r="A158" s="6"/>
      <c r="B158" s="6" t="s">
        <v>158</v>
      </c>
      <c r="C158" s="71" t="s">
        <v>12</v>
      </c>
      <c r="D158" s="72" t="str">
        <f t="array" ref="D158">XLOOKUP(C158,'Master Data'!C:C,'Master Data'!D:D)</f>
        <v/>
      </c>
      <c r="E158" s="73"/>
      <c r="F158" s="72" t="str">
        <f t="array" ref="F158">XLOOKUP(C158,'Master Data'!C:C,'Master Data'!E:E)</f>
        <v/>
      </c>
      <c r="G158" s="72" t="str">
        <f t="array" ref="G158">XLOOKUP(C158,'Master Data'!C:C,'Master Data'!F:F)</f>
        <v/>
      </c>
      <c r="H158" s="72" t="str">
        <f t="array" ref="H158">XLOOKUP(C158,'Master Data'!C:C,'Master Data'!G:G)</f>
        <v/>
      </c>
      <c r="I158" s="72" t="str">
        <f t="array" ref="I158">XLOOKUP(C158,'Master Data'!C:C,'Master Data'!H:H)</f>
        <v/>
      </c>
      <c r="J158" s="72" t="str">
        <f t="array" ref="J158">XLOOKUP(C158,'Master Data'!C:C,'Master Data'!I:I)</f>
        <v/>
      </c>
      <c r="K158" s="72" t="str">
        <f t="array" ref="K158">XLOOKUP(C158,'Master Data'!C:C,'Master Data'!J:J)</f>
        <v/>
      </c>
      <c r="L158" s="74" t="str">
        <f t="array" ref="L158">XLOOKUP(C:C,TSR_Completion!C:C,TSR_Completion!M:M)</f>
        <v/>
      </c>
      <c r="M158" s="4"/>
      <c r="N158" s="4"/>
      <c r="O158" s="4"/>
      <c r="P158" s="4"/>
      <c r="Q158" s="4"/>
      <c r="R158" s="4"/>
      <c r="S158" s="4"/>
      <c r="T158" s="4"/>
      <c r="U158" s="4"/>
      <c r="V158" s="4"/>
      <c r="W158" s="4"/>
      <c r="X158" s="4"/>
      <c r="Y158" s="4"/>
    </row>
    <row r="159">
      <c r="A159" s="6"/>
      <c r="B159" s="6" t="s">
        <v>158</v>
      </c>
      <c r="C159" s="71" t="s">
        <v>12</v>
      </c>
      <c r="D159" s="72" t="str">
        <f t="array" ref="D159">XLOOKUP(C159,'Master Data'!C:C,'Master Data'!D:D)</f>
        <v/>
      </c>
      <c r="E159" s="73"/>
      <c r="F159" s="72" t="str">
        <f t="array" ref="F159">XLOOKUP(C159,'Master Data'!C:C,'Master Data'!E:E)</f>
        <v/>
      </c>
      <c r="G159" s="72" t="str">
        <f t="array" ref="G159">XLOOKUP(C159,'Master Data'!C:C,'Master Data'!F:F)</f>
        <v/>
      </c>
      <c r="H159" s="72" t="str">
        <f t="array" ref="H159">XLOOKUP(C159,'Master Data'!C:C,'Master Data'!G:G)</f>
        <v/>
      </c>
      <c r="I159" s="72" t="str">
        <f t="array" ref="I159">XLOOKUP(C159,'Master Data'!C:C,'Master Data'!H:H)</f>
        <v/>
      </c>
      <c r="J159" s="72" t="str">
        <f t="array" ref="J159">XLOOKUP(C159,'Master Data'!C:C,'Master Data'!I:I)</f>
        <v/>
      </c>
      <c r="K159" s="72" t="str">
        <f t="array" ref="K159">XLOOKUP(C159,'Master Data'!C:C,'Master Data'!J:J)</f>
        <v/>
      </c>
      <c r="L159" s="74" t="str">
        <f t="array" ref="L159">XLOOKUP(C:C,TSR_Completion!C:C,TSR_Completion!M:M)</f>
        <v/>
      </c>
      <c r="M159" s="4"/>
      <c r="N159" s="4"/>
      <c r="O159" s="4"/>
      <c r="P159" s="4"/>
      <c r="Q159" s="4"/>
      <c r="R159" s="4"/>
      <c r="S159" s="4"/>
      <c r="T159" s="4"/>
      <c r="U159" s="4"/>
      <c r="V159" s="4"/>
      <c r="W159" s="4"/>
      <c r="X159" s="4"/>
      <c r="Y159" s="4"/>
    </row>
    <row r="160">
      <c r="A160" s="6"/>
      <c r="B160" s="6" t="s">
        <v>158</v>
      </c>
      <c r="C160" s="71" t="s">
        <v>12</v>
      </c>
      <c r="D160" s="72" t="str">
        <f t="array" ref="D160">XLOOKUP(C160,'Master Data'!C:C,'Master Data'!D:D)</f>
        <v/>
      </c>
      <c r="E160" s="73"/>
      <c r="F160" s="72" t="str">
        <f t="array" ref="F160">XLOOKUP(C160,'Master Data'!C:C,'Master Data'!E:E)</f>
        <v/>
      </c>
      <c r="G160" s="72" t="str">
        <f t="array" ref="G160">XLOOKUP(C160,'Master Data'!C:C,'Master Data'!F:F)</f>
        <v/>
      </c>
      <c r="H160" s="72" t="str">
        <f t="array" ref="H160">XLOOKUP(C160,'Master Data'!C:C,'Master Data'!G:G)</f>
        <v/>
      </c>
      <c r="I160" s="72" t="str">
        <f t="array" ref="I160">XLOOKUP(C160,'Master Data'!C:C,'Master Data'!H:H)</f>
        <v/>
      </c>
      <c r="J160" s="72" t="str">
        <f t="array" ref="J160">XLOOKUP(C160,'Master Data'!C:C,'Master Data'!I:I)</f>
        <v/>
      </c>
      <c r="K160" s="72" t="str">
        <f t="array" ref="K160">XLOOKUP(C160,'Master Data'!C:C,'Master Data'!J:J)</f>
        <v/>
      </c>
      <c r="L160" s="74" t="str">
        <f t="array" ref="L160">XLOOKUP(C:C,TSR_Completion!C:C,TSR_Completion!M:M)</f>
        <v/>
      </c>
      <c r="M160" s="4"/>
      <c r="N160" s="4"/>
      <c r="O160" s="4"/>
      <c r="P160" s="4"/>
      <c r="Q160" s="4"/>
      <c r="R160" s="4"/>
      <c r="S160" s="4"/>
      <c r="T160" s="4"/>
      <c r="U160" s="4"/>
      <c r="V160" s="4"/>
      <c r="W160" s="4"/>
      <c r="X160" s="4"/>
      <c r="Y160" s="4"/>
    </row>
    <row r="161">
      <c r="A161" s="6"/>
      <c r="B161" s="6" t="s">
        <v>158</v>
      </c>
      <c r="C161" s="71" t="s">
        <v>12</v>
      </c>
      <c r="D161" s="72" t="str">
        <f t="array" ref="D161">XLOOKUP(C161,'Master Data'!C:C,'Master Data'!D:D)</f>
        <v/>
      </c>
      <c r="E161" s="73"/>
      <c r="F161" s="72" t="str">
        <f t="array" ref="F161">XLOOKUP(C161,'Master Data'!C:C,'Master Data'!E:E)</f>
        <v/>
      </c>
      <c r="G161" s="72" t="str">
        <f t="array" ref="G161">XLOOKUP(C161,'Master Data'!C:C,'Master Data'!F:F)</f>
        <v/>
      </c>
      <c r="H161" s="72" t="str">
        <f t="array" ref="H161">XLOOKUP(C161,'Master Data'!C:C,'Master Data'!G:G)</f>
        <v/>
      </c>
      <c r="I161" s="72" t="str">
        <f t="array" ref="I161">XLOOKUP(C161,'Master Data'!C:C,'Master Data'!H:H)</f>
        <v/>
      </c>
      <c r="J161" s="72" t="str">
        <f t="array" ref="J161">XLOOKUP(C161,'Master Data'!C:C,'Master Data'!I:I)</f>
        <v/>
      </c>
      <c r="K161" s="72" t="str">
        <f t="array" ref="K161">XLOOKUP(C161,'Master Data'!C:C,'Master Data'!J:J)</f>
        <v/>
      </c>
      <c r="L161" s="74" t="str">
        <f t="array" ref="L161">XLOOKUP(C:C,TSR_Completion!C:C,TSR_Completion!M:M)</f>
        <v/>
      </c>
      <c r="M161" s="4"/>
      <c r="N161" s="4"/>
      <c r="O161" s="4"/>
      <c r="P161" s="4"/>
      <c r="Q161" s="4"/>
      <c r="R161" s="4"/>
      <c r="S161" s="4"/>
      <c r="T161" s="4"/>
      <c r="U161" s="4"/>
      <c r="V161" s="4"/>
      <c r="W161" s="4"/>
      <c r="X161" s="4"/>
      <c r="Y161" s="4"/>
    </row>
    <row r="162">
      <c r="A162" s="6"/>
      <c r="B162" s="6" t="s">
        <v>158</v>
      </c>
      <c r="C162" s="71" t="s">
        <v>12</v>
      </c>
      <c r="D162" s="72" t="str">
        <f t="array" ref="D162">XLOOKUP(C162,'Master Data'!C:C,'Master Data'!D:D)</f>
        <v/>
      </c>
      <c r="E162" s="73"/>
      <c r="F162" s="72" t="str">
        <f t="array" ref="F162">XLOOKUP(C162,'Master Data'!C:C,'Master Data'!E:E)</f>
        <v/>
      </c>
      <c r="G162" s="72" t="str">
        <f t="array" ref="G162">XLOOKUP(C162,'Master Data'!C:C,'Master Data'!F:F)</f>
        <v/>
      </c>
      <c r="H162" s="72" t="str">
        <f t="array" ref="H162">XLOOKUP(C162,'Master Data'!C:C,'Master Data'!G:G)</f>
        <v/>
      </c>
      <c r="I162" s="72" t="str">
        <f t="array" ref="I162">XLOOKUP(C162,'Master Data'!C:C,'Master Data'!H:H)</f>
        <v/>
      </c>
      <c r="J162" s="72" t="str">
        <f t="array" ref="J162">XLOOKUP(C162,'Master Data'!C:C,'Master Data'!I:I)</f>
        <v/>
      </c>
      <c r="K162" s="72" t="str">
        <f t="array" ref="K162">XLOOKUP(C162,'Master Data'!C:C,'Master Data'!J:J)</f>
        <v/>
      </c>
      <c r="L162" s="74" t="str">
        <f t="array" ref="L162">XLOOKUP(C:C,TSR_Completion!C:C,TSR_Completion!M:M)</f>
        <v/>
      </c>
      <c r="M162" s="4"/>
      <c r="N162" s="4"/>
      <c r="O162" s="4"/>
      <c r="P162" s="4"/>
      <c r="Q162" s="4"/>
      <c r="R162" s="4"/>
      <c r="S162" s="4"/>
      <c r="T162" s="4"/>
      <c r="U162" s="4"/>
      <c r="V162" s="4"/>
      <c r="W162" s="4"/>
      <c r="X162" s="4"/>
      <c r="Y162" s="4"/>
    </row>
    <row r="163">
      <c r="A163" s="6"/>
      <c r="B163" s="6" t="s">
        <v>158</v>
      </c>
      <c r="C163" s="71" t="s">
        <v>12</v>
      </c>
      <c r="D163" s="72" t="str">
        <f t="array" ref="D163">XLOOKUP(C163,'Master Data'!C:C,'Master Data'!D:D)</f>
        <v/>
      </c>
      <c r="E163" s="73"/>
      <c r="F163" s="72" t="str">
        <f t="array" ref="F163">XLOOKUP(C163,'Master Data'!C:C,'Master Data'!E:E)</f>
        <v/>
      </c>
      <c r="G163" s="72" t="str">
        <f t="array" ref="G163">XLOOKUP(C163,'Master Data'!C:C,'Master Data'!F:F)</f>
        <v/>
      </c>
      <c r="H163" s="72" t="str">
        <f t="array" ref="H163">XLOOKUP(C163,'Master Data'!C:C,'Master Data'!G:G)</f>
        <v/>
      </c>
      <c r="I163" s="72" t="str">
        <f t="array" ref="I163">XLOOKUP(C163,'Master Data'!C:C,'Master Data'!H:H)</f>
        <v/>
      </c>
      <c r="J163" s="72" t="str">
        <f t="array" ref="J163">XLOOKUP(C163,'Master Data'!C:C,'Master Data'!I:I)</f>
        <v/>
      </c>
      <c r="K163" s="72" t="str">
        <f t="array" ref="K163">XLOOKUP(C163,'Master Data'!C:C,'Master Data'!J:J)</f>
        <v/>
      </c>
      <c r="L163" s="74" t="str">
        <f t="array" ref="L163">XLOOKUP(C:C,TSR_Completion!C:C,TSR_Completion!M:M)</f>
        <v/>
      </c>
      <c r="M163" s="4"/>
      <c r="N163" s="4"/>
      <c r="O163" s="4"/>
      <c r="P163" s="4"/>
      <c r="Q163" s="4"/>
      <c r="R163" s="4"/>
      <c r="S163" s="4"/>
      <c r="T163" s="4"/>
      <c r="U163" s="4"/>
      <c r="V163" s="4"/>
      <c r="W163" s="4"/>
      <c r="X163" s="4"/>
      <c r="Y163" s="4"/>
    </row>
    <row r="164">
      <c r="A164" s="6"/>
      <c r="B164" s="6" t="s">
        <v>158</v>
      </c>
      <c r="C164" s="71" t="s">
        <v>12</v>
      </c>
      <c r="D164" s="72" t="str">
        <f t="array" ref="D164">XLOOKUP(C164,'Master Data'!C:C,'Master Data'!D:D)</f>
        <v/>
      </c>
      <c r="E164" s="73"/>
      <c r="F164" s="72" t="str">
        <f t="array" ref="F164">XLOOKUP(C164,'Master Data'!C:C,'Master Data'!E:E)</f>
        <v/>
      </c>
      <c r="G164" s="72" t="str">
        <f t="array" ref="G164">XLOOKUP(C164,'Master Data'!C:C,'Master Data'!F:F)</f>
        <v/>
      </c>
      <c r="H164" s="72" t="str">
        <f t="array" ref="H164">XLOOKUP(C164,'Master Data'!C:C,'Master Data'!G:G)</f>
        <v/>
      </c>
      <c r="I164" s="72" t="str">
        <f t="array" ref="I164">XLOOKUP(C164,'Master Data'!C:C,'Master Data'!H:H)</f>
        <v/>
      </c>
      <c r="J164" s="72" t="str">
        <f t="array" ref="J164">XLOOKUP(C164,'Master Data'!C:C,'Master Data'!I:I)</f>
        <v/>
      </c>
      <c r="K164" s="72" t="str">
        <f t="array" ref="K164">XLOOKUP(C164,'Master Data'!C:C,'Master Data'!J:J)</f>
        <v/>
      </c>
      <c r="L164" s="74" t="str">
        <f t="array" ref="L164">XLOOKUP(C:C,TSR_Completion!C:C,TSR_Completion!M:M)</f>
        <v/>
      </c>
      <c r="M164" s="4"/>
      <c r="N164" s="4"/>
      <c r="O164" s="4"/>
      <c r="P164" s="4"/>
      <c r="Q164" s="4"/>
      <c r="R164" s="4"/>
      <c r="S164" s="4"/>
      <c r="T164" s="4"/>
      <c r="U164" s="4"/>
      <c r="V164" s="4"/>
      <c r="W164" s="4"/>
      <c r="X164" s="4"/>
      <c r="Y164" s="4"/>
    </row>
    <row r="165">
      <c r="A165" s="6"/>
      <c r="B165" s="6" t="s">
        <v>158</v>
      </c>
      <c r="C165" s="71" t="s">
        <v>12</v>
      </c>
      <c r="D165" s="72" t="str">
        <f t="array" ref="D165">XLOOKUP(C165,'Master Data'!C:C,'Master Data'!D:D)</f>
        <v/>
      </c>
      <c r="E165" s="73"/>
      <c r="F165" s="72" t="str">
        <f t="array" ref="F165">XLOOKUP(C165,'Master Data'!C:C,'Master Data'!E:E)</f>
        <v/>
      </c>
      <c r="G165" s="72" t="str">
        <f t="array" ref="G165">XLOOKUP(C165,'Master Data'!C:C,'Master Data'!F:F)</f>
        <v/>
      </c>
      <c r="H165" s="72" t="str">
        <f t="array" ref="H165">XLOOKUP(C165,'Master Data'!C:C,'Master Data'!G:G)</f>
        <v/>
      </c>
      <c r="I165" s="72" t="str">
        <f t="array" ref="I165">XLOOKUP(C165,'Master Data'!C:C,'Master Data'!H:H)</f>
        <v/>
      </c>
      <c r="J165" s="72" t="str">
        <f t="array" ref="J165">XLOOKUP(C165,'Master Data'!C:C,'Master Data'!I:I)</f>
        <v/>
      </c>
      <c r="K165" s="72" t="str">
        <f t="array" ref="K165">XLOOKUP(C165,'Master Data'!C:C,'Master Data'!J:J)</f>
        <v/>
      </c>
      <c r="L165" s="74" t="str">
        <f t="array" ref="L165">XLOOKUP(C:C,TSR_Completion!C:C,TSR_Completion!M:M)</f>
        <v/>
      </c>
      <c r="M165" s="4"/>
      <c r="N165" s="4"/>
      <c r="O165" s="4"/>
      <c r="P165" s="4"/>
      <c r="Q165" s="4"/>
      <c r="R165" s="4"/>
      <c r="S165" s="4"/>
      <c r="T165" s="4"/>
      <c r="U165" s="4"/>
      <c r="V165" s="4"/>
      <c r="W165" s="4"/>
      <c r="X165" s="4"/>
      <c r="Y165" s="4"/>
    </row>
    <row r="166">
      <c r="A166" s="6"/>
      <c r="B166" s="6" t="s">
        <v>158</v>
      </c>
      <c r="C166" s="71" t="s">
        <v>12</v>
      </c>
      <c r="D166" s="72" t="str">
        <f t="array" ref="D166">XLOOKUP(C166,'Master Data'!C:C,'Master Data'!D:D)</f>
        <v/>
      </c>
      <c r="E166" s="73"/>
      <c r="F166" s="72" t="str">
        <f t="array" ref="F166">XLOOKUP(C166,'Master Data'!C:C,'Master Data'!E:E)</f>
        <v/>
      </c>
      <c r="G166" s="72" t="str">
        <f t="array" ref="G166">XLOOKUP(C166,'Master Data'!C:C,'Master Data'!F:F)</f>
        <v/>
      </c>
      <c r="H166" s="72" t="str">
        <f t="array" ref="H166">XLOOKUP(C166,'Master Data'!C:C,'Master Data'!G:G)</f>
        <v/>
      </c>
      <c r="I166" s="72" t="str">
        <f t="array" ref="I166">XLOOKUP(C166,'Master Data'!C:C,'Master Data'!H:H)</f>
        <v/>
      </c>
      <c r="J166" s="72" t="str">
        <f t="array" ref="J166">XLOOKUP(C166,'Master Data'!C:C,'Master Data'!I:I)</f>
        <v/>
      </c>
      <c r="K166" s="72" t="str">
        <f t="array" ref="K166">XLOOKUP(C166,'Master Data'!C:C,'Master Data'!J:J)</f>
        <v/>
      </c>
      <c r="L166" s="74" t="str">
        <f t="array" ref="L166">XLOOKUP(C:C,TSR_Completion!C:C,TSR_Completion!M:M)</f>
        <v/>
      </c>
      <c r="M166" s="4"/>
      <c r="N166" s="4"/>
      <c r="O166" s="4"/>
      <c r="P166" s="4"/>
      <c r="Q166" s="4"/>
      <c r="R166" s="4"/>
      <c r="S166" s="4"/>
      <c r="T166" s="4"/>
      <c r="U166" s="4"/>
      <c r="V166" s="4"/>
      <c r="W166" s="4"/>
      <c r="X166" s="4"/>
      <c r="Y166" s="4"/>
    </row>
    <row r="167">
      <c r="A167" s="6"/>
      <c r="B167" s="6" t="s">
        <v>158</v>
      </c>
      <c r="C167" s="71" t="s">
        <v>12</v>
      </c>
      <c r="D167" s="72" t="str">
        <f t="array" ref="D167">XLOOKUP(C167,'Master Data'!C:C,'Master Data'!D:D)</f>
        <v/>
      </c>
      <c r="E167" s="73"/>
      <c r="F167" s="72" t="str">
        <f t="array" ref="F167">XLOOKUP(C167,'Master Data'!C:C,'Master Data'!E:E)</f>
        <v/>
      </c>
      <c r="G167" s="72" t="str">
        <f t="array" ref="G167">XLOOKUP(C167,'Master Data'!C:C,'Master Data'!F:F)</f>
        <v/>
      </c>
      <c r="H167" s="72" t="str">
        <f t="array" ref="H167">XLOOKUP(C167,'Master Data'!C:C,'Master Data'!G:G)</f>
        <v/>
      </c>
      <c r="I167" s="72" t="str">
        <f t="array" ref="I167">XLOOKUP(C167,'Master Data'!C:C,'Master Data'!H:H)</f>
        <v/>
      </c>
      <c r="J167" s="72" t="str">
        <f t="array" ref="J167">XLOOKUP(C167,'Master Data'!C:C,'Master Data'!I:I)</f>
        <v/>
      </c>
      <c r="K167" s="72" t="str">
        <f t="array" ref="K167">XLOOKUP(C167,'Master Data'!C:C,'Master Data'!J:J)</f>
        <v/>
      </c>
      <c r="L167" s="74" t="str">
        <f t="array" ref="L167">XLOOKUP(C:C,TSR_Completion!C:C,TSR_Completion!M:M)</f>
        <v/>
      </c>
      <c r="M167" s="4"/>
      <c r="N167" s="4"/>
      <c r="O167" s="4"/>
      <c r="P167" s="4"/>
      <c r="Q167" s="4"/>
      <c r="R167" s="4"/>
      <c r="S167" s="4"/>
      <c r="T167" s="4"/>
      <c r="U167" s="4"/>
      <c r="V167" s="4"/>
      <c r="W167" s="4"/>
      <c r="X167" s="4"/>
      <c r="Y167" s="4"/>
    </row>
    <row r="168">
      <c r="A168" s="6"/>
      <c r="B168" s="6" t="s">
        <v>158</v>
      </c>
      <c r="C168" s="71" t="s">
        <v>12</v>
      </c>
      <c r="D168" s="72" t="str">
        <f t="array" ref="D168">XLOOKUP(C168,'Master Data'!C:C,'Master Data'!D:D)</f>
        <v/>
      </c>
      <c r="E168" s="73"/>
      <c r="F168" s="72" t="str">
        <f t="array" ref="F168">XLOOKUP(C168,'Master Data'!C:C,'Master Data'!E:E)</f>
        <v/>
      </c>
      <c r="G168" s="72" t="str">
        <f t="array" ref="G168">XLOOKUP(C168,'Master Data'!C:C,'Master Data'!F:F)</f>
        <v/>
      </c>
      <c r="H168" s="72" t="str">
        <f t="array" ref="H168">XLOOKUP(C168,'Master Data'!C:C,'Master Data'!G:G)</f>
        <v/>
      </c>
      <c r="I168" s="72" t="str">
        <f t="array" ref="I168">XLOOKUP(C168,'Master Data'!C:C,'Master Data'!H:H)</f>
        <v/>
      </c>
      <c r="J168" s="72" t="str">
        <f t="array" ref="J168">XLOOKUP(C168,'Master Data'!C:C,'Master Data'!I:I)</f>
        <v/>
      </c>
      <c r="K168" s="72" t="str">
        <f t="array" ref="K168">XLOOKUP(C168,'Master Data'!C:C,'Master Data'!J:J)</f>
        <v/>
      </c>
      <c r="L168" s="74" t="str">
        <f t="array" ref="L168">XLOOKUP(C:C,TSR_Completion!C:C,TSR_Completion!M:M)</f>
        <v/>
      </c>
      <c r="M168" s="4"/>
      <c r="N168" s="4"/>
      <c r="O168" s="4"/>
      <c r="P168" s="4"/>
      <c r="Q168" s="4"/>
      <c r="R168" s="4"/>
      <c r="S168" s="4"/>
      <c r="T168" s="4"/>
      <c r="U168" s="4"/>
      <c r="V168" s="4"/>
      <c r="W168" s="4"/>
      <c r="X168" s="4"/>
      <c r="Y168" s="4"/>
    </row>
    <row r="169">
      <c r="A169" s="6"/>
      <c r="B169" s="6" t="s">
        <v>158</v>
      </c>
      <c r="C169" s="71" t="s">
        <v>12</v>
      </c>
      <c r="D169" s="72" t="str">
        <f t="array" ref="D169">XLOOKUP(C169,'Master Data'!C:C,'Master Data'!D:D)</f>
        <v/>
      </c>
      <c r="E169" s="73"/>
      <c r="F169" s="72" t="str">
        <f t="array" ref="F169">XLOOKUP(C169,'Master Data'!C:C,'Master Data'!E:E)</f>
        <v/>
      </c>
      <c r="G169" s="72" t="str">
        <f t="array" ref="G169">XLOOKUP(C169,'Master Data'!C:C,'Master Data'!F:F)</f>
        <v/>
      </c>
      <c r="H169" s="72" t="str">
        <f t="array" ref="H169">XLOOKUP(C169,'Master Data'!C:C,'Master Data'!G:G)</f>
        <v/>
      </c>
      <c r="I169" s="72" t="str">
        <f t="array" ref="I169">XLOOKUP(C169,'Master Data'!C:C,'Master Data'!H:H)</f>
        <v/>
      </c>
      <c r="J169" s="72" t="str">
        <f t="array" ref="J169">XLOOKUP(C169,'Master Data'!C:C,'Master Data'!I:I)</f>
        <v/>
      </c>
      <c r="K169" s="72" t="str">
        <f t="array" ref="K169">XLOOKUP(C169,'Master Data'!C:C,'Master Data'!J:J)</f>
        <v/>
      </c>
      <c r="L169" s="74" t="str">
        <f t="array" ref="L169">XLOOKUP(C:C,TSR_Completion!C:C,TSR_Completion!M:M)</f>
        <v/>
      </c>
      <c r="M169" s="4"/>
      <c r="N169" s="4"/>
      <c r="O169" s="4"/>
      <c r="P169" s="4"/>
      <c r="Q169" s="4"/>
      <c r="R169" s="4"/>
      <c r="S169" s="4"/>
      <c r="T169" s="4"/>
      <c r="U169" s="4"/>
      <c r="V169" s="4"/>
      <c r="W169" s="4"/>
      <c r="X169" s="4"/>
      <c r="Y169" s="4"/>
    </row>
    <row r="170">
      <c r="A170" s="6"/>
      <c r="B170" s="6" t="s">
        <v>158</v>
      </c>
      <c r="C170" s="71" t="s">
        <v>12</v>
      </c>
      <c r="D170" s="72" t="str">
        <f t="array" ref="D170">XLOOKUP(C170,'Master Data'!C:C,'Master Data'!D:D)</f>
        <v/>
      </c>
      <c r="E170" s="73"/>
      <c r="F170" s="72" t="str">
        <f t="array" ref="F170">XLOOKUP(C170,'Master Data'!C:C,'Master Data'!E:E)</f>
        <v/>
      </c>
      <c r="G170" s="72" t="str">
        <f t="array" ref="G170">XLOOKUP(C170,'Master Data'!C:C,'Master Data'!F:F)</f>
        <v/>
      </c>
      <c r="H170" s="72" t="str">
        <f t="array" ref="H170">XLOOKUP(C170,'Master Data'!C:C,'Master Data'!G:G)</f>
        <v/>
      </c>
      <c r="I170" s="72" t="str">
        <f t="array" ref="I170">XLOOKUP(C170,'Master Data'!C:C,'Master Data'!H:H)</f>
        <v/>
      </c>
      <c r="J170" s="72" t="str">
        <f t="array" ref="J170">XLOOKUP(C170,'Master Data'!C:C,'Master Data'!I:I)</f>
        <v/>
      </c>
      <c r="K170" s="72" t="str">
        <f t="array" ref="K170">XLOOKUP(C170,'Master Data'!C:C,'Master Data'!J:J)</f>
        <v/>
      </c>
      <c r="L170" s="74" t="str">
        <f t="array" ref="L170">XLOOKUP(C:C,TSR_Completion!C:C,TSR_Completion!M:M)</f>
        <v/>
      </c>
      <c r="M170" s="4"/>
      <c r="N170" s="4"/>
      <c r="O170" s="4"/>
      <c r="P170" s="4"/>
      <c r="Q170" s="4"/>
      <c r="R170" s="4"/>
      <c r="S170" s="4"/>
      <c r="T170" s="4"/>
      <c r="U170" s="4"/>
      <c r="V170" s="4"/>
      <c r="W170" s="4"/>
      <c r="X170" s="4"/>
      <c r="Y170" s="4"/>
    </row>
    <row r="171">
      <c r="A171" s="6"/>
      <c r="B171" s="6" t="s">
        <v>158</v>
      </c>
      <c r="C171" s="71" t="s">
        <v>12</v>
      </c>
      <c r="D171" s="72" t="str">
        <f t="array" ref="D171">XLOOKUP(C171,'Master Data'!C:C,'Master Data'!D:D)</f>
        <v/>
      </c>
      <c r="E171" s="73"/>
      <c r="F171" s="72" t="str">
        <f t="array" ref="F171">XLOOKUP(C171,'Master Data'!C:C,'Master Data'!E:E)</f>
        <v/>
      </c>
      <c r="G171" s="72" t="str">
        <f t="array" ref="G171">XLOOKUP(C171,'Master Data'!C:C,'Master Data'!F:F)</f>
        <v/>
      </c>
      <c r="H171" s="72" t="str">
        <f t="array" ref="H171">XLOOKUP(C171,'Master Data'!C:C,'Master Data'!G:G)</f>
        <v/>
      </c>
      <c r="I171" s="72" t="str">
        <f t="array" ref="I171">XLOOKUP(C171,'Master Data'!C:C,'Master Data'!H:H)</f>
        <v/>
      </c>
      <c r="J171" s="72" t="str">
        <f t="array" ref="J171">XLOOKUP(C171,'Master Data'!C:C,'Master Data'!I:I)</f>
        <v/>
      </c>
      <c r="K171" s="72" t="str">
        <f t="array" ref="K171">XLOOKUP(C171,'Master Data'!C:C,'Master Data'!J:J)</f>
        <v/>
      </c>
      <c r="L171" s="74" t="str">
        <f t="array" ref="L171">XLOOKUP(C:C,TSR_Completion!C:C,TSR_Completion!M:M)</f>
        <v/>
      </c>
      <c r="M171" s="4"/>
      <c r="N171" s="4"/>
      <c r="O171" s="4"/>
      <c r="P171" s="4"/>
      <c r="Q171" s="4"/>
      <c r="R171" s="4"/>
      <c r="S171" s="4"/>
      <c r="T171" s="4"/>
      <c r="U171" s="4"/>
      <c r="V171" s="4"/>
      <c r="W171" s="4"/>
      <c r="X171" s="4"/>
      <c r="Y171" s="4"/>
    </row>
    <row r="172">
      <c r="A172" s="6"/>
      <c r="B172" s="6" t="s">
        <v>158</v>
      </c>
      <c r="C172" s="71" t="s">
        <v>12</v>
      </c>
      <c r="D172" s="72" t="str">
        <f t="array" ref="D172">XLOOKUP(C172,'Master Data'!C:C,'Master Data'!D:D)</f>
        <v/>
      </c>
      <c r="E172" s="73"/>
      <c r="F172" s="72" t="str">
        <f t="array" ref="F172">XLOOKUP(C172,'Master Data'!C:C,'Master Data'!E:E)</f>
        <v/>
      </c>
      <c r="G172" s="72" t="str">
        <f t="array" ref="G172">XLOOKUP(C172,'Master Data'!C:C,'Master Data'!F:F)</f>
        <v/>
      </c>
      <c r="H172" s="72" t="str">
        <f t="array" ref="H172">XLOOKUP(C172,'Master Data'!C:C,'Master Data'!G:G)</f>
        <v/>
      </c>
      <c r="I172" s="72" t="str">
        <f t="array" ref="I172">XLOOKUP(C172,'Master Data'!C:C,'Master Data'!H:H)</f>
        <v/>
      </c>
      <c r="J172" s="72" t="str">
        <f t="array" ref="J172">XLOOKUP(C172,'Master Data'!C:C,'Master Data'!I:I)</f>
        <v/>
      </c>
      <c r="K172" s="72" t="str">
        <f t="array" ref="K172">XLOOKUP(C172,'Master Data'!C:C,'Master Data'!J:J)</f>
        <v/>
      </c>
      <c r="L172" s="74" t="str">
        <f t="array" ref="L172">XLOOKUP(C:C,TSR_Completion!C:C,TSR_Completion!M:M)</f>
        <v/>
      </c>
      <c r="M172" s="4"/>
      <c r="N172" s="4"/>
      <c r="O172" s="4"/>
      <c r="P172" s="4"/>
      <c r="Q172" s="4"/>
      <c r="R172" s="4"/>
      <c r="S172" s="4"/>
      <c r="T172" s="4"/>
      <c r="U172" s="4"/>
      <c r="V172" s="4"/>
      <c r="W172" s="4"/>
      <c r="X172" s="4"/>
      <c r="Y172" s="4"/>
    </row>
    <row r="173">
      <c r="A173" s="6"/>
      <c r="B173" s="6" t="s">
        <v>158</v>
      </c>
      <c r="C173" s="71" t="s">
        <v>12</v>
      </c>
      <c r="D173" s="72" t="str">
        <f t="array" ref="D173">XLOOKUP(C173,'Master Data'!C:C,'Master Data'!D:D)</f>
        <v/>
      </c>
      <c r="E173" s="73"/>
      <c r="F173" s="72" t="str">
        <f t="array" ref="F173">XLOOKUP(C173,'Master Data'!C:C,'Master Data'!E:E)</f>
        <v/>
      </c>
      <c r="G173" s="72" t="str">
        <f t="array" ref="G173">XLOOKUP(C173,'Master Data'!C:C,'Master Data'!F:F)</f>
        <v/>
      </c>
      <c r="H173" s="72" t="str">
        <f t="array" ref="H173">XLOOKUP(C173,'Master Data'!C:C,'Master Data'!G:G)</f>
        <v/>
      </c>
      <c r="I173" s="72" t="str">
        <f t="array" ref="I173">XLOOKUP(C173,'Master Data'!C:C,'Master Data'!H:H)</f>
        <v/>
      </c>
      <c r="J173" s="72" t="str">
        <f t="array" ref="J173">XLOOKUP(C173,'Master Data'!C:C,'Master Data'!I:I)</f>
        <v/>
      </c>
      <c r="K173" s="72" t="str">
        <f t="array" ref="K173">XLOOKUP(C173,'Master Data'!C:C,'Master Data'!J:J)</f>
        <v/>
      </c>
      <c r="L173" s="74" t="str">
        <f t="array" ref="L173">XLOOKUP(C:C,TSR_Completion!C:C,TSR_Completion!M:M)</f>
        <v/>
      </c>
      <c r="M173" s="4"/>
      <c r="N173" s="4"/>
      <c r="O173" s="4"/>
      <c r="P173" s="4"/>
      <c r="Q173" s="4"/>
      <c r="R173" s="4"/>
      <c r="S173" s="4"/>
      <c r="T173" s="4"/>
      <c r="U173" s="4"/>
      <c r="V173" s="4"/>
      <c r="W173" s="4"/>
      <c r="X173" s="4"/>
      <c r="Y173" s="4"/>
    </row>
    <row r="174">
      <c r="A174" s="6"/>
      <c r="B174" s="6" t="s">
        <v>158</v>
      </c>
      <c r="C174" s="71" t="s">
        <v>12</v>
      </c>
      <c r="D174" s="72" t="str">
        <f t="array" ref="D174">XLOOKUP(C174,'Master Data'!C:C,'Master Data'!D:D)</f>
        <v/>
      </c>
      <c r="E174" s="73"/>
      <c r="F174" s="72" t="str">
        <f t="array" ref="F174">XLOOKUP(C174,'Master Data'!C:C,'Master Data'!E:E)</f>
        <v/>
      </c>
      <c r="G174" s="72" t="str">
        <f t="array" ref="G174">XLOOKUP(C174,'Master Data'!C:C,'Master Data'!F:F)</f>
        <v/>
      </c>
      <c r="H174" s="72" t="str">
        <f t="array" ref="H174">XLOOKUP(C174,'Master Data'!C:C,'Master Data'!G:G)</f>
        <v/>
      </c>
      <c r="I174" s="72" t="str">
        <f t="array" ref="I174">XLOOKUP(C174,'Master Data'!C:C,'Master Data'!H:H)</f>
        <v/>
      </c>
      <c r="J174" s="72" t="str">
        <f t="array" ref="J174">XLOOKUP(C174,'Master Data'!C:C,'Master Data'!I:I)</f>
        <v/>
      </c>
      <c r="K174" s="72" t="str">
        <f t="array" ref="K174">XLOOKUP(C174,'Master Data'!C:C,'Master Data'!J:J)</f>
        <v/>
      </c>
      <c r="L174" s="74" t="str">
        <f t="array" ref="L174">XLOOKUP(C:C,TSR_Completion!C:C,TSR_Completion!M:M)</f>
        <v/>
      </c>
      <c r="M174" s="4"/>
      <c r="N174" s="4"/>
      <c r="O174" s="4"/>
      <c r="P174" s="4"/>
      <c r="Q174" s="4"/>
      <c r="R174" s="4"/>
      <c r="S174" s="4"/>
      <c r="T174" s="4"/>
      <c r="U174" s="4"/>
      <c r="V174" s="4"/>
      <c r="W174" s="4"/>
      <c r="X174" s="4"/>
      <c r="Y174" s="4"/>
    </row>
    <row r="175">
      <c r="A175" s="6"/>
      <c r="B175" s="6" t="s">
        <v>158</v>
      </c>
      <c r="C175" s="71" t="s">
        <v>12</v>
      </c>
      <c r="D175" s="72" t="str">
        <f t="array" ref="D175">XLOOKUP(C175,'Master Data'!C:C,'Master Data'!D:D)</f>
        <v/>
      </c>
      <c r="E175" s="73"/>
      <c r="F175" s="72" t="str">
        <f t="array" ref="F175">XLOOKUP(C175,'Master Data'!C:C,'Master Data'!E:E)</f>
        <v/>
      </c>
      <c r="G175" s="72" t="str">
        <f t="array" ref="G175">XLOOKUP(C175,'Master Data'!C:C,'Master Data'!F:F)</f>
        <v/>
      </c>
      <c r="H175" s="72" t="str">
        <f t="array" ref="H175">XLOOKUP(C175,'Master Data'!C:C,'Master Data'!G:G)</f>
        <v/>
      </c>
      <c r="I175" s="72" t="str">
        <f t="array" ref="I175">XLOOKUP(C175,'Master Data'!C:C,'Master Data'!H:H)</f>
        <v/>
      </c>
      <c r="J175" s="72" t="str">
        <f t="array" ref="J175">XLOOKUP(C175,'Master Data'!C:C,'Master Data'!I:I)</f>
        <v/>
      </c>
      <c r="K175" s="72" t="str">
        <f t="array" ref="K175">XLOOKUP(C175,'Master Data'!C:C,'Master Data'!J:J)</f>
        <v/>
      </c>
      <c r="L175" s="74" t="str">
        <f t="array" ref="L175">XLOOKUP(C:C,TSR_Completion!C:C,TSR_Completion!M:M)</f>
        <v/>
      </c>
      <c r="M175" s="4"/>
      <c r="N175" s="4"/>
      <c r="O175" s="4"/>
      <c r="P175" s="4"/>
      <c r="Q175" s="4"/>
      <c r="R175" s="4"/>
      <c r="S175" s="4"/>
      <c r="T175" s="4"/>
      <c r="U175" s="4"/>
      <c r="V175" s="4"/>
      <c r="W175" s="4"/>
      <c r="X175" s="4"/>
      <c r="Y175" s="4"/>
    </row>
    <row r="176">
      <c r="A176" s="6"/>
      <c r="B176" s="6" t="s">
        <v>158</v>
      </c>
      <c r="C176" s="71" t="s">
        <v>12</v>
      </c>
      <c r="D176" s="72" t="str">
        <f t="array" ref="D176">XLOOKUP(C176,'Master Data'!C:C,'Master Data'!D:D)</f>
        <v/>
      </c>
      <c r="E176" s="73"/>
      <c r="F176" s="72" t="str">
        <f t="array" ref="F176">XLOOKUP(C176,'Master Data'!C:C,'Master Data'!E:E)</f>
        <v/>
      </c>
      <c r="G176" s="72" t="str">
        <f t="array" ref="G176">XLOOKUP(C176,'Master Data'!C:C,'Master Data'!F:F)</f>
        <v/>
      </c>
      <c r="H176" s="72" t="str">
        <f t="array" ref="H176">XLOOKUP(C176,'Master Data'!C:C,'Master Data'!G:G)</f>
        <v/>
      </c>
      <c r="I176" s="72" t="str">
        <f t="array" ref="I176">XLOOKUP(C176,'Master Data'!C:C,'Master Data'!H:H)</f>
        <v/>
      </c>
      <c r="J176" s="72" t="str">
        <f t="array" ref="J176">XLOOKUP(C176,'Master Data'!C:C,'Master Data'!I:I)</f>
        <v/>
      </c>
      <c r="K176" s="72" t="str">
        <f t="array" ref="K176">XLOOKUP(C176,'Master Data'!C:C,'Master Data'!J:J)</f>
        <v/>
      </c>
      <c r="L176" s="74" t="str">
        <f t="array" ref="L176">XLOOKUP(C:C,TSR_Completion!C:C,TSR_Completion!M:M)</f>
        <v/>
      </c>
      <c r="M176" s="4"/>
      <c r="N176" s="4"/>
      <c r="O176" s="4"/>
      <c r="P176" s="4"/>
      <c r="Q176" s="4"/>
      <c r="R176" s="4"/>
      <c r="S176" s="4"/>
      <c r="T176" s="4"/>
      <c r="U176" s="4"/>
      <c r="V176" s="4"/>
      <c r="W176" s="4"/>
      <c r="X176" s="4"/>
      <c r="Y176" s="4"/>
    </row>
    <row r="177">
      <c r="A177" s="6"/>
      <c r="B177" s="6" t="s">
        <v>158</v>
      </c>
      <c r="C177" s="71" t="s">
        <v>12</v>
      </c>
      <c r="D177" s="72" t="str">
        <f t="array" ref="D177">XLOOKUP(C177,'Master Data'!C:C,'Master Data'!D:D)</f>
        <v/>
      </c>
      <c r="E177" s="73"/>
      <c r="F177" s="72" t="str">
        <f t="array" ref="F177">XLOOKUP(C177,'Master Data'!C:C,'Master Data'!E:E)</f>
        <v/>
      </c>
      <c r="G177" s="72" t="str">
        <f t="array" ref="G177">XLOOKUP(C177,'Master Data'!C:C,'Master Data'!F:F)</f>
        <v/>
      </c>
      <c r="H177" s="72" t="str">
        <f t="array" ref="H177">XLOOKUP(C177,'Master Data'!C:C,'Master Data'!G:G)</f>
        <v/>
      </c>
      <c r="I177" s="72" t="str">
        <f t="array" ref="I177">XLOOKUP(C177,'Master Data'!C:C,'Master Data'!H:H)</f>
        <v/>
      </c>
      <c r="J177" s="72" t="str">
        <f t="array" ref="J177">XLOOKUP(C177,'Master Data'!C:C,'Master Data'!I:I)</f>
        <v/>
      </c>
      <c r="K177" s="72" t="str">
        <f t="array" ref="K177">XLOOKUP(C177,'Master Data'!C:C,'Master Data'!J:J)</f>
        <v/>
      </c>
      <c r="L177" s="74" t="str">
        <f t="array" ref="L177">XLOOKUP(C:C,TSR_Completion!C:C,TSR_Completion!M:M)</f>
        <v/>
      </c>
      <c r="M177" s="4"/>
      <c r="N177" s="4"/>
      <c r="O177" s="4"/>
      <c r="P177" s="4"/>
      <c r="Q177" s="4"/>
      <c r="R177" s="4"/>
      <c r="S177" s="4"/>
      <c r="T177" s="4"/>
      <c r="U177" s="4"/>
      <c r="V177" s="4"/>
      <c r="W177" s="4"/>
      <c r="X177" s="4"/>
      <c r="Y177" s="4"/>
    </row>
    <row r="178">
      <c r="A178" s="6"/>
      <c r="B178" s="6" t="s">
        <v>158</v>
      </c>
      <c r="C178" s="71" t="s">
        <v>12</v>
      </c>
      <c r="D178" s="72" t="str">
        <f t="array" ref="D178">XLOOKUP(C178,'Master Data'!C:C,'Master Data'!D:D)</f>
        <v/>
      </c>
      <c r="E178" s="73"/>
      <c r="F178" s="72" t="str">
        <f t="array" ref="F178">XLOOKUP(C178,'Master Data'!C:C,'Master Data'!E:E)</f>
        <v/>
      </c>
      <c r="G178" s="72" t="str">
        <f t="array" ref="G178">XLOOKUP(C178,'Master Data'!C:C,'Master Data'!F:F)</f>
        <v/>
      </c>
      <c r="H178" s="72" t="str">
        <f t="array" ref="H178">XLOOKUP(C178,'Master Data'!C:C,'Master Data'!G:G)</f>
        <v/>
      </c>
      <c r="I178" s="72" t="str">
        <f t="array" ref="I178">XLOOKUP(C178,'Master Data'!C:C,'Master Data'!H:H)</f>
        <v/>
      </c>
      <c r="J178" s="72" t="str">
        <f t="array" ref="J178">XLOOKUP(C178,'Master Data'!C:C,'Master Data'!I:I)</f>
        <v/>
      </c>
      <c r="K178" s="72" t="str">
        <f t="array" ref="K178">XLOOKUP(C178,'Master Data'!C:C,'Master Data'!J:J)</f>
        <v/>
      </c>
      <c r="L178" s="74" t="str">
        <f t="array" ref="L178">XLOOKUP(C:C,TSR_Completion!C:C,TSR_Completion!M:M)</f>
        <v/>
      </c>
      <c r="M178" s="4"/>
      <c r="N178" s="4"/>
      <c r="O178" s="4"/>
      <c r="P178" s="4"/>
      <c r="Q178" s="4"/>
      <c r="R178" s="4"/>
      <c r="S178" s="4"/>
      <c r="T178" s="4"/>
      <c r="U178" s="4"/>
      <c r="V178" s="4"/>
      <c r="W178" s="4"/>
      <c r="X178" s="4"/>
      <c r="Y178" s="4"/>
    </row>
    <row r="179">
      <c r="A179" s="6"/>
      <c r="B179" s="6" t="s">
        <v>158</v>
      </c>
      <c r="C179" s="71" t="s">
        <v>12</v>
      </c>
      <c r="D179" s="72" t="str">
        <f t="array" ref="D179">XLOOKUP(C179,'Master Data'!C:C,'Master Data'!D:D)</f>
        <v/>
      </c>
      <c r="E179" s="73"/>
      <c r="F179" s="72" t="str">
        <f t="array" ref="F179">XLOOKUP(C179,'Master Data'!C:C,'Master Data'!E:E)</f>
        <v/>
      </c>
      <c r="G179" s="72" t="str">
        <f t="array" ref="G179">XLOOKUP(C179,'Master Data'!C:C,'Master Data'!F:F)</f>
        <v/>
      </c>
      <c r="H179" s="72" t="str">
        <f t="array" ref="H179">XLOOKUP(C179,'Master Data'!C:C,'Master Data'!G:G)</f>
        <v/>
      </c>
      <c r="I179" s="72" t="str">
        <f t="array" ref="I179">XLOOKUP(C179,'Master Data'!C:C,'Master Data'!H:H)</f>
        <v/>
      </c>
      <c r="J179" s="72" t="str">
        <f t="array" ref="J179">XLOOKUP(C179,'Master Data'!C:C,'Master Data'!I:I)</f>
        <v/>
      </c>
      <c r="K179" s="72" t="str">
        <f t="array" ref="K179">XLOOKUP(C179,'Master Data'!C:C,'Master Data'!J:J)</f>
        <v/>
      </c>
      <c r="L179" s="74" t="str">
        <f t="array" ref="L179">XLOOKUP(C:C,TSR_Completion!C:C,TSR_Completion!M:M)</f>
        <v/>
      </c>
      <c r="M179" s="4"/>
      <c r="N179" s="4"/>
      <c r="O179" s="4"/>
      <c r="P179" s="4"/>
      <c r="Q179" s="4"/>
      <c r="R179" s="4"/>
      <c r="S179" s="4"/>
      <c r="T179" s="4"/>
      <c r="U179" s="4"/>
      <c r="V179" s="4"/>
      <c r="W179" s="4"/>
      <c r="X179" s="4"/>
      <c r="Y179" s="4"/>
    </row>
    <row r="180">
      <c r="A180" s="6"/>
      <c r="B180" s="6" t="s">
        <v>158</v>
      </c>
      <c r="C180" s="71" t="s">
        <v>12</v>
      </c>
      <c r="D180" s="72" t="str">
        <f t="array" ref="D180">XLOOKUP(C180,'Master Data'!C:C,'Master Data'!D:D)</f>
        <v/>
      </c>
      <c r="E180" s="73"/>
      <c r="F180" s="72" t="str">
        <f t="array" ref="F180">XLOOKUP(C180,'Master Data'!C:C,'Master Data'!E:E)</f>
        <v/>
      </c>
      <c r="G180" s="72" t="str">
        <f t="array" ref="G180">XLOOKUP(C180,'Master Data'!C:C,'Master Data'!F:F)</f>
        <v/>
      </c>
      <c r="H180" s="72" t="str">
        <f t="array" ref="H180">XLOOKUP(C180,'Master Data'!C:C,'Master Data'!G:G)</f>
        <v/>
      </c>
      <c r="I180" s="72" t="str">
        <f t="array" ref="I180">XLOOKUP(C180,'Master Data'!C:C,'Master Data'!H:H)</f>
        <v/>
      </c>
      <c r="J180" s="72" t="str">
        <f t="array" ref="J180">XLOOKUP(C180,'Master Data'!C:C,'Master Data'!I:I)</f>
        <v/>
      </c>
      <c r="K180" s="72" t="str">
        <f t="array" ref="K180">XLOOKUP(C180,'Master Data'!C:C,'Master Data'!J:J)</f>
        <v/>
      </c>
      <c r="L180" s="74" t="str">
        <f t="array" ref="L180">XLOOKUP(C:C,TSR_Completion!C:C,TSR_Completion!M:M)</f>
        <v/>
      </c>
      <c r="M180" s="4"/>
      <c r="N180" s="4"/>
      <c r="O180" s="4"/>
      <c r="P180" s="4"/>
      <c r="Q180" s="4"/>
      <c r="R180" s="4"/>
      <c r="S180" s="4"/>
      <c r="T180" s="4"/>
      <c r="U180" s="4"/>
      <c r="V180" s="4"/>
      <c r="W180" s="4"/>
      <c r="X180" s="4"/>
      <c r="Y180" s="4"/>
    </row>
    <row r="181">
      <c r="A181" s="6"/>
      <c r="B181" s="6" t="s">
        <v>158</v>
      </c>
      <c r="C181" s="71" t="s">
        <v>12</v>
      </c>
      <c r="D181" s="72" t="str">
        <f t="array" ref="D181">XLOOKUP(C181,'Master Data'!C:C,'Master Data'!D:D)</f>
        <v/>
      </c>
      <c r="E181" s="73"/>
      <c r="F181" s="72" t="str">
        <f t="array" ref="F181">XLOOKUP(C181,'Master Data'!C:C,'Master Data'!E:E)</f>
        <v/>
      </c>
      <c r="G181" s="72" t="str">
        <f t="array" ref="G181">XLOOKUP(C181,'Master Data'!C:C,'Master Data'!F:F)</f>
        <v/>
      </c>
      <c r="H181" s="72" t="str">
        <f t="array" ref="H181">XLOOKUP(C181,'Master Data'!C:C,'Master Data'!G:G)</f>
        <v/>
      </c>
      <c r="I181" s="72" t="str">
        <f t="array" ref="I181">XLOOKUP(C181,'Master Data'!C:C,'Master Data'!H:H)</f>
        <v/>
      </c>
      <c r="J181" s="72" t="str">
        <f t="array" ref="J181">XLOOKUP(C181,'Master Data'!C:C,'Master Data'!I:I)</f>
        <v/>
      </c>
      <c r="K181" s="72" t="str">
        <f t="array" ref="K181">XLOOKUP(C181,'Master Data'!C:C,'Master Data'!J:J)</f>
        <v/>
      </c>
      <c r="L181" s="74" t="str">
        <f t="array" ref="L181">XLOOKUP(C:C,TSR_Completion!C:C,TSR_Completion!M:M)</f>
        <v/>
      </c>
      <c r="M181" s="4"/>
      <c r="N181" s="4"/>
      <c r="O181" s="4"/>
      <c r="P181" s="4"/>
      <c r="Q181" s="4"/>
      <c r="R181" s="4"/>
      <c r="S181" s="4"/>
      <c r="T181" s="4"/>
      <c r="U181" s="4"/>
      <c r="V181" s="4"/>
      <c r="W181" s="4"/>
      <c r="X181" s="4"/>
      <c r="Y181" s="4"/>
    </row>
    <row r="182">
      <c r="A182" s="6"/>
      <c r="B182" s="6" t="s">
        <v>158</v>
      </c>
      <c r="C182" s="71" t="s">
        <v>12</v>
      </c>
      <c r="D182" s="72" t="str">
        <f t="array" ref="D182">XLOOKUP(C182,'Master Data'!C:C,'Master Data'!D:D)</f>
        <v/>
      </c>
      <c r="E182" s="73"/>
      <c r="F182" s="72" t="str">
        <f t="array" ref="F182">XLOOKUP(C182,'Master Data'!C:C,'Master Data'!E:E)</f>
        <v/>
      </c>
      <c r="G182" s="72" t="str">
        <f t="array" ref="G182">XLOOKUP(C182,'Master Data'!C:C,'Master Data'!F:F)</f>
        <v/>
      </c>
      <c r="H182" s="72" t="str">
        <f t="array" ref="H182">XLOOKUP(C182,'Master Data'!C:C,'Master Data'!G:G)</f>
        <v/>
      </c>
      <c r="I182" s="72" t="str">
        <f t="array" ref="I182">XLOOKUP(C182,'Master Data'!C:C,'Master Data'!H:H)</f>
        <v/>
      </c>
      <c r="J182" s="72" t="str">
        <f t="array" ref="J182">XLOOKUP(C182,'Master Data'!C:C,'Master Data'!I:I)</f>
        <v/>
      </c>
      <c r="K182" s="72" t="str">
        <f t="array" ref="K182">XLOOKUP(C182,'Master Data'!C:C,'Master Data'!J:J)</f>
        <v/>
      </c>
      <c r="L182" s="74" t="str">
        <f t="array" ref="L182">XLOOKUP(C:C,TSR_Completion!C:C,TSR_Completion!M:M)</f>
        <v/>
      </c>
      <c r="M182" s="4"/>
      <c r="N182" s="4"/>
      <c r="O182" s="4"/>
      <c r="P182" s="4"/>
      <c r="Q182" s="4"/>
      <c r="R182" s="4"/>
      <c r="S182" s="4"/>
      <c r="T182" s="4"/>
      <c r="U182" s="4"/>
      <c r="V182" s="4"/>
      <c r="W182" s="4"/>
      <c r="X182" s="4"/>
      <c r="Y182" s="4"/>
    </row>
    <row r="183">
      <c r="A183" s="6"/>
      <c r="B183" s="6" t="s">
        <v>158</v>
      </c>
      <c r="C183" s="71" t="s">
        <v>12</v>
      </c>
      <c r="D183" s="72" t="str">
        <f t="array" ref="D183">XLOOKUP(C183,'Master Data'!C:C,'Master Data'!D:D)</f>
        <v/>
      </c>
      <c r="E183" s="73"/>
      <c r="F183" s="72" t="str">
        <f t="array" ref="F183">XLOOKUP(C183,'Master Data'!C:C,'Master Data'!E:E)</f>
        <v/>
      </c>
      <c r="G183" s="72" t="str">
        <f t="array" ref="G183">XLOOKUP(C183,'Master Data'!C:C,'Master Data'!F:F)</f>
        <v/>
      </c>
      <c r="H183" s="72" t="str">
        <f t="array" ref="H183">XLOOKUP(C183,'Master Data'!C:C,'Master Data'!G:G)</f>
        <v/>
      </c>
      <c r="I183" s="72" t="str">
        <f t="array" ref="I183">XLOOKUP(C183,'Master Data'!C:C,'Master Data'!H:H)</f>
        <v/>
      </c>
      <c r="J183" s="72" t="str">
        <f t="array" ref="J183">XLOOKUP(C183,'Master Data'!C:C,'Master Data'!I:I)</f>
        <v/>
      </c>
      <c r="K183" s="72" t="str">
        <f t="array" ref="K183">XLOOKUP(C183,'Master Data'!C:C,'Master Data'!J:J)</f>
        <v/>
      </c>
      <c r="L183" s="74" t="str">
        <f t="array" ref="L183">XLOOKUP(C:C,TSR_Completion!C:C,TSR_Completion!M:M)</f>
        <v/>
      </c>
      <c r="M183" s="4"/>
      <c r="N183" s="4"/>
      <c r="O183" s="4"/>
      <c r="P183" s="4"/>
      <c r="Q183" s="4"/>
      <c r="R183" s="4"/>
      <c r="S183" s="4"/>
      <c r="T183" s="4"/>
      <c r="U183" s="4"/>
      <c r="V183" s="4"/>
      <c r="W183" s="4"/>
      <c r="X183" s="4"/>
      <c r="Y183" s="4"/>
    </row>
    <row r="184">
      <c r="A184" s="6"/>
      <c r="B184" s="6" t="s">
        <v>158</v>
      </c>
      <c r="C184" s="71" t="s">
        <v>12</v>
      </c>
      <c r="D184" s="72" t="str">
        <f t="array" ref="D184">XLOOKUP(C184,'Master Data'!C:C,'Master Data'!D:D)</f>
        <v/>
      </c>
      <c r="E184" s="73"/>
      <c r="F184" s="72" t="str">
        <f t="array" ref="F184">XLOOKUP(C184,'Master Data'!C:C,'Master Data'!E:E)</f>
        <v/>
      </c>
      <c r="G184" s="72" t="str">
        <f t="array" ref="G184">XLOOKUP(C184,'Master Data'!C:C,'Master Data'!F:F)</f>
        <v/>
      </c>
      <c r="H184" s="72" t="str">
        <f t="array" ref="H184">XLOOKUP(C184,'Master Data'!C:C,'Master Data'!G:G)</f>
        <v/>
      </c>
      <c r="I184" s="72" t="str">
        <f t="array" ref="I184">XLOOKUP(C184,'Master Data'!C:C,'Master Data'!H:H)</f>
        <v/>
      </c>
      <c r="J184" s="72" t="str">
        <f t="array" ref="J184">XLOOKUP(C184,'Master Data'!C:C,'Master Data'!I:I)</f>
        <v/>
      </c>
      <c r="K184" s="72" t="str">
        <f t="array" ref="K184">XLOOKUP(C184,'Master Data'!C:C,'Master Data'!J:J)</f>
        <v/>
      </c>
      <c r="L184" s="74" t="str">
        <f t="array" ref="L184">XLOOKUP(C:C,TSR_Completion!C:C,TSR_Completion!M:M)</f>
        <v/>
      </c>
      <c r="M184" s="4"/>
      <c r="N184" s="4"/>
      <c r="O184" s="4"/>
      <c r="P184" s="4"/>
      <c r="Q184" s="4"/>
      <c r="R184" s="4"/>
      <c r="S184" s="4"/>
      <c r="T184" s="4"/>
      <c r="U184" s="4"/>
      <c r="V184" s="4"/>
      <c r="W184" s="4"/>
      <c r="X184" s="4"/>
      <c r="Y184" s="4"/>
    </row>
    <row r="185">
      <c r="A185" s="6"/>
      <c r="B185" s="6" t="s">
        <v>158</v>
      </c>
      <c r="C185" s="71" t="s">
        <v>12</v>
      </c>
      <c r="D185" s="72" t="str">
        <f t="array" ref="D185">XLOOKUP(C185,'Master Data'!C:C,'Master Data'!D:D)</f>
        <v/>
      </c>
      <c r="E185" s="73"/>
      <c r="F185" s="72" t="str">
        <f t="array" ref="F185">XLOOKUP(C185,'Master Data'!C:C,'Master Data'!E:E)</f>
        <v/>
      </c>
      <c r="G185" s="72" t="str">
        <f t="array" ref="G185">XLOOKUP(C185,'Master Data'!C:C,'Master Data'!F:F)</f>
        <v/>
      </c>
      <c r="H185" s="72" t="str">
        <f t="array" ref="H185">XLOOKUP(C185,'Master Data'!C:C,'Master Data'!G:G)</f>
        <v/>
      </c>
      <c r="I185" s="72" t="str">
        <f t="array" ref="I185">XLOOKUP(C185,'Master Data'!C:C,'Master Data'!H:H)</f>
        <v/>
      </c>
      <c r="J185" s="72" t="str">
        <f t="array" ref="J185">XLOOKUP(C185,'Master Data'!C:C,'Master Data'!I:I)</f>
        <v/>
      </c>
      <c r="K185" s="72" t="str">
        <f t="array" ref="K185">XLOOKUP(C185,'Master Data'!C:C,'Master Data'!J:J)</f>
        <v/>
      </c>
      <c r="L185" s="74" t="str">
        <f t="array" ref="L185">XLOOKUP(C:C,TSR_Completion!C:C,TSR_Completion!M:M)</f>
        <v/>
      </c>
      <c r="M185" s="4"/>
      <c r="N185" s="4"/>
      <c r="O185" s="4"/>
      <c r="P185" s="4"/>
      <c r="Q185" s="4"/>
      <c r="R185" s="4"/>
      <c r="S185" s="4"/>
      <c r="T185" s="4"/>
      <c r="U185" s="4"/>
      <c r="V185" s="4"/>
      <c r="W185" s="4"/>
      <c r="X185" s="4"/>
      <c r="Y185" s="4"/>
    </row>
    <row r="186">
      <c r="A186" s="6"/>
      <c r="B186" s="6" t="s">
        <v>158</v>
      </c>
      <c r="C186" s="71" t="s">
        <v>12</v>
      </c>
      <c r="D186" s="72" t="str">
        <f t="array" ref="D186">XLOOKUP(C186,'Master Data'!C:C,'Master Data'!D:D)</f>
        <v/>
      </c>
      <c r="E186" s="73"/>
      <c r="F186" s="72" t="str">
        <f t="array" ref="F186">XLOOKUP(C186,'Master Data'!C:C,'Master Data'!E:E)</f>
        <v/>
      </c>
      <c r="G186" s="72" t="str">
        <f t="array" ref="G186">XLOOKUP(C186,'Master Data'!C:C,'Master Data'!F:F)</f>
        <v/>
      </c>
      <c r="H186" s="72" t="str">
        <f t="array" ref="H186">XLOOKUP(C186,'Master Data'!C:C,'Master Data'!G:G)</f>
        <v/>
      </c>
      <c r="I186" s="72" t="str">
        <f t="array" ref="I186">XLOOKUP(C186,'Master Data'!C:C,'Master Data'!H:H)</f>
        <v/>
      </c>
      <c r="J186" s="72" t="str">
        <f t="array" ref="J186">XLOOKUP(C186,'Master Data'!C:C,'Master Data'!I:I)</f>
        <v/>
      </c>
      <c r="K186" s="72" t="str">
        <f t="array" ref="K186">XLOOKUP(C186,'Master Data'!C:C,'Master Data'!J:J)</f>
        <v/>
      </c>
      <c r="L186" s="74" t="str">
        <f t="array" ref="L186">XLOOKUP(C:C,TSR_Completion!C:C,TSR_Completion!M:M)</f>
        <v/>
      </c>
      <c r="M186" s="4"/>
      <c r="N186" s="4"/>
      <c r="O186" s="4"/>
      <c r="P186" s="4"/>
      <c r="Q186" s="4"/>
      <c r="R186" s="4"/>
      <c r="S186" s="4"/>
      <c r="T186" s="4"/>
      <c r="U186" s="4"/>
      <c r="V186" s="4"/>
      <c r="W186" s="4"/>
      <c r="X186" s="4"/>
      <c r="Y186" s="4"/>
    </row>
    <row r="187">
      <c r="A187" s="6"/>
      <c r="B187" s="6" t="s">
        <v>158</v>
      </c>
      <c r="C187" s="71" t="s">
        <v>12</v>
      </c>
      <c r="D187" s="72" t="str">
        <f t="array" ref="D187">XLOOKUP(C187,'Master Data'!C:C,'Master Data'!D:D)</f>
        <v/>
      </c>
      <c r="E187" s="73"/>
      <c r="F187" s="72" t="str">
        <f t="array" ref="F187">XLOOKUP(C187,'Master Data'!C:C,'Master Data'!E:E)</f>
        <v/>
      </c>
      <c r="G187" s="72" t="str">
        <f t="array" ref="G187">XLOOKUP(C187,'Master Data'!C:C,'Master Data'!F:F)</f>
        <v/>
      </c>
      <c r="H187" s="72" t="str">
        <f t="array" ref="H187">XLOOKUP(C187,'Master Data'!C:C,'Master Data'!G:G)</f>
        <v/>
      </c>
      <c r="I187" s="72" t="str">
        <f t="array" ref="I187">XLOOKUP(C187,'Master Data'!C:C,'Master Data'!H:H)</f>
        <v/>
      </c>
      <c r="J187" s="72" t="str">
        <f t="array" ref="J187">XLOOKUP(C187,'Master Data'!C:C,'Master Data'!I:I)</f>
        <v/>
      </c>
      <c r="K187" s="72" t="str">
        <f t="array" ref="K187">XLOOKUP(C187,'Master Data'!C:C,'Master Data'!J:J)</f>
        <v/>
      </c>
      <c r="L187" s="74" t="str">
        <f t="array" ref="L187">XLOOKUP(C:C,TSR_Completion!C:C,TSR_Completion!M:M)</f>
        <v/>
      </c>
      <c r="M187" s="4"/>
      <c r="N187" s="4"/>
      <c r="O187" s="4"/>
      <c r="P187" s="4"/>
      <c r="Q187" s="4"/>
      <c r="R187" s="4"/>
      <c r="S187" s="4"/>
      <c r="T187" s="4"/>
      <c r="U187" s="4"/>
      <c r="V187" s="4"/>
      <c r="W187" s="4"/>
      <c r="X187" s="4"/>
      <c r="Y187" s="4"/>
    </row>
    <row r="188">
      <c r="A188" s="6"/>
      <c r="B188" s="6" t="s">
        <v>158</v>
      </c>
      <c r="C188" s="71" t="s">
        <v>12</v>
      </c>
      <c r="D188" s="72" t="str">
        <f t="array" ref="D188">XLOOKUP(C188,'Master Data'!C:C,'Master Data'!D:D)</f>
        <v/>
      </c>
      <c r="E188" s="73"/>
      <c r="F188" s="72" t="str">
        <f t="array" ref="F188">XLOOKUP(C188,'Master Data'!C:C,'Master Data'!E:E)</f>
        <v/>
      </c>
      <c r="G188" s="72" t="str">
        <f t="array" ref="G188">XLOOKUP(C188,'Master Data'!C:C,'Master Data'!F:F)</f>
        <v/>
      </c>
      <c r="H188" s="72" t="str">
        <f t="array" ref="H188">XLOOKUP(C188,'Master Data'!C:C,'Master Data'!G:G)</f>
        <v/>
      </c>
      <c r="I188" s="72" t="str">
        <f t="array" ref="I188">XLOOKUP(C188,'Master Data'!C:C,'Master Data'!H:H)</f>
        <v/>
      </c>
      <c r="J188" s="72" t="str">
        <f t="array" ref="J188">XLOOKUP(C188,'Master Data'!C:C,'Master Data'!I:I)</f>
        <v/>
      </c>
      <c r="K188" s="72" t="str">
        <f t="array" ref="K188">XLOOKUP(C188,'Master Data'!C:C,'Master Data'!J:J)</f>
        <v/>
      </c>
      <c r="L188" s="74" t="str">
        <f t="array" ref="L188">XLOOKUP(C:C,TSR_Completion!C:C,TSR_Completion!M:M)</f>
        <v/>
      </c>
      <c r="M188" s="4"/>
      <c r="N188" s="4"/>
      <c r="O188" s="4"/>
      <c r="P188" s="4"/>
      <c r="Q188" s="4"/>
      <c r="R188" s="4"/>
      <c r="S188" s="4"/>
      <c r="T188" s="4"/>
      <c r="U188" s="4"/>
      <c r="V188" s="4"/>
      <c r="W188" s="4"/>
      <c r="X188" s="4"/>
      <c r="Y188" s="4"/>
    </row>
    <row r="189">
      <c r="A189" s="6"/>
      <c r="B189" s="6" t="s">
        <v>158</v>
      </c>
      <c r="C189" s="71" t="s">
        <v>12</v>
      </c>
      <c r="D189" s="72" t="str">
        <f t="array" ref="D189">XLOOKUP(C189,'Master Data'!C:C,'Master Data'!D:D)</f>
        <v/>
      </c>
      <c r="E189" s="73"/>
      <c r="F189" s="72" t="str">
        <f t="array" ref="F189">XLOOKUP(C189,'Master Data'!C:C,'Master Data'!E:E)</f>
        <v/>
      </c>
      <c r="G189" s="72" t="str">
        <f t="array" ref="G189">XLOOKUP(C189,'Master Data'!C:C,'Master Data'!F:F)</f>
        <v/>
      </c>
      <c r="H189" s="72" t="str">
        <f t="array" ref="H189">XLOOKUP(C189,'Master Data'!C:C,'Master Data'!G:G)</f>
        <v/>
      </c>
      <c r="I189" s="72" t="str">
        <f t="array" ref="I189">XLOOKUP(C189,'Master Data'!C:C,'Master Data'!H:H)</f>
        <v/>
      </c>
      <c r="J189" s="72" t="str">
        <f t="array" ref="J189">XLOOKUP(C189,'Master Data'!C:C,'Master Data'!I:I)</f>
        <v/>
      </c>
      <c r="K189" s="72" t="str">
        <f t="array" ref="K189">XLOOKUP(C189,'Master Data'!C:C,'Master Data'!J:J)</f>
        <v/>
      </c>
      <c r="L189" s="74" t="str">
        <f t="array" ref="L189">XLOOKUP(C:C,TSR_Completion!C:C,TSR_Completion!M:M)</f>
        <v/>
      </c>
      <c r="M189" s="4"/>
      <c r="N189" s="4"/>
      <c r="O189" s="4"/>
      <c r="P189" s="4"/>
      <c r="Q189" s="4"/>
      <c r="R189" s="4"/>
      <c r="S189" s="4"/>
      <c r="T189" s="4"/>
      <c r="U189" s="4"/>
      <c r="V189" s="4"/>
      <c r="W189" s="4"/>
      <c r="X189" s="4"/>
      <c r="Y189" s="4"/>
    </row>
    <row r="190">
      <c r="A190" s="6"/>
      <c r="B190" s="6" t="s">
        <v>158</v>
      </c>
      <c r="C190" s="71" t="s">
        <v>12</v>
      </c>
      <c r="D190" s="72" t="str">
        <f t="array" ref="D190">XLOOKUP(C190,'Master Data'!C:C,'Master Data'!D:D)</f>
        <v/>
      </c>
      <c r="E190" s="73"/>
      <c r="F190" s="72" t="str">
        <f t="array" ref="F190">XLOOKUP(C190,'Master Data'!C:C,'Master Data'!E:E)</f>
        <v/>
      </c>
      <c r="G190" s="72" t="str">
        <f t="array" ref="G190">XLOOKUP(C190,'Master Data'!C:C,'Master Data'!F:F)</f>
        <v/>
      </c>
      <c r="H190" s="72" t="str">
        <f t="array" ref="H190">XLOOKUP(C190,'Master Data'!C:C,'Master Data'!G:G)</f>
        <v/>
      </c>
      <c r="I190" s="72" t="str">
        <f t="array" ref="I190">XLOOKUP(C190,'Master Data'!C:C,'Master Data'!H:H)</f>
        <v/>
      </c>
      <c r="J190" s="72" t="str">
        <f t="array" ref="J190">XLOOKUP(C190,'Master Data'!C:C,'Master Data'!I:I)</f>
        <v/>
      </c>
      <c r="K190" s="72" t="str">
        <f t="array" ref="K190">XLOOKUP(C190,'Master Data'!C:C,'Master Data'!J:J)</f>
        <v/>
      </c>
      <c r="L190" s="74" t="str">
        <f t="array" ref="L190">XLOOKUP(C:C,TSR_Completion!C:C,TSR_Completion!M:M)</f>
        <v/>
      </c>
      <c r="M190" s="4"/>
      <c r="N190" s="4"/>
      <c r="O190" s="4"/>
      <c r="P190" s="4"/>
      <c r="Q190" s="4"/>
      <c r="R190" s="4"/>
      <c r="S190" s="4"/>
      <c r="T190" s="4"/>
      <c r="U190" s="4"/>
      <c r="V190" s="4"/>
      <c r="W190" s="4"/>
      <c r="X190" s="4"/>
      <c r="Y190" s="4"/>
    </row>
    <row r="191">
      <c r="A191" s="6"/>
      <c r="B191" s="6" t="s">
        <v>158</v>
      </c>
      <c r="C191" s="71" t="s">
        <v>12</v>
      </c>
      <c r="D191" s="72" t="str">
        <f t="array" ref="D191">XLOOKUP(C191,'Master Data'!C:C,'Master Data'!D:D)</f>
        <v/>
      </c>
      <c r="E191" s="73"/>
      <c r="F191" s="72" t="str">
        <f t="array" ref="F191">XLOOKUP(C191,'Master Data'!C:C,'Master Data'!E:E)</f>
        <v/>
      </c>
      <c r="G191" s="72" t="str">
        <f t="array" ref="G191">XLOOKUP(C191,'Master Data'!C:C,'Master Data'!F:F)</f>
        <v/>
      </c>
      <c r="H191" s="72" t="str">
        <f t="array" ref="H191">XLOOKUP(C191,'Master Data'!C:C,'Master Data'!G:G)</f>
        <v/>
      </c>
      <c r="I191" s="72" t="str">
        <f t="array" ref="I191">XLOOKUP(C191,'Master Data'!C:C,'Master Data'!H:H)</f>
        <v/>
      </c>
      <c r="J191" s="72" t="str">
        <f t="array" ref="J191">XLOOKUP(C191,'Master Data'!C:C,'Master Data'!I:I)</f>
        <v/>
      </c>
      <c r="K191" s="72" t="str">
        <f t="array" ref="K191">XLOOKUP(C191,'Master Data'!C:C,'Master Data'!J:J)</f>
        <v/>
      </c>
      <c r="L191" s="74" t="str">
        <f t="array" ref="L191">XLOOKUP(C:C,TSR_Completion!C:C,TSR_Completion!M:M)</f>
        <v/>
      </c>
      <c r="M191" s="4"/>
      <c r="N191" s="4"/>
      <c r="O191" s="4"/>
      <c r="P191" s="4"/>
      <c r="Q191" s="4"/>
      <c r="R191" s="4"/>
      <c r="S191" s="4"/>
      <c r="T191" s="4"/>
      <c r="U191" s="4"/>
      <c r="V191" s="4"/>
      <c r="W191" s="4"/>
      <c r="X191" s="4"/>
      <c r="Y191" s="4"/>
    </row>
    <row r="192">
      <c r="A192" s="6"/>
      <c r="B192" s="6" t="s">
        <v>158</v>
      </c>
      <c r="C192" s="71" t="s">
        <v>12</v>
      </c>
      <c r="D192" s="72" t="str">
        <f t="array" ref="D192">XLOOKUP(C192,'Master Data'!C:C,'Master Data'!D:D)</f>
        <v/>
      </c>
      <c r="E192" s="73"/>
      <c r="F192" s="72" t="str">
        <f t="array" ref="F192">XLOOKUP(C192,'Master Data'!C:C,'Master Data'!E:E)</f>
        <v/>
      </c>
      <c r="G192" s="72" t="str">
        <f t="array" ref="G192">XLOOKUP(C192,'Master Data'!C:C,'Master Data'!F:F)</f>
        <v/>
      </c>
      <c r="H192" s="72" t="str">
        <f t="array" ref="H192">XLOOKUP(C192,'Master Data'!C:C,'Master Data'!G:G)</f>
        <v/>
      </c>
      <c r="I192" s="72" t="str">
        <f t="array" ref="I192">XLOOKUP(C192,'Master Data'!C:C,'Master Data'!H:H)</f>
        <v/>
      </c>
      <c r="J192" s="72" t="str">
        <f t="array" ref="J192">XLOOKUP(C192,'Master Data'!C:C,'Master Data'!I:I)</f>
        <v/>
      </c>
      <c r="K192" s="72" t="str">
        <f t="array" ref="K192">XLOOKUP(C192,'Master Data'!C:C,'Master Data'!J:J)</f>
        <v/>
      </c>
      <c r="L192" s="74" t="str">
        <f t="array" ref="L192">XLOOKUP(C:C,TSR_Completion!C:C,TSR_Completion!M:M)</f>
        <v/>
      </c>
      <c r="M192" s="4"/>
      <c r="N192" s="4"/>
      <c r="O192" s="4"/>
      <c r="P192" s="4"/>
      <c r="Q192" s="4"/>
      <c r="R192" s="4"/>
      <c r="S192" s="4"/>
      <c r="T192" s="4"/>
      <c r="U192" s="4"/>
      <c r="V192" s="4"/>
      <c r="W192" s="4"/>
      <c r="X192" s="4"/>
      <c r="Y192" s="4"/>
    </row>
    <row r="193">
      <c r="A193" s="6"/>
      <c r="B193" s="6" t="s">
        <v>158</v>
      </c>
      <c r="C193" s="71" t="s">
        <v>12</v>
      </c>
      <c r="D193" s="72" t="str">
        <f t="array" ref="D193">XLOOKUP(C193,'Master Data'!C:C,'Master Data'!D:D)</f>
        <v/>
      </c>
      <c r="E193" s="73"/>
      <c r="F193" s="72" t="str">
        <f t="array" ref="F193">XLOOKUP(C193,'Master Data'!C:C,'Master Data'!E:E)</f>
        <v/>
      </c>
      <c r="G193" s="72" t="str">
        <f t="array" ref="G193">XLOOKUP(C193,'Master Data'!C:C,'Master Data'!F:F)</f>
        <v/>
      </c>
      <c r="H193" s="72" t="str">
        <f t="array" ref="H193">XLOOKUP(C193,'Master Data'!C:C,'Master Data'!G:G)</f>
        <v/>
      </c>
      <c r="I193" s="72" t="str">
        <f t="array" ref="I193">XLOOKUP(C193,'Master Data'!C:C,'Master Data'!H:H)</f>
        <v/>
      </c>
      <c r="J193" s="72" t="str">
        <f t="array" ref="J193">XLOOKUP(C193,'Master Data'!C:C,'Master Data'!I:I)</f>
        <v/>
      </c>
      <c r="K193" s="72" t="str">
        <f t="array" ref="K193">XLOOKUP(C193,'Master Data'!C:C,'Master Data'!J:J)</f>
        <v/>
      </c>
      <c r="L193" s="74" t="str">
        <f t="array" ref="L193">XLOOKUP(C:C,TSR_Completion!C:C,TSR_Completion!M:M)</f>
        <v/>
      </c>
      <c r="M193" s="4"/>
      <c r="N193" s="4"/>
      <c r="O193" s="4"/>
      <c r="P193" s="4"/>
      <c r="Q193" s="4"/>
      <c r="R193" s="4"/>
      <c r="S193" s="4"/>
      <c r="T193" s="4"/>
      <c r="U193" s="4"/>
      <c r="V193" s="4"/>
      <c r="W193" s="4"/>
      <c r="X193" s="4"/>
      <c r="Y193" s="4"/>
    </row>
    <row r="194">
      <c r="A194" s="6"/>
      <c r="B194" s="6" t="s">
        <v>158</v>
      </c>
      <c r="C194" s="71" t="s">
        <v>12</v>
      </c>
      <c r="D194" s="72" t="str">
        <f t="array" ref="D194">XLOOKUP(C194,'Master Data'!C:C,'Master Data'!D:D)</f>
        <v/>
      </c>
      <c r="E194" s="73"/>
      <c r="F194" s="72" t="str">
        <f t="array" ref="F194">XLOOKUP(C194,'Master Data'!C:C,'Master Data'!E:E)</f>
        <v/>
      </c>
      <c r="G194" s="72" t="str">
        <f t="array" ref="G194">XLOOKUP(C194,'Master Data'!C:C,'Master Data'!F:F)</f>
        <v/>
      </c>
      <c r="H194" s="72" t="str">
        <f t="array" ref="H194">XLOOKUP(C194,'Master Data'!C:C,'Master Data'!G:G)</f>
        <v/>
      </c>
      <c r="I194" s="72" t="str">
        <f t="array" ref="I194">XLOOKUP(C194,'Master Data'!C:C,'Master Data'!H:H)</f>
        <v/>
      </c>
      <c r="J194" s="72" t="str">
        <f t="array" ref="J194">XLOOKUP(C194,'Master Data'!C:C,'Master Data'!I:I)</f>
        <v/>
      </c>
      <c r="K194" s="72" t="str">
        <f t="array" ref="K194">XLOOKUP(C194,'Master Data'!C:C,'Master Data'!J:J)</f>
        <v/>
      </c>
      <c r="L194" s="74" t="str">
        <f t="array" ref="L194">XLOOKUP(C:C,TSR_Completion!C:C,TSR_Completion!M:M)</f>
        <v/>
      </c>
      <c r="M194" s="4"/>
      <c r="N194" s="4"/>
      <c r="O194" s="4"/>
      <c r="P194" s="4"/>
      <c r="Q194" s="4"/>
      <c r="R194" s="4"/>
      <c r="S194" s="4"/>
      <c r="T194" s="4"/>
      <c r="U194" s="4"/>
      <c r="V194" s="4"/>
      <c r="W194" s="4"/>
      <c r="X194" s="4"/>
      <c r="Y194" s="4"/>
    </row>
    <row r="195">
      <c r="A195" s="6"/>
      <c r="B195" s="6" t="s">
        <v>158</v>
      </c>
      <c r="C195" s="71" t="s">
        <v>12</v>
      </c>
      <c r="D195" s="72" t="str">
        <f t="array" ref="D195">XLOOKUP(C195,'Master Data'!C:C,'Master Data'!D:D)</f>
        <v/>
      </c>
      <c r="E195" s="73"/>
      <c r="F195" s="72" t="str">
        <f t="array" ref="F195">XLOOKUP(C195,'Master Data'!C:C,'Master Data'!E:E)</f>
        <v/>
      </c>
      <c r="G195" s="72" t="str">
        <f t="array" ref="G195">XLOOKUP(C195,'Master Data'!C:C,'Master Data'!F:F)</f>
        <v/>
      </c>
      <c r="H195" s="72" t="str">
        <f t="array" ref="H195">XLOOKUP(C195,'Master Data'!C:C,'Master Data'!G:G)</f>
        <v/>
      </c>
      <c r="I195" s="72" t="str">
        <f t="array" ref="I195">XLOOKUP(C195,'Master Data'!C:C,'Master Data'!H:H)</f>
        <v/>
      </c>
      <c r="J195" s="72" t="str">
        <f t="array" ref="J195">XLOOKUP(C195,'Master Data'!C:C,'Master Data'!I:I)</f>
        <v/>
      </c>
      <c r="K195" s="72" t="str">
        <f t="array" ref="K195">XLOOKUP(C195,'Master Data'!C:C,'Master Data'!J:J)</f>
        <v/>
      </c>
      <c r="L195" s="74" t="str">
        <f t="array" ref="L195">XLOOKUP(C:C,TSR_Completion!C:C,TSR_Completion!M:M)</f>
        <v/>
      </c>
      <c r="M195" s="4"/>
      <c r="N195" s="4"/>
      <c r="O195" s="4"/>
      <c r="P195" s="4"/>
      <c r="Q195" s="4"/>
      <c r="R195" s="4"/>
      <c r="S195" s="4"/>
      <c r="T195" s="4"/>
      <c r="U195" s="4"/>
      <c r="V195" s="4"/>
      <c r="W195" s="4"/>
      <c r="X195" s="4"/>
      <c r="Y195" s="4"/>
    </row>
    <row r="196">
      <c r="A196" s="6"/>
      <c r="B196" s="6" t="s">
        <v>158</v>
      </c>
      <c r="C196" s="71" t="s">
        <v>12</v>
      </c>
      <c r="D196" s="72" t="str">
        <f t="array" ref="D196">XLOOKUP(C196,'Master Data'!C:C,'Master Data'!D:D)</f>
        <v/>
      </c>
      <c r="E196" s="73"/>
      <c r="F196" s="72" t="str">
        <f t="array" ref="F196">XLOOKUP(C196,'Master Data'!C:C,'Master Data'!E:E)</f>
        <v/>
      </c>
      <c r="G196" s="72" t="str">
        <f t="array" ref="G196">XLOOKUP(C196,'Master Data'!C:C,'Master Data'!F:F)</f>
        <v/>
      </c>
      <c r="H196" s="72" t="str">
        <f t="array" ref="H196">XLOOKUP(C196,'Master Data'!C:C,'Master Data'!G:G)</f>
        <v/>
      </c>
      <c r="I196" s="72" t="str">
        <f t="array" ref="I196">XLOOKUP(C196,'Master Data'!C:C,'Master Data'!H:H)</f>
        <v/>
      </c>
      <c r="J196" s="72" t="str">
        <f t="array" ref="J196">XLOOKUP(C196,'Master Data'!C:C,'Master Data'!I:I)</f>
        <v/>
      </c>
      <c r="K196" s="72" t="str">
        <f t="array" ref="K196">XLOOKUP(C196,'Master Data'!C:C,'Master Data'!J:J)</f>
        <v/>
      </c>
      <c r="L196" s="74" t="str">
        <f t="array" ref="L196">XLOOKUP(C:C,TSR_Completion!C:C,TSR_Completion!M:M)</f>
        <v/>
      </c>
      <c r="M196" s="4"/>
      <c r="N196" s="4"/>
      <c r="O196" s="4"/>
      <c r="P196" s="4"/>
      <c r="Q196" s="4"/>
      <c r="R196" s="4"/>
      <c r="S196" s="4"/>
      <c r="T196" s="4"/>
      <c r="U196" s="4"/>
      <c r="V196" s="4"/>
      <c r="W196" s="4"/>
      <c r="X196" s="4"/>
      <c r="Y196" s="4"/>
    </row>
    <row r="197">
      <c r="A197" s="6"/>
      <c r="B197" s="6" t="s">
        <v>158</v>
      </c>
      <c r="C197" s="71" t="s">
        <v>12</v>
      </c>
      <c r="D197" s="72" t="str">
        <f t="array" ref="D197">XLOOKUP(C197,'Master Data'!C:C,'Master Data'!D:D)</f>
        <v/>
      </c>
      <c r="E197" s="73"/>
      <c r="F197" s="72" t="str">
        <f t="array" ref="F197">XLOOKUP(C197,'Master Data'!C:C,'Master Data'!E:E)</f>
        <v/>
      </c>
      <c r="G197" s="72" t="str">
        <f t="array" ref="G197">XLOOKUP(C197,'Master Data'!C:C,'Master Data'!F:F)</f>
        <v/>
      </c>
      <c r="H197" s="72" t="str">
        <f t="array" ref="H197">XLOOKUP(C197,'Master Data'!C:C,'Master Data'!G:G)</f>
        <v/>
      </c>
      <c r="I197" s="72" t="str">
        <f t="array" ref="I197">XLOOKUP(C197,'Master Data'!C:C,'Master Data'!H:H)</f>
        <v/>
      </c>
      <c r="J197" s="72" t="str">
        <f t="array" ref="J197">XLOOKUP(C197,'Master Data'!C:C,'Master Data'!I:I)</f>
        <v/>
      </c>
      <c r="K197" s="72" t="str">
        <f t="array" ref="K197">XLOOKUP(C197,'Master Data'!C:C,'Master Data'!J:J)</f>
        <v/>
      </c>
      <c r="L197" s="74" t="str">
        <f t="array" ref="L197">XLOOKUP(C:C,TSR_Completion!C:C,TSR_Completion!M:M)</f>
        <v/>
      </c>
      <c r="M197" s="4"/>
      <c r="N197" s="4"/>
      <c r="O197" s="4"/>
      <c r="P197" s="4"/>
      <c r="Q197" s="4"/>
      <c r="R197" s="4"/>
      <c r="S197" s="4"/>
      <c r="T197" s="4"/>
      <c r="U197" s="4"/>
      <c r="V197" s="4"/>
      <c r="W197" s="4"/>
      <c r="X197" s="4"/>
      <c r="Y197" s="4"/>
    </row>
    <row r="198">
      <c r="A198" s="6"/>
      <c r="B198" s="6" t="s">
        <v>158</v>
      </c>
      <c r="C198" s="71" t="s">
        <v>12</v>
      </c>
      <c r="D198" s="72" t="str">
        <f t="array" ref="D198">XLOOKUP(C198,'Master Data'!C:C,'Master Data'!D:D)</f>
        <v/>
      </c>
      <c r="E198" s="73"/>
      <c r="F198" s="72" t="str">
        <f t="array" ref="F198">XLOOKUP(C198,'Master Data'!C:C,'Master Data'!E:E)</f>
        <v/>
      </c>
      <c r="G198" s="72" t="str">
        <f t="array" ref="G198">XLOOKUP(C198,'Master Data'!C:C,'Master Data'!F:F)</f>
        <v/>
      </c>
      <c r="H198" s="72" t="str">
        <f t="array" ref="H198">XLOOKUP(C198,'Master Data'!C:C,'Master Data'!G:G)</f>
        <v/>
      </c>
      <c r="I198" s="72" t="str">
        <f t="array" ref="I198">XLOOKUP(C198,'Master Data'!C:C,'Master Data'!H:H)</f>
        <v/>
      </c>
      <c r="J198" s="72" t="str">
        <f t="array" ref="J198">XLOOKUP(C198,'Master Data'!C:C,'Master Data'!I:I)</f>
        <v/>
      </c>
      <c r="K198" s="72" t="str">
        <f t="array" ref="K198">XLOOKUP(C198,'Master Data'!C:C,'Master Data'!J:J)</f>
        <v/>
      </c>
      <c r="L198" s="74" t="str">
        <f t="array" ref="L198">XLOOKUP(C:C,TSR_Completion!C:C,TSR_Completion!M:M)</f>
        <v/>
      </c>
      <c r="M198" s="4"/>
      <c r="N198" s="4"/>
      <c r="O198" s="4"/>
      <c r="P198" s="4"/>
      <c r="Q198" s="4"/>
      <c r="R198" s="4"/>
      <c r="S198" s="4"/>
      <c r="T198" s="4"/>
      <c r="U198" s="4"/>
      <c r="V198" s="4"/>
      <c r="W198" s="4"/>
      <c r="X198" s="4"/>
      <c r="Y198" s="4"/>
    </row>
    <row r="199">
      <c r="A199" s="6"/>
      <c r="B199" s="6" t="s">
        <v>158</v>
      </c>
      <c r="C199" s="71" t="s">
        <v>12</v>
      </c>
      <c r="D199" s="72" t="str">
        <f t="array" ref="D199">XLOOKUP(C199,'Master Data'!C:C,'Master Data'!D:D)</f>
        <v/>
      </c>
      <c r="E199" s="73"/>
      <c r="F199" s="72" t="str">
        <f t="array" ref="F199">XLOOKUP(C199,'Master Data'!C:C,'Master Data'!E:E)</f>
        <v/>
      </c>
      <c r="G199" s="72" t="str">
        <f t="array" ref="G199">XLOOKUP(C199,'Master Data'!C:C,'Master Data'!F:F)</f>
        <v/>
      </c>
      <c r="H199" s="72" t="str">
        <f t="array" ref="H199">XLOOKUP(C199,'Master Data'!C:C,'Master Data'!G:G)</f>
        <v/>
      </c>
      <c r="I199" s="72" t="str">
        <f t="array" ref="I199">XLOOKUP(C199,'Master Data'!C:C,'Master Data'!H:H)</f>
        <v/>
      </c>
      <c r="J199" s="72" t="str">
        <f t="array" ref="J199">XLOOKUP(C199,'Master Data'!C:C,'Master Data'!I:I)</f>
        <v/>
      </c>
      <c r="K199" s="72" t="str">
        <f t="array" ref="K199">XLOOKUP(C199,'Master Data'!C:C,'Master Data'!J:J)</f>
        <v/>
      </c>
      <c r="L199" s="74" t="str">
        <f t="array" ref="L199">XLOOKUP(C:C,TSR_Completion!C:C,TSR_Completion!M:M)</f>
        <v/>
      </c>
      <c r="M199" s="4"/>
      <c r="N199" s="4"/>
      <c r="O199" s="4"/>
      <c r="P199" s="4"/>
      <c r="Q199" s="4"/>
      <c r="R199" s="4"/>
      <c r="S199" s="4"/>
      <c r="T199" s="4"/>
      <c r="U199" s="4"/>
      <c r="V199" s="4"/>
      <c r="W199" s="4"/>
      <c r="X199" s="4"/>
      <c r="Y199" s="4"/>
    </row>
    <row r="200">
      <c r="A200" s="6"/>
      <c r="B200" s="6" t="s">
        <v>158</v>
      </c>
      <c r="C200" s="71" t="s">
        <v>12</v>
      </c>
      <c r="D200" s="72" t="str">
        <f t="array" ref="D200">XLOOKUP(C200,'Master Data'!C:C,'Master Data'!D:D)</f>
        <v/>
      </c>
      <c r="E200" s="73"/>
      <c r="F200" s="72" t="str">
        <f t="array" ref="F200">XLOOKUP(C200,'Master Data'!C:C,'Master Data'!E:E)</f>
        <v/>
      </c>
      <c r="G200" s="72" t="str">
        <f t="array" ref="G200">XLOOKUP(C200,'Master Data'!C:C,'Master Data'!F:F)</f>
        <v/>
      </c>
      <c r="H200" s="72" t="str">
        <f t="array" ref="H200">XLOOKUP(C200,'Master Data'!C:C,'Master Data'!G:G)</f>
        <v/>
      </c>
      <c r="I200" s="72" t="str">
        <f t="array" ref="I200">XLOOKUP(C200,'Master Data'!C:C,'Master Data'!H:H)</f>
        <v/>
      </c>
      <c r="J200" s="72" t="str">
        <f t="array" ref="J200">XLOOKUP(C200,'Master Data'!C:C,'Master Data'!I:I)</f>
        <v/>
      </c>
      <c r="K200" s="72" t="str">
        <f t="array" ref="K200">XLOOKUP(C200,'Master Data'!C:C,'Master Data'!J:J)</f>
        <v/>
      </c>
      <c r="L200" s="74" t="str">
        <f t="array" ref="L200">XLOOKUP(C:C,TSR_Completion!C:C,TSR_Completion!M:M)</f>
        <v/>
      </c>
      <c r="M200" s="4"/>
      <c r="N200" s="4"/>
      <c r="O200" s="4"/>
      <c r="P200" s="4"/>
      <c r="Q200" s="4"/>
      <c r="R200" s="4"/>
      <c r="S200" s="4"/>
      <c r="T200" s="4"/>
      <c r="U200" s="4"/>
      <c r="V200" s="4"/>
      <c r="W200" s="4"/>
      <c r="X200" s="4"/>
      <c r="Y200" s="4"/>
    </row>
    <row r="201">
      <c r="A201" s="6"/>
      <c r="B201" s="6" t="s">
        <v>158</v>
      </c>
      <c r="C201" s="71" t="s">
        <v>12</v>
      </c>
      <c r="D201" s="72" t="str">
        <f t="array" ref="D201">XLOOKUP(C201,'Master Data'!C:C,'Master Data'!D:D)</f>
        <v/>
      </c>
      <c r="E201" s="73"/>
      <c r="F201" s="72" t="str">
        <f t="array" ref="F201">XLOOKUP(C201,'Master Data'!C:C,'Master Data'!E:E)</f>
        <v/>
      </c>
      <c r="G201" s="72" t="str">
        <f t="array" ref="G201">XLOOKUP(C201,'Master Data'!C:C,'Master Data'!F:F)</f>
        <v/>
      </c>
      <c r="H201" s="72" t="str">
        <f t="array" ref="H201">XLOOKUP(C201,'Master Data'!C:C,'Master Data'!G:G)</f>
        <v/>
      </c>
      <c r="I201" s="72" t="str">
        <f t="array" ref="I201">XLOOKUP(C201,'Master Data'!C:C,'Master Data'!H:H)</f>
        <v/>
      </c>
      <c r="J201" s="72" t="str">
        <f t="array" ref="J201">XLOOKUP(C201,'Master Data'!C:C,'Master Data'!I:I)</f>
        <v/>
      </c>
      <c r="K201" s="72" t="str">
        <f t="array" ref="K201">XLOOKUP(C201,'Master Data'!C:C,'Master Data'!J:J)</f>
        <v/>
      </c>
      <c r="L201" s="74" t="str">
        <f t="array" ref="L201">XLOOKUP(C:C,TSR_Completion!C:C,TSR_Completion!M:M)</f>
        <v/>
      </c>
      <c r="M201" s="4"/>
      <c r="N201" s="4"/>
      <c r="O201" s="4"/>
      <c r="P201" s="4"/>
      <c r="Q201" s="4"/>
      <c r="R201" s="4"/>
      <c r="S201" s="4"/>
      <c r="T201" s="4"/>
      <c r="U201" s="4"/>
      <c r="V201" s="4"/>
      <c r="W201" s="4"/>
      <c r="X201" s="4"/>
      <c r="Y201" s="4"/>
    </row>
    <row r="202">
      <c r="A202" s="6"/>
      <c r="B202" s="6" t="s">
        <v>158</v>
      </c>
      <c r="C202" s="71" t="s">
        <v>12</v>
      </c>
      <c r="D202" s="72" t="str">
        <f t="array" ref="D202">XLOOKUP(C202,'Master Data'!C:C,'Master Data'!D:D)</f>
        <v/>
      </c>
      <c r="E202" s="73"/>
      <c r="F202" s="72" t="str">
        <f t="array" ref="F202">XLOOKUP(C202,'Master Data'!C:C,'Master Data'!E:E)</f>
        <v/>
      </c>
      <c r="G202" s="72" t="str">
        <f t="array" ref="G202">XLOOKUP(C202,'Master Data'!C:C,'Master Data'!F:F)</f>
        <v/>
      </c>
      <c r="H202" s="72" t="str">
        <f t="array" ref="H202">XLOOKUP(C202,'Master Data'!C:C,'Master Data'!G:G)</f>
        <v/>
      </c>
      <c r="I202" s="72" t="str">
        <f t="array" ref="I202">XLOOKUP(C202,'Master Data'!C:C,'Master Data'!H:H)</f>
        <v/>
      </c>
      <c r="J202" s="72" t="str">
        <f t="array" ref="J202">XLOOKUP(C202,'Master Data'!C:C,'Master Data'!I:I)</f>
        <v/>
      </c>
      <c r="K202" s="72" t="str">
        <f t="array" ref="K202">XLOOKUP(C202,'Master Data'!C:C,'Master Data'!J:J)</f>
        <v/>
      </c>
      <c r="L202" s="74" t="str">
        <f t="array" ref="L202">XLOOKUP(C:C,TSR_Completion!C:C,TSR_Completion!M:M)</f>
        <v/>
      </c>
      <c r="M202" s="4"/>
      <c r="N202" s="4"/>
      <c r="O202" s="4"/>
      <c r="P202" s="4"/>
      <c r="Q202" s="4"/>
      <c r="R202" s="4"/>
      <c r="S202" s="4"/>
      <c r="T202" s="4"/>
      <c r="U202" s="4"/>
      <c r="V202" s="4"/>
      <c r="W202" s="4"/>
      <c r="X202" s="4"/>
      <c r="Y202" s="4"/>
    </row>
    <row r="203">
      <c r="A203" s="6"/>
      <c r="B203" s="6" t="s">
        <v>158</v>
      </c>
      <c r="C203" s="71" t="s">
        <v>12</v>
      </c>
      <c r="D203" s="72" t="str">
        <f t="array" ref="D203">XLOOKUP(C203,'Master Data'!C:C,'Master Data'!D:D)</f>
        <v/>
      </c>
      <c r="E203" s="73"/>
      <c r="F203" s="72" t="str">
        <f t="array" ref="F203">XLOOKUP(C203,'Master Data'!C:C,'Master Data'!E:E)</f>
        <v/>
      </c>
      <c r="G203" s="72" t="str">
        <f t="array" ref="G203">XLOOKUP(C203,'Master Data'!C:C,'Master Data'!F:F)</f>
        <v/>
      </c>
      <c r="H203" s="72" t="str">
        <f t="array" ref="H203">XLOOKUP(C203,'Master Data'!C:C,'Master Data'!G:G)</f>
        <v/>
      </c>
      <c r="I203" s="72" t="str">
        <f t="array" ref="I203">XLOOKUP(C203,'Master Data'!C:C,'Master Data'!H:H)</f>
        <v/>
      </c>
      <c r="J203" s="72" t="str">
        <f t="array" ref="J203">XLOOKUP(C203,'Master Data'!C:C,'Master Data'!I:I)</f>
        <v/>
      </c>
      <c r="K203" s="72" t="str">
        <f t="array" ref="K203">XLOOKUP(C203,'Master Data'!C:C,'Master Data'!J:J)</f>
        <v/>
      </c>
      <c r="L203" s="74" t="str">
        <f t="array" ref="L203">XLOOKUP(C:C,TSR_Completion!C:C,TSR_Completion!M:M)</f>
        <v/>
      </c>
      <c r="M203" s="4"/>
      <c r="N203" s="4"/>
      <c r="O203" s="4"/>
      <c r="P203" s="4"/>
      <c r="Q203" s="4"/>
      <c r="R203" s="4"/>
      <c r="S203" s="4"/>
      <c r="T203" s="4"/>
      <c r="U203" s="4"/>
      <c r="V203" s="4"/>
      <c r="W203" s="4"/>
      <c r="X203" s="4"/>
      <c r="Y203" s="4"/>
    </row>
    <row r="204">
      <c r="A204" s="6"/>
      <c r="B204" s="6" t="s">
        <v>158</v>
      </c>
      <c r="C204" s="71" t="s">
        <v>12</v>
      </c>
      <c r="D204" s="72" t="str">
        <f t="array" ref="D204">XLOOKUP(C204,'Master Data'!C:C,'Master Data'!D:D)</f>
        <v/>
      </c>
      <c r="E204" s="73"/>
      <c r="F204" s="72" t="str">
        <f t="array" ref="F204">XLOOKUP(C204,'Master Data'!C:C,'Master Data'!E:E)</f>
        <v/>
      </c>
      <c r="G204" s="72" t="str">
        <f t="array" ref="G204">XLOOKUP(C204,'Master Data'!C:C,'Master Data'!F:F)</f>
        <v/>
      </c>
      <c r="H204" s="72" t="str">
        <f t="array" ref="H204">XLOOKUP(C204,'Master Data'!C:C,'Master Data'!G:G)</f>
        <v/>
      </c>
      <c r="I204" s="72" t="str">
        <f t="array" ref="I204">XLOOKUP(C204,'Master Data'!C:C,'Master Data'!H:H)</f>
        <v/>
      </c>
      <c r="J204" s="72" t="str">
        <f t="array" ref="J204">XLOOKUP(C204,'Master Data'!C:C,'Master Data'!I:I)</f>
        <v/>
      </c>
      <c r="K204" s="72" t="str">
        <f t="array" ref="K204">XLOOKUP(C204,'Master Data'!C:C,'Master Data'!J:J)</f>
        <v/>
      </c>
      <c r="L204" s="74" t="str">
        <f t="array" ref="L204">XLOOKUP(C:C,TSR_Completion!C:C,TSR_Completion!M:M)</f>
        <v/>
      </c>
      <c r="M204" s="4"/>
      <c r="N204" s="4"/>
      <c r="O204" s="4"/>
      <c r="P204" s="4"/>
      <c r="Q204" s="4"/>
      <c r="R204" s="4"/>
      <c r="S204" s="4"/>
      <c r="T204" s="4"/>
      <c r="U204" s="4"/>
      <c r="V204" s="4"/>
      <c r="W204" s="4"/>
      <c r="X204" s="4"/>
      <c r="Y204" s="4"/>
    </row>
    <row r="205">
      <c r="A205" s="6"/>
      <c r="B205" s="6" t="s">
        <v>158</v>
      </c>
      <c r="C205" s="71" t="s">
        <v>12</v>
      </c>
      <c r="D205" s="72" t="str">
        <f t="array" ref="D205">XLOOKUP(C205,'Master Data'!C:C,'Master Data'!D:D)</f>
        <v/>
      </c>
      <c r="E205" s="73"/>
      <c r="F205" s="72" t="str">
        <f t="array" ref="F205">XLOOKUP(C205,'Master Data'!C:C,'Master Data'!E:E)</f>
        <v/>
      </c>
      <c r="G205" s="72" t="str">
        <f t="array" ref="G205">XLOOKUP(C205,'Master Data'!C:C,'Master Data'!F:F)</f>
        <v/>
      </c>
      <c r="H205" s="72" t="str">
        <f t="array" ref="H205">XLOOKUP(C205,'Master Data'!C:C,'Master Data'!G:G)</f>
        <v/>
      </c>
      <c r="I205" s="72" t="str">
        <f t="array" ref="I205">XLOOKUP(C205,'Master Data'!C:C,'Master Data'!H:H)</f>
        <v/>
      </c>
      <c r="J205" s="72" t="str">
        <f t="array" ref="J205">XLOOKUP(C205,'Master Data'!C:C,'Master Data'!I:I)</f>
        <v/>
      </c>
      <c r="K205" s="72" t="str">
        <f t="array" ref="K205">XLOOKUP(C205,'Master Data'!C:C,'Master Data'!J:J)</f>
        <v/>
      </c>
      <c r="L205" s="74" t="str">
        <f t="array" ref="L205">XLOOKUP(C:C,TSR_Completion!C:C,TSR_Completion!M:M)</f>
        <v/>
      </c>
      <c r="M205" s="4"/>
      <c r="N205" s="4"/>
      <c r="O205" s="4"/>
      <c r="P205" s="4"/>
      <c r="Q205" s="4"/>
      <c r="R205" s="4"/>
      <c r="S205" s="4"/>
      <c r="T205" s="4"/>
      <c r="U205" s="4"/>
      <c r="V205" s="4"/>
      <c r="W205" s="4"/>
      <c r="X205" s="4"/>
      <c r="Y205" s="4"/>
    </row>
    <row r="206">
      <c r="A206" s="6"/>
      <c r="B206" s="6" t="s">
        <v>158</v>
      </c>
      <c r="C206" s="71" t="s">
        <v>12</v>
      </c>
      <c r="D206" s="72" t="str">
        <f t="array" ref="D206">XLOOKUP(C206,'Master Data'!C:C,'Master Data'!D:D)</f>
        <v/>
      </c>
      <c r="E206" s="73"/>
      <c r="F206" s="72" t="str">
        <f t="array" ref="F206">XLOOKUP(C206,'Master Data'!C:C,'Master Data'!E:E)</f>
        <v/>
      </c>
      <c r="G206" s="72" t="str">
        <f t="array" ref="G206">XLOOKUP(C206,'Master Data'!C:C,'Master Data'!F:F)</f>
        <v/>
      </c>
      <c r="H206" s="72" t="str">
        <f t="array" ref="H206">XLOOKUP(C206,'Master Data'!C:C,'Master Data'!G:G)</f>
        <v/>
      </c>
      <c r="I206" s="72" t="str">
        <f t="array" ref="I206">XLOOKUP(C206,'Master Data'!C:C,'Master Data'!H:H)</f>
        <v/>
      </c>
      <c r="J206" s="72" t="str">
        <f t="array" ref="J206">XLOOKUP(C206,'Master Data'!C:C,'Master Data'!I:I)</f>
        <v/>
      </c>
      <c r="K206" s="72" t="str">
        <f t="array" ref="K206">XLOOKUP(C206,'Master Data'!C:C,'Master Data'!J:J)</f>
        <v/>
      </c>
      <c r="L206" s="74" t="str">
        <f t="array" ref="L206">XLOOKUP(C:C,TSR_Completion!C:C,TSR_Completion!M:M)</f>
        <v/>
      </c>
      <c r="M206" s="4"/>
      <c r="N206" s="4"/>
      <c r="O206" s="4"/>
      <c r="P206" s="4"/>
      <c r="Q206" s="4"/>
      <c r="R206" s="4"/>
      <c r="S206" s="4"/>
      <c r="T206" s="4"/>
      <c r="U206" s="4"/>
      <c r="V206" s="4"/>
      <c r="W206" s="4"/>
      <c r="X206" s="4"/>
      <c r="Y206" s="4"/>
    </row>
    <row r="207">
      <c r="A207" s="6"/>
      <c r="B207" s="6" t="s">
        <v>158</v>
      </c>
      <c r="C207" s="71" t="s">
        <v>12</v>
      </c>
      <c r="D207" s="72" t="str">
        <f t="array" ref="D207">XLOOKUP(C207,'Master Data'!C:C,'Master Data'!D:D)</f>
        <v/>
      </c>
      <c r="E207" s="73"/>
      <c r="F207" s="72" t="str">
        <f t="array" ref="F207">XLOOKUP(C207,'Master Data'!C:C,'Master Data'!E:E)</f>
        <v/>
      </c>
      <c r="G207" s="72" t="str">
        <f t="array" ref="G207">XLOOKUP(C207,'Master Data'!C:C,'Master Data'!F:F)</f>
        <v/>
      </c>
      <c r="H207" s="72" t="str">
        <f t="array" ref="H207">XLOOKUP(C207,'Master Data'!C:C,'Master Data'!G:G)</f>
        <v/>
      </c>
      <c r="I207" s="72" t="str">
        <f t="array" ref="I207">XLOOKUP(C207,'Master Data'!C:C,'Master Data'!H:H)</f>
        <v/>
      </c>
      <c r="J207" s="72" t="str">
        <f t="array" ref="J207">XLOOKUP(C207,'Master Data'!C:C,'Master Data'!I:I)</f>
        <v/>
      </c>
      <c r="K207" s="72" t="str">
        <f t="array" ref="K207">XLOOKUP(C207,'Master Data'!C:C,'Master Data'!J:J)</f>
        <v/>
      </c>
      <c r="L207" s="74" t="str">
        <f t="array" ref="L207">XLOOKUP(C:C,TSR_Completion!C:C,TSR_Completion!M:M)</f>
        <v/>
      </c>
      <c r="M207" s="4"/>
      <c r="N207" s="4"/>
      <c r="O207" s="4"/>
      <c r="P207" s="4"/>
      <c r="Q207" s="4"/>
      <c r="R207" s="4"/>
      <c r="S207" s="4"/>
      <c r="T207" s="4"/>
      <c r="U207" s="4"/>
      <c r="V207" s="4"/>
      <c r="W207" s="4"/>
      <c r="X207" s="4"/>
      <c r="Y207" s="4"/>
    </row>
    <row r="208">
      <c r="A208" s="6"/>
      <c r="B208" s="6" t="s">
        <v>158</v>
      </c>
      <c r="C208" s="71" t="s">
        <v>12</v>
      </c>
      <c r="D208" s="72" t="str">
        <f t="array" ref="D208">XLOOKUP(C208,'Master Data'!C:C,'Master Data'!D:D)</f>
        <v/>
      </c>
      <c r="E208" s="73"/>
      <c r="F208" s="72" t="str">
        <f t="array" ref="F208">XLOOKUP(C208,'Master Data'!C:C,'Master Data'!E:E)</f>
        <v/>
      </c>
      <c r="G208" s="72" t="str">
        <f t="array" ref="G208">XLOOKUP(C208,'Master Data'!C:C,'Master Data'!F:F)</f>
        <v/>
      </c>
      <c r="H208" s="72" t="str">
        <f t="array" ref="H208">XLOOKUP(C208,'Master Data'!C:C,'Master Data'!G:G)</f>
        <v/>
      </c>
      <c r="I208" s="72" t="str">
        <f t="array" ref="I208">XLOOKUP(C208,'Master Data'!C:C,'Master Data'!H:H)</f>
        <v/>
      </c>
      <c r="J208" s="72" t="str">
        <f t="array" ref="J208">XLOOKUP(C208,'Master Data'!C:C,'Master Data'!I:I)</f>
        <v/>
      </c>
      <c r="K208" s="72" t="str">
        <f t="array" ref="K208">XLOOKUP(C208,'Master Data'!C:C,'Master Data'!J:J)</f>
        <v/>
      </c>
      <c r="L208" s="74" t="str">
        <f t="array" ref="L208">XLOOKUP(C:C,TSR_Completion!C:C,TSR_Completion!M:M)</f>
        <v/>
      </c>
      <c r="M208" s="4"/>
      <c r="N208" s="4"/>
      <c r="O208" s="4"/>
      <c r="P208" s="4"/>
      <c r="Q208" s="4"/>
      <c r="R208" s="4"/>
      <c r="S208" s="4"/>
      <c r="T208" s="4"/>
      <c r="U208" s="4"/>
      <c r="V208" s="4"/>
      <c r="W208" s="4"/>
      <c r="X208" s="4"/>
      <c r="Y208" s="4"/>
    </row>
    <row r="209">
      <c r="A209" s="6"/>
      <c r="B209" s="6" t="s">
        <v>158</v>
      </c>
      <c r="C209" s="71" t="s">
        <v>12</v>
      </c>
      <c r="D209" s="72" t="str">
        <f t="array" ref="D209">XLOOKUP(C209,'Master Data'!C:C,'Master Data'!D:D)</f>
        <v/>
      </c>
      <c r="E209" s="73"/>
      <c r="F209" s="72" t="str">
        <f t="array" ref="F209">XLOOKUP(C209,'Master Data'!C:C,'Master Data'!E:E)</f>
        <v/>
      </c>
      <c r="G209" s="72" t="str">
        <f t="array" ref="G209">XLOOKUP(C209,'Master Data'!C:C,'Master Data'!F:F)</f>
        <v/>
      </c>
      <c r="H209" s="72" t="str">
        <f t="array" ref="H209">XLOOKUP(C209,'Master Data'!C:C,'Master Data'!G:G)</f>
        <v/>
      </c>
      <c r="I209" s="72" t="str">
        <f t="array" ref="I209">XLOOKUP(C209,'Master Data'!C:C,'Master Data'!H:H)</f>
        <v/>
      </c>
      <c r="J209" s="72" t="str">
        <f t="array" ref="J209">XLOOKUP(C209,'Master Data'!C:C,'Master Data'!I:I)</f>
        <v/>
      </c>
      <c r="K209" s="72" t="str">
        <f t="array" ref="K209">XLOOKUP(C209,'Master Data'!C:C,'Master Data'!J:J)</f>
        <v/>
      </c>
      <c r="L209" s="74" t="str">
        <f t="array" ref="L209">XLOOKUP(C:C,TSR_Completion!C:C,TSR_Completion!M:M)</f>
        <v/>
      </c>
      <c r="M209" s="4"/>
      <c r="N209" s="4"/>
      <c r="O209" s="4"/>
      <c r="P209" s="4"/>
      <c r="Q209" s="4"/>
      <c r="R209" s="4"/>
      <c r="S209" s="4"/>
      <c r="T209" s="4"/>
      <c r="U209" s="4"/>
      <c r="V209" s="4"/>
      <c r="W209" s="4"/>
      <c r="X209" s="4"/>
      <c r="Y209" s="4"/>
    </row>
    <row r="210">
      <c r="A210" s="6"/>
      <c r="B210" s="6" t="s">
        <v>158</v>
      </c>
      <c r="C210" s="71" t="s">
        <v>12</v>
      </c>
      <c r="D210" s="72" t="str">
        <f t="array" ref="D210">XLOOKUP(C210,'Master Data'!C:C,'Master Data'!D:D)</f>
        <v/>
      </c>
      <c r="E210" s="73"/>
      <c r="F210" s="72" t="str">
        <f t="array" ref="F210">XLOOKUP(C210,'Master Data'!C:C,'Master Data'!E:E)</f>
        <v/>
      </c>
      <c r="G210" s="72" t="str">
        <f t="array" ref="G210">XLOOKUP(C210,'Master Data'!C:C,'Master Data'!F:F)</f>
        <v/>
      </c>
      <c r="H210" s="72" t="str">
        <f t="array" ref="H210">XLOOKUP(C210,'Master Data'!C:C,'Master Data'!G:G)</f>
        <v/>
      </c>
      <c r="I210" s="72" t="str">
        <f t="array" ref="I210">XLOOKUP(C210,'Master Data'!C:C,'Master Data'!H:H)</f>
        <v/>
      </c>
      <c r="J210" s="72" t="str">
        <f t="array" ref="J210">XLOOKUP(C210,'Master Data'!C:C,'Master Data'!I:I)</f>
        <v/>
      </c>
      <c r="K210" s="72" t="str">
        <f t="array" ref="K210">XLOOKUP(C210,'Master Data'!C:C,'Master Data'!J:J)</f>
        <v/>
      </c>
      <c r="L210" s="74" t="str">
        <f t="array" ref="L210">XLOOKUP(C:C,TSR_Completion!C:C,TSR_Completion!M:M)</f>
        <v/>
      </c>
      <c r="M210" s="4"/>
      <c r="N210" s="4"/>
      <c r="O210" s="4"/>
      <c r="P210" s="4"/>
      <c r="Q210" s="4"/>
      <c r="R210" s="4"/>
      <c r="S210" s="4"/>
      <c r="T210" s="4"/>
      <c r="U210" s="4"/>
      <c r="V210" s="4"/>
      <c r="W210" s="4"/>
      <c r="X210" s="4"/>
      <c r="Y210" s="4"/>
    </row>
    <row r="211">
      <c r="A211" s="6"/>
      <c r="B211" s="6" t="s">
        <v>158</v>
      </c>
      <c r="C211" s="71" t="s">
        <v>12</v>
      </c>
      <c r="D211" s="72" t="str">
        <f t="array" ref="D211">XLOOKUP(C211,'Master Data'!C:C,'Master Data'!D:D)</f>
        <v/>
      </c>
      <c r="E211" s="73"/>
      <c r="F211" s="72" t="str">
        <f t="array" ref="F211">XLOOKUP(C211,'Master Data'!C:C,'Master Data'!E:E)</f>
        <v/>
      </c>
      <c r="G211" s="72" t="str">
        <f t="array" ref="G211">XLOOKUP(C211,'Master Data'!C:C,'Master Data'!F:F)</f>
        <v/>
      </c>
      <c r="H211" s="72" t="str">
        <f t="array" ref="H211">XLOOKUP(C211,'Master Data'!C:C,'Master Data'!G:G)</f>
        <v/>
      </c>
      <c r="I211" s="72" t="str">
        <f t="array" ref="I211">XLOOKUP(C211,'Master Data'!C:C,'Master Data'!H:H)</f>
        <v/>
      </c>
      <c r="J211" s="72" t="str">
        <f t="array" ref="J211">XLOOKUP(C211,'Master Data'!C:C,'Master Data'!I:I)</f>
        <v/>
      </c>
      <c r="K211" s="72" t="str">
        <f t="array" ref="K211">XLOOKUP(C211,'Master Data'!C:C,'Master Data'!J:J)</f>
        <v/>
      </c>
      <c r="L211" s="74" t="str">
        <f t="array" ref="L211">XLOOKUP(C:C,TSR_Completion!C:C,TSR_Completion!M:M)</f>
        <v/>
      </c>
      <c r="M211" s="4"/>
      <c r="N211" s="4"/>
      <c r="O211" s="4"/>
      <c r="P211" s="4"/>
      <c r="Q211" s="4"/>
      <c r="R211" s="4"/>
      <c r="S211" s="4"/>
      <c r="T211" s="4"/>
      <c r="U211" s="4"/>
      <c r="V211" s="4"/>
      <c r="W211" s="4"/>
      <c r="X211" s="4"/>
      <c r="Y211" s="4"/>
    </row>
    <row r="212">
      <c r="A212" s="6"/>
      <c r="B212" s="6" t="s">
        <v>158</v>
      </c>
      <c r="C212" s="71" t="s">
        <v>12</v>
      </c>
      <c r="D212" s="72" t="str">
        <f t="array" ref="D212">XLOOKUP(C212,'Master Data'!C:C,'Master Data'!D:D)</f>
        <v/>
      </c>
      <c r="E212" s="73"/>
      <c r="F212" s="72" t="str">
        <f t="array" ref="F212">XLOOKUP(C212,'Master Data'!C:C,'Master Data'!E:E)</f>
        <v/>
      </c>
      <c r="G212" s="72" t="str">
        <f t="array" ref="G212">XLOOKUP(C212,'Master Data'!C:C,'Master Data'!F:F)</f>
        <v/>
      </c>
      <c r="H212" s="72" t="str">
        <f t="array" ref="H212">XLOOKUP(C212,'Master Data'!C:C,'Master Data'!G:G)</f>
        <v/>
      </c>
      <c r="I212" s="72" t="str">
        <f t="array" ref="I212">XLOOKUP(C212,'Master Data'!C:C,'Master Data'!H:H)</f>
        <v/>
      </c>
      <c r="J212" s="72" t="str">
        <f t="array" ref="J212">XLOOKUP(C212,'Master Data'!C:C,'Master Data'!I:I)</f>
        <v/>
      </c>
      <c r="K212" s="72" t="str">
        <f t="array" ref="K212">XLOOKUP(C212,'Master Data'!C:C,'Master Data'!J:J)</f>
        <v/>
      </c>
      <c r="L212" s="74" t="str">
        <f t="array" ref="L212">XLOOKUP(C:C,TSR_Completion!C:C,TSR_Completion!M:M)</f>
        <v/>
      </c>
      <c r="M212" s="4"/>
      <c r="N212" s="4"/>
      <c r="O212" s="4"/>
      <c r="P212" s="4"/>
      <c r="Q212" s="4"/>
      <c r="R212" s="4"/>
      <c r="S212" s="4"/>
      <c r="T212" s="4"/>
      <c r="U212" s="4"/>
      <c r="V212" s="4"/>
      <c r="W212" s="4"/>
      <c r="X212" s="4"/>
      <c r="Y212" s="4"/>
    </row>
    <row r="213">
      <c r="A213" s="6"/>
      <c r="B213" s="6" t="s">
        <v>158</v>
      </c>
      <c r="C213" s="71" t="s">
        <v>12</v>
      </c>
      <c r="D213" s="72" t="str">
        <f t="array" ref="D213">XLOOKUP(C213,'Master Data'!C:C,'Master Data'!D:D)</f>
        <v/>
      </c>
      <c r="E213" s="73"/>
      <c r="F213" s="72" t="str">
        <f t="array" ref="F213">XLOOKUP(C213,'Master Data'!C:C,'Master Data'!E:E)</f>
        <v/>
      </c>
      <c r="G213" s="72" t="str">
        <f t="array" ref="G213">XLOOKUP(C213,'Master Data'!C:C,'Master Data'!F:F)</f>
        <v/>
      </c>
      <c r="H213" s="72" t="str">
        <f t="array" ref="H213">XLOOKUP(C213,'Master Data'!C:C,'Master Data'!G:G)</f>
        <v/>
      </c>
      <c r="I213" s="72" t="str">
        <f t="array" ref="I213">XLOOKUP(C213,'Master Data'!C:C,'Master Data'!H:H)</f>
        <v/>
      </c>
      <c r="J213" s="72" t="str">
        <f t="array" ref="J213">XLOOKUP(C213,'Master Data'!C:C,'Master Data'!I:I)</f>
        <v/>
      </c>
      <c r="K213" s="72" t="str">
        <f t="array" ref="K213">XLOOKUP(C213,'Master Data'!C:C,'Master Data'!J:J)</f>
        <v/>
      </c>
      <c r="L213" s="74" t="str">
        <f t="array" ref="L213">XLOOKUP(C:C,TSR_Completion!C:C,TSR_Completion!M:M)</f>
        <v/>
      </c>
      <c r="M213" s="4"/>
      <c r="N213" s="4"/>
      <c r="O213" s="4"/>
      <c r="P213" s="4"/>
      <c r="Q213" s="4"/>
      <c r="R213" s="4"/>
      <c r="S213" s="4"/>
      <c r="T213" s="4"/>
      <c r="U213" s="4"/>
      <c r="V213" s="4"/>
      <c r="W213" s="4"/>
      <c r="X213" s="4"/>
      <c r="Y213" s="4"/>
    </row>
    <row r="214">
      <c r="A214" s="6"/>
      <c r="B214" s="6" t="s">
        <v>158</v>
      </c>
      <c r="C214" s="71" t="s">
        <v>12</v>
      </c>
      <c r="D214" s="72" t="str">
        <f t="array" ref="D214">XLOOKUP(C214,'Master Data'!C:C,'Master Data'!D:D)</f>
        <v/>
      </c>
      <c r="E214" s="73"/>
      <c r="F214" s="72" t="str">
        <f t="array" ref="F214">XLOOKUP(C214,'Master Data'!C:C,'Master Data'!E:E)</f>
        <v/>
      </c>
      <c r="G214" s="72" t="str">
        <f t="array" ref="G214">XLOOKUP(C214,'Master Data'!C:C,'Master Data'!F:F)</f>
        <v/>
      </c>
      <c r="H214" s="72" t="str">
        <f t="array" ref="H214">XLOOKUP(C214,'Master Data'!C:C,'Master Data'!G:G)</f>
        <v/>
      </c>
      <c r="I214" s="72" t="str">
        <f t="array" ref="I214">XLOOKUP(C214,'Master Data'!C:C,'Master Data'!H:H)</f>
        <v/>
      </c>
      <c r="J214" s="72" t="str">
        <f t="array" ref="J214">XLOOKUP(C214,'Master Data'!C:C,'Master Data'!I:I)</f>
        <v/>
      </c>
      <c r="K214" s="72" t="str">
        <f t="array" ref="K214">XLOOKUP(C214,'Master Data'!C:C,'Master Data'!J:J)</f>
        <v/>
      </c>
      <c r="L214" s="74" t="str">
        <f t="array" ref="L214">XLOOKUP(C:C,TSR_Completion!C:C,TSR_Completion!M:M)</f>
        <v/>
      </c>
      <c r="M214" s="4"/>
      <c r="N214" s="4"/>
      <c r="O214" s="4"/>
      <c r="P214" s="4"/>
      <c r="Q214" s="4"/>
      <c r="R214" s="4"/>
      <c r="S214" s="4"/>
      <c r="T214" s="4"/>
      <c r="U214" s="4"/>
      <c r="V214" s="4"/>
      <c r="W214" s="4"/>
      <c r="X214" s="4"/>
      <c r="Y214" s="4"/>
    </row>
    <row r="215">
      <c r="A215" s="6"/>
      <c r="B215" s="6" t="s">
        <v>158</v>
      </c>
      <c r="C215" s="71" t="s">
        <v>12</v>
      </c>
      <c r="D215" s="72" t="str">
        <f t="array" ref="D215">XLOOKUP(C215,'Master Data'!C:C,'Master Data'!D:D)</f>
        <v/>
      </c>
      <c r="E215" s="73"/>
      <c r="F215" s="72" t="str">
        <f t="array" ref="F215">XLOOKUP(C215,'Master Data'!C:C,'Master Data'!E:E)</f>
        <v/>
      </c>
      <c r="G215" s="72" t="str">
        <f t="array" ref="G215">XLOOKUP(C215,'Master Data'!C:C,'Master Data'!F:F)</f>
        <v/>
      </c>
      <c r="H215" s="72" t="str">
        <f t="array" ref="H215">XLOOKUP(C215,'Master Data'!C:C,'Master Data'!G:G)</f>
        <v/>
      </c>
      <c r="I215" s="72" t="str">
        <f t="array" ref="I215">XLOOKUP(C215,'Master Data'!C:C,'Master Data'!H:H)</f>
        <v/>
      </c>
      <c r="J215" s="72" t="str">
        <f t="array" ref="J215">XLOOKUP(C215,'Master Data'!C:C,'Master Data'!I:I)</f>
        <v/>
      </c>
      <c r="K215" s="72" t="str">
        <f t="array" ref="K215">XLOOKUP(C215,'Master Data'!C:C,'Master Data'!J:J)</f>
        <v/>
      </c>
      <c r="L215" s="74" t="str">
        <f t="array" ref="L215">XLOOKUP(C:C,TSR_Completion!C:C,TSR_Completion!M:M)</f>
        <v/>
      </c>
      <c r="M215" s="4"/>
      <c r="N215" s="4"/>
      <c r="O215" s="4"/>
      <c r="P215" s="4"/>
      <c r="Q215" s="4"/>
      <c r="R215" s="4"/>
      <c r="S215" s="4"/>
      <c r="T215" s="4"/>
      <c r="U215" s="4"/>
      <c r="V215" s="4"/>
      <c r="W215" s="4"/>
      <c r="X215" s="4"/>
      <c r="Y215" s="4"/>
    </row>
    <row r="216">
      <c r="A216" s="6"/>
      <c r="B216" s="6" t="s">
        <v>158</v>
      </c>
      <c r="C216" s="71" t="s">
        <v>12</v>
      </c>
      <c r="D216" s="72" t="str">
        <f t="array" ref="D216">XLOOKUP(C216,'Master Data'!C:C,'Master Data'!D:D)</f>
        <v/>
      </c>
      <c r="E216" s="73"/>
      <c r="F216" s="72" t="str">
        <f t="array" ref="F216">XLOOKUP(C216,'Master Data'!C:C,'Master Data'!E:E)</f>
        <v/>
      </c>
      <c r="G216" s="72" t="str">
        <f t="array" ref="G216">XLOOKUP(C216,'Master Data'!C:C,'Master Data'!F:F)</f>
        <v/>
      </c>
      <c r="H216" s="72" t="str">
        <f t="array" ref="H216">XLOOKUP(C216,'Master Data'!C:C,'Master Data'!G:G)</f>
        <v/>
      </c>
      <c r="I216" s="72" t="str">
        <f t="array" ref="I216">XLOOKUP(C216,'Master Data'!C:C,'Master Data'!H:H)</f>
        <v/>
      </c>
      <c r="J216" s="72" t="str">
        <f t="array" ref="J216">XLOOKUP(C216,'Master Data'!C:C,'Master Data'!I:I)</f>
        <v/>
      </c>
      <c r="K216" s="72" t="str">
        <f t="array" ref="K216">XLOOKUP(C216,'Master Data'!C:C,'Master Data'!J:J)</f>
        <v/>
      </c>
      <c r="L216" s="74" t="str">
        <f t="array" ref="L216">XLOOKUP(C:C,TSR_Completion!C:C,TSR_Completion!M:M)</f>
        <v/>
      </c>
      <c r="M216" s="4"/>
      <c r="N216" s="4"/>
      <c r="O216" s="4"/>
      <c r="P216" s="4"/>
      <c r="Q216" s="4"/>
      <c r="R216" s="4"/>
      <c r="S216" s="4"/>
      <c r="T216" s="4"/>
      <c r="U216" s="4"/>
      <c r="V216" s="4"/>
      <c r="W216" s="4"/>
      <c r="X216" s="4"/>
      <c r="Y216" s="4"/>
    </row>
    <row r="217">
      <c r="A217" s="6"/>
      <c r="B217" s="6" t="s">
        <v>158</v>
      </c>
      <c r="C217" s="71" t="s">
        <v>12</v>
      </c>
      <c r="D217" s="72" t="str">
        <f t="array" ref="D217">XLOOKUP(C217,'Master Data'!C:C,'Master Data'!D:D)</f>
        <v/>
      </c>
      <c r="E217" s="73"/>
      <c r="F217" s="72" t="str">
        <f t="array" ref="F217">XLOOKUP(C217,'Master Data'!C:C,'Master Data'!E:E)</f>
        <v/>
      </c>
      <c r="G217" s="72" t="str">
        <f t="array" ref="G217">XLOOKUP(C217,'Master Data'!C:C,'Master Data'!F:F)</f>
        <v/>
      </c>
      <c r="H217" s="72" t="str">
        <f t="array" ref="H217">XLOOKUP(C217,'Master Data'!C:C,'Master Data'!G:G)</f>
        <v/>
      </c>
      <c r="I217" s="72" t="str">
        <f t="array" ref="I217">XLOOKUP(C217,'Master Data'!C:C,'Master Data'!H:H)</f>
        <v/>
      </c>
      <c r="J217" s="72" t="str">
        <f t="array" ref="J217">XLOOKUP(C217,'Master Data'!C:C,'Master Data'!I:I)</f>
        <v/>
      </c>
      <c r="K217" s="72" t="str">
        <f t="array" ref="K217">XLOOKUP(C217,'Master Data'!C:C,'Master Data'!J:J)</f>
        <v/>
      </c>
      <c r="L217" s="74" t="str">
        <f t="array" ref="L217">XLOOKUP(C:C,TSR_Completion!C:C,TSR_Completion!M:M)</f>
        <v/>
      </c>
      <c r="M217" s="4"/>
      <c r="N217" s="4"/>
      <c r="O217" s="4"/>
      <c r="P217" s="4"/>
      <c r="Q217" s="4"/>
      <c r="R217" s="4"/>
      <c r="S217" s="4"/>
      <c r="T217" s="4"/>
      <c r="U217" s="4"/>
      <c r="V217" s="4"/>
      <c r="W217" s="4"/>
      <c r="X217" s="4"/>
      <c r="Y217" s="4"/>
    </row>
    <row r="218">
      <c r="A218" s="6"/>
      <c r="B218" s="6" t="s">
        <v>158</v>
      </c>
      <c r="C218" s="71" t="s">
        <v>12</v>
      </c>
      <c r="D218" s="72" t="str">
        <f t="array" ref="D218">XLOOKUP(C218,'Master Data'!C:C,'Master Data'!D:D)</f>
        <v/>
      </c>
      <c r="E218" s="73"/>
      <c r="F218" s="72" t="str">
        <f t="array" ref="F218">XLOOKUP(C218,'Master Data'!C:C,'Master Data'!E:E)</f>
        <v/>
      </c>
      <c r="G218" s="72" t="str">
        <f t="array" ref="G218">XLOOKUP(C218,'Master Data'!C:C,'Master Data'!F:F)</f>
        <v/>
      </c>
      <c r="H218" s="72" t="str">
        <f t="array" ref="H218">XLOOKUP(C218,'Master Data'!C:C,'Master Data'!G:G)</f>
        <v/>
      </c>
      <c r="I218" s="72" t="str">
        <f t="array" ref="I218">XLOOKUP(C218,'Master Data'!C:C,'Master Data'!H:H)</f>
        <v/>
      </c>
      <c r="J218" s="72" t="str">
        <f t="array" ref="J218">XLOOKUP(C218,'Master Data'!C:C,'Master Data'!I:I)</f>
        <v/>
      </c>
      <c r="K218" s="72" t="str">
        <f t="array" ref="K218">XLOOKUP(C218,'Master Data'!C:C,'Master Data'!J:J)</f>
        <v/>
      </c>
      <c r="L218" s="74" t="str">
        <f t="array" ref="L218">XLOOKUP(C:C,TSR_Completion!C:C,TSR_Completion!M:M)</f>
        <v/>
      </c>
      <c r="M218" s="4"/>
      <c r="N218" s="4"/>
      <c r="O218" s="4"/>
      <c r="P218" s="4"/>
      <c r="Q218" s="4"/>
      <c r="R218" s="4"/>
      <c r="S218" s="4"/>
      <c r="T218" s="4"/>
      <c r="U218" s="4"/>
      <c r="V218" s="4"/>
      <c r="W218" s="4"/>
      <c r="X218" s="4"/>
      <c r="Y218" s="4"/>
    </row>
    <row r="219">
      <c r="A219" s="6"/>
      <c r="B219" s="6" t="s">
        <v>158</v>
      </c>
      <c r="C219" s="71" t="s">
        <v>12</v>
      </c>
      <c r="D219" s="72" t="str">
        <f t="array" ref="D219">XLOOKUP(C219,'Master Data'!C:C,'Master Data'!D:D)</f>
        <v/>
      </c>
      <c r="E219" s="73"/>
      <c r="F219" s="72" t="str">
        <f t="array" ref="F219">XLOOKUP(C219,'Master Data'!C:C,'Master Data'!E:E)</f>
        <v/>
      </c>
      <c r="G219" s="72" t="str">
        <f t="array" ref="G219">XLOOKUP(C219,'Master Data'!C:C,'Master Data'!F:F)</f>
        <v/>
      </c>
      <c r="H219" s="72" t="str">
        <f t="array" ref="H219">XLOOKUP(C219,'Master Data'!C:C,'Master Data'!G:G)</f>
        <v/>
      </c>
      <c r="I219" s="72" t="str">
        <f t="array" ref="I219">XLOOKUP(C219,'Master Data'!C:C,'Master Data'!H:H)</f>
        <v/>
      </c>
      <c r="J219" s="72" t="str">
        <f t="array" ref="J219">XLOOKUP(C219,'Master Data'!C:C,'Master Data'!I:I)</f>
        <v/>
      </c>
      <c r="K219" s="72" t="str">
        <f t="array" ref="K219">XLOOKUP(C219,'Master Data'!C:C,'Master Data'!J:J)</f>
        <v/>
      </c>
      <c r="L219" s="74" t="str">
        <f t="array" ref="L219">XLOOKUP(C:C,TSR_Completion!C:C,TSR_Completion!M:M)</f>
        <v/>
      </c>
      <c r="M219" s="4"/>
      <c r="N219" s="4"/>
      <c r="O219" s="4"/>
      <c r="P219" s="4"/>
      <c r="Q219" s="4"/>
      <c r="R219" s="4"/>
      <c r="S219" s="4"/>
      <c r="T219" s="4"/>
      <c r="U219" s="4"/>
      <c r="V219" s="4"/>
      <c r="W219" s="4"/>
      <c r="X219" s="4"/>
      <c r="Y219" s="4"/>
    </row>
    <row r="220">
      <c r="A220" s="6"/>
      <c r="B220" s="6" t="s">
        <v>158</v>
      </c>
      <c r="C220" s="71" t="s">
        <v>12</v>
      </c>
      <c r="D220" s="72" t="str">
        <f t="array" ref="D220">XLOOKUP(C220,'Master Data'!C:C,'Master Data'!D:D)</f>
        <v/>
      </c>
      <c r="E220" s="73"/>
      <c r="F220" s="72" t="str">
        <f t="array" ref="F220">XLOOKUP(C220,'Master Data'!C:C,'Master Data'!E:E)</f>
        <v/>
      </c>
      <c r="G220" s="72" t="str">
        <f t="array" ref="G220">XLOOKUP(C220,'Master Data'!C:C,'Master Data'!F:F)</f>
        <v/>
      </c>
      <c r="H220" s="72" t="str">
        <f t="array" ref="H220">XLOOKUP(C220,'Master Data'!C:C,'Master Data'!G:G)</f>
        <v/>
      </c>
      <c r="I220" s="72" t="str">
        <f t="array" ref="I220">XLOOKUP(C220,'Master Data'!C:C,'Master Data'!H:H)</f>
        <v/>
      </c>
      <c r="J220" s="72" t="str">
        <f t="array" ref="J220">XLOOKUP(C220,'Master Data'!C:C,'Master Data'!I:I)</f>
        <v/>
      </c>
      <c r="K220" s="72" t="str">
        <f t="array" ref="K220">XLOOKUP(C220,'Master Data'!C:C,'Master Data'!J:J)</f>
        <v/>
      </c>
      <c r="L220" s="74" t="str">
        <f t="array" ref="L220">XLOOKUP(C:C,TSR_Completion!C:C,TSR_Completion!M:M)</f>
        <v/>
      </c>
      <c r="M220" s="4"/>
      <c r="N220" s="4"/>
      <c r="O220" s="4"/>
      <c r="P220" s="4"/>
      <c r="Q220" s="4"/>
      <c r="R220" s="4"/>
      <c r="S220" s="4"/>
      <c r="T220" s="4"/>
      <c r="U220" s="4"/>
      <c r="V220" s="4"/>
      <c r="W220" s="4"/>
      <c r="X220" s="4"/>
      <c r="Y220" s="4"/>
    </row>
    <row r="221">
      <c r="A221" s="6"/>
      <c r="B221" s="6" t="s">
        <v>158</v>
      </c>
      <c r="C221" s="71" t="s">
        <v>12</v>
      </c>
      <c r="D221" s="72" t="str">
        <f t="array" ref="D221">XLOOKUP(C221,'Master Data'!C:C,'Master Data'!D:D)</f>
        <v/>
      </c>
      <c r="E221" s="73"/>
      <c r="F221" s="72" t="str">
        <f t="array" ref="F221">XLOOKUP(C221,'Master Data'!C:C,'Master Data'!E:E)</f>
        <v/>
      </c>
      <c r="G221" s="72" t="str">
        <f t="array" ref="G221">XLOOKUP(C221,'Master Data'!C:C,'Master Data'!F:F)</f>
        <v/>
      </c>
      <c r="H221" s="72" t="str">
        <f t="array" ref="H221">XLOOKUP(C221,'Master Data'!C:C,'Master Data'!G:G)</f>
        <v/>
      </c>
      <c r="I221" s="72" t="str">
        <f t="array" ref="I221">XLOOKUP(C221,'Master Data'!C:C,'Master Data'!H:H)</f>
        <v/>
      </c>
      <c r="J221" s="72" t="str">
        <f t="array" ref="J221">XLOOKUP(C221,'Master Data'!C:C,'Master Data'!I:I)</f>
        <v/>
      </c>
      <c r="K221" s="72" t="str">
        <f t="array" ref="K221">XLOOKUP(C221,'Master Data'!C:C,'Master Data'!J:J)</f>
        <v/>
      </c>
      <c r="L221" s="74" t="str">
        <f t="array" ref="L221">XLOOKUP(C:C,TSR_Completion!C:C,TSR_Completion!M:M)</f>
        <v/>
      </c>
      <c r="M221" s="4"/>
      <c r="N221" s="4"/>
      <c r="O221" s="4"/>
      <c r="P221" s="4"/>
      <c r="Q221" s="4"/>
      <c r="R221" s="4"/>
      <c r="S221" s="4"/>
      <c r="T221" s="4"/>
      <c r="U221" s="4"/>
      <c r="V221" s="4"/>
      <c r="W221" s="4"/>
      <c r="X221" s="4"/>
      <c r="Y221" s="4"/>
    </row>
    <row r="222">
      <c r="A222" s="6"/>
      <c r="B222" s="6" t="s">
        <v>158</v>
      </c>
      <c r="C222" s="71" t="s">
        <v>12</v>
      </c>
      <c r="D222" s="72" t="str">
        <f t="array" ref="D222">XLOOKUP(C222,'Master Data'!C:C,'Master Data'!D:D)</f>
        <v/>
      </c>
      <c r="E222" s="73"/>
      <c r="F222" s="72" t="str">
        <f t="array" ref="F222">XLOOKUP(C222,'Master Data'!C:C,'Master Data'!E:E)</f>
        <v/>
      </c>
      <c r="G222" s="72" t="str">
        <f t="array" ref="G222">XLOOKUP(C222,'Master Data'!C:C,'Master Data'!F:F)</f>
        <v/>
      </c>
      <c r="H222" s="72" t="str">
        <f t="array" ref="H222">XLOOKUP(C222,'Master Data'!C:C,'Master Data'!G:G)</f>
        <v/>
      </c>
      <c r="I222" s="72" t="str">
        <f t="array" ref="I222">XLOOKUP(C222,'Master Data'!C:C,'Master Data'!H:H)</f>
        <v/>
      </c>
      <c r="J222" s="72" t="str">
        <f t="array" ref="J222">XLOOKUP(C222,'Master Data'!C:C,'Master Data'!I:I)</f>
        <v/>
      </c>
      <c r="K222" s="72" t="str">
        <f t="array" ref="K222">XLOOKUP(C222,'Master Data'!C:C,'Master Data'!J:J)</f>
        <v/>
      </c>
      <c r="L222" s="74" t="str">
        <f t="array" ref="L222">XLOOKUP(C:C,TSR_Completion!C:C,TSR_Completion!M:M)</f>
        <v/>
      </c>
      <c r="M222" s="4"/>
      <c r="N222" s="4"/>
      <c r="O222" s="4"/>
      <c r="P222" s="4"/>
      <c r="Q222" s="4"/>
      <c r="R222" s="4"/>
      <c r="S222" s="4"/>
      <c r="T222" s="4"/>
      <c r="U222" s="4"/>
      <c r="V222" s="4"/>
      <c r="W222" s="4"/>
      <c r="X222" s="4"/>
      <c r="Y222" s="4"/>
    </row>
    <row r="223">
      <c r="A223" s="6"/>
      <c r="B223" s="6" t="s">
        <v>158</v>
      </c>
      <c r="C223" s="71" t="s">
        <v>12</v>
      </c>
      <c r="D223" s="72" t="str">
        <f t="array" ref="D223">XLOOKUP(C223,'Master Data'!C:C,'Master Data'!D:D)</f>
        <v/>
      </c>
      <c r="E223" s="73"/>
      <c r="F223" s="72" t="str">
        <f t="array" ref="F223">XLOOKUP(C223,'Master Data'!C:C,'Master Data'!E:E)</f>
        <v/>
      </c>
      <c r="G223" s="72" t="str">
        <f t="array" ref="G223">XLOOKUP(C223,'Master Data'!C:C,'Master Data'!F:F)</f>
        <v/>
      </c>
      <c r="H223" s="72" t="str">
        <f t="array" ref="H223">XLOOKUP(C223,'Master Data'!C:C,'Master Data'!G:G)</f>
        <v/>
      </c>
      <c r="I223" s="72" t="str">
        <f t="array" ref="I223">XLOOKUP(C223,'Master Data'!C:C,'Master Data'!H:H)</f>
        <v/>
      </c>
      <c r="J223" s="72" t="str">
        <f t="array" ref="J223">XLOOKUP(C223,'Master Data'!C:C,'Master Data'!I:I)</f>
        <v/>
      </c>
      <c r="K223" s="72" t="str">
        <f t="array" ref="K223">XLOOKUP(C223,'Master Data'!C:C,'Master Data'!J:J)</f>
        <v/>
      </c>
      <c r="L223" s="74" t="str">
        <f t="array" ref="L223">XLOOKUP(C:C,TSR_Completion!C:C,TSR_Completion!M:M)</f>
        <v/>
      </c>
      <c r="M223" s="4"/>
      <c r="N223" s="4"/>
      <c r="O223" s="4"/>
      <c r="P223" s="4"/>
      <c r="Q223" s="4"/>
      <c r="R223" s="4"/>
      <c r="S223" s="4"/>
      <c r="T223" s="4"/>
      <c r="U223" s="4"/>
      <c r="V223" s="4"/>
      <c r="W223" s="4"/>
      <c r="X223" s="4"/>
      <c r="Y223" s="4"/>
    </row>
    <row r="224">
      <c r="A224" s="6"/>
      <c r="B224" s="6" t="s">
        <v>158</v>
      </c>
      <c r="C224" s="71" t="s">
        <v>12</v>
      </c>
      <c r="D224" s="72" t="str">
        <f t="array" ref="D224">XLOOKUP(C224,'Master Data'!C:C,'Master Data'!D:D)</f>
        <v/>
      </c>
      <c r="E224" s="73"/>
      <c r="F224" s="72" t="str">
        <f t="array" ref="F224">XLOOKUP(C224,'Master Data'!C:C,'Master Data'!E:E)</f>
        <v/>
      </c>
      <c r="G224" s="72" t="str">
        <f t="array" ref="G224">XLOOKUP(C224,'Master Data'!C:C,'Master Data'!F:F)</f>
        <v/>
      </c>
      <c r="H224" s="72" t="str">
        <f t="array" ref="H224">XLOOKUP(C224,'Master Data'!C:C,'Master Data'!G:G)</f>
        <v/>
      </c>
      <c r="I224" s="72" t="str">
        <f t="array" ref="I224">XLOOKUP(C224,'Master Data'!C:C,'Master Data'!H:H)</f>
        <v/>
      </c>
      <c r="J224" s="72" t="str">
        <f t="array" ref="J224">XLOOKUP(C224,'Master Data'!C:C,'Master Data'!I:I)</f>
        <v/>
      </c>
      <c r="K224" s="72" t="str">
        <f t="array" ref="K224">XLOOKUP(C224,'Master Data'!C:C,'Master Data'!J:J)</f>
        <v/>
      </c>
      <c r="L224" s="74" t="str">
        <f t="array" ref="L224">XLOOKUP(C:C,TSR_Completion!C:C,TSR_Completion!M:M)</f>
        <v/>
      </c>
      <c r="M224" s="4"/>
      <c r="N224" s="4"/>
      <c r="O224" s="4"/>
      <c r="P224" s="4"/>
      <c r="Q224" s="4"/>
      <c r="R224" s="4"/>
      <c r="S224" s="4"/>
      <c r="T224" s="4"/>
      <c r="U224" s="4"/>
      <c r="V224" s="4"/>
      <c r="W224" s="4"/>
      <c r="X224" s="4"/>
      <c r="Y224" s="4"/>
    </row>
    <row r="225">
      <c r="A225" s="6"/>
      <c r="B225" s="6" t="s">
        <v>158</v>
      </c>
      <c r="C225" s="71" t="s">
        <v>12</v>
      </c>
      <c r="D225" s="72" t="str">
        <f t="array" ref="D225">XLOOKUP(C225,'Master Data'!C:C,'Master Data'!D:D)</f>
        <v/>
      </c>
      <c r="E225" s="73"/>
      <c r="F225" s="72" t="str">
        <f t="array" ref="F225">XLOOKUP(C225,'Master Data'!C:C,'Master Data'!E:E)</f>
        <v/>
      </c>
      <c r="G225" s="72" t="str">
        <f t="array" ref="G225">XLOOKUP(C225,'Master Data'!C:C,'Master Data'!F:F)</f>
        <v/>
      </c>
      <c r="H225" s="72" t="str">
        <f t="array" ref="H225">XLOOKUP(C225,'Master Data'!C:C,'Master Data'!G:G)</f>
        <v/>
      </c>
      <c r="I225" s="72" t="str">
        <f t="array" ref="I225">XLOOKUP(C225,'Master Data'!C:C,'Master Data'!H:H)</f>
        <v/>
      </c>
      <c r="J225" s="72" t="str">
        <f t="array" ref="J225">XLOOKUP(C225,'Master Data'!C:C,'Master Data'!I:I)</f>
        <v/>
      </c>
      <c r="K225" s="72" t="str">
        <f t="array" ref="K225">XLOOKUP(C225,'Master Data'!C:C,'Master Data'!J:J)</f>
        <v/>
      </c>
      <c r="L225" s="74" t="str">
        <f t="array" ref="L225">XLOOKUP(C:C,TSR_Completion!C:C,TSR_Completion!M:M)</f>
        <v/>
      </c>
      <c r="M225" s="4"/>
      <c r="N225" s="4"/>
      <c r="O225" s="4"/>
      <c r="P225" s="4"/>
      <c r="Q225" s="4"/>
      <c r="R225" s="4"/>
      <c r="S225" s="4"/>
      <c r="T225" s="4"/>
      <c r="U225" s="4"/>
      <c r="V225" s="4"/>
      <c r="W225" s="4"/>
      <c r="X225" s="4"/>
      <c r="Y225" s="4"/>
    </row>
    <row r="226">
      <c r="A226" s="6"/>
      <c r="B226" s="6" t="s">
        <v>158</v>
      </c>
      <c r="C226" s="71" t="s">
        <v>12</v>
      </c>
      <c r="D226" s="72" t="str">
        <f t="array" ref="D226">XLOOKUP(C226,'Master Data'!C:C,'Master Data'!D:D)</f>
        <v/>
      </c>
      <c r="E226" s="73"/>
      <c r="F226" s="72" t="str">
        <f t="array" ref="F226">XLOOKUP(C226,'Master Data'!C:C,'Master Data'!E:E)</f>
        <v/>
      </c>
      <c r="G226" s="72" t="str">
        <f t="array" ref="G226">XLOOKUP(C226,'Master Data'!C:C,'Master Data'!F:F)</f>
        <v/>
      </c>
      <c r="H226" s="72" t="str">
        <f t="array" ref="H226">XLOOKUP(C226,'Master Data'!C:C,'Master Data'!G:G)</f>
        <v/>
      </c>
      <c r="I226" s="72" t="str">
        <f t="array" ref="I226">XLOOKUP(C226,'Master Data'!C:C,'Master Data'!H:H)</f>
        <v/>
      </c>
      <c r="J226" s="72" t="str">
        <f t="array" ref="J226">XLOOKUP(C226,'Master Data'!C:C,'Master Data'!I:I)</f>
        <v/>
      </c>
      <c r="K226" s="72" t="str">
        <f t="array" ref="K226">XLOOKUP(C226,'Master Data'!C:C,'Master Data'!J:J)</f>
        <v/>
      </c>
      <c r="L226" s="74" t="str">
        <f t="array" ref="L226">XLOOKUP(C:C,TSR_Completion!C:C,TSR_Completion!M:M)</f>
        <v/>
      </c>
      <c r="M226" s="4"/>
      <c r="N226" s="4"/>
      <c r="O226" s="4"/>
      <c r="P226" s="4"/>
      <c r="Q226" s="4"/>
      <c r="R226" s="4"/>
      <c r="S226" s="4"/>
      <c r="T226" s="4"/>
      <c r="U226" s="4"/>
      <c r="V226" s="4"/>
      <c r="W226" s="4"/>
      <c r="X226" s="4"/>
      <c r="Y226" s="4"/>
    </row>
    <row r="227">
      <c r="A227" s="6"/>
      <c r="B227" s="6" t="s">
        <v>158</v>
      </c>
      <c r="C227" s="71" t="s">
        <v>12</v>
      </c>
      <c r="D227" s="72" t="str">
        <f t="array" ref="D227">XLOOKUP(C227,'Master Data'!C:C,'Master Data'!D:D)</f>
        <v/>
      </c>
      <c r="E227" s="73"/>
      <c r="F227" s="72" t="str">
        <f t="array" ref="F227">XLOOKUP(C227,'Master Data'!C:C,'Master Data'!E:E)</f>
        <v/>
      </c>
      <c r="G227" s="72" t="str">
        <f t="array" ref="G227">XLOOKUP(C227,'Master Data'!C:C,'Master Data'!F:F)</f>
        <v/>
      </c>
      <c r="H227" s="72" t="str">
        <f t="array" ref="H227">XLOOKUP(C227,'Master Data'!C:C,'Master Data'!G:G)</f>
        <v/>
      </c>
      <c r="I227" s="72" t="str">
        <f t="array" ref="I227">XLOOKUP(C227,'Master Data'!C:C,'Master Data'!H:H)</f>
        <v/>
      </c>
      <c r="J227" s="72" t="str">
        <f t="array" ref="J227">XLOOKUP(C227,'Master Data'!C:C,'Master Data'!I:I)</f>
        <v/>
      </c>
      <c r="K227" s="72" t="str">
        <f t="array" ref="K227">XLOOKUP(C227,'Master Data'!C:C,'Master Data'!J:J)</f>
        <v/>
      </c>
      <c r="L227" s="74" t="str">
        <f t="array" ref="L227">XLOOKUP(C:C,TSR_Completion!C:C,TSR_Completion!M:M)</f>
        <v/>
      </c>
      <c r="M227" s="4"/>
      <c r="N227" s="4"/>
      <c r="O227" s="4"/>
      <c r="P227" s="4"/>
      <c r="Q227" s="4"/>
      <c r="R227" s="4"/>
      <c r="S227" s="4"/>
      <c r="T227" s="4"/>
      <c r="U227" s="4"/>
      <c r="V227" s="4"/>
      <c r="W227" s="4"/>
      <c r="X227" s="4"/>
      <c r="Y227" s="4"/>
    </row>
    <row r="228">
      <c r="A228" s="6"/>
      <c r="B228" s="6" t="s">
        <v>158</v>
      </c>
      <c r="C228" s="71" t="s">
        <v>12</v>
      </c>
      <c r="D228" s="72" t="str">
        <f t="array" ref="D228">XLOOKUP(C228,'Master Data'!C:C,'Master Data'!D:D)</f>
        <v/>
      </c>
      <c r="E228" s="73"/>
      <c r="F228" s="72" t="str">
        <f t="array" ref="F228">XLOOKUP(C228,'Master Data'!C:C,'Master Data'!E:E)</f>
        <v/>
      </c>
      <c r="G228" s="72" t="str">
        <f t="array" ref="G228">XLOOKUP(C228,'Master Data'!C:C,'Master Data'!F:F)</f>
        <v/>
      </c>
      <c r="H228" s="72" t="str">
        <f t="array" ref="H228">XLOOKUP(C228,'Master Data'!C:C,'Master Data'!G:G)</f>
        <v/>
      </c>
      <c r="I228" s="72" t="str">
        <f t="array" ref="I228">XLOOKUP(C228,'Master Data'!C:C,'Master Data'!H:H)</f>
        <v/>
      </c>
      <c r="J228" s="72" t="str">
        <f t="array" ref="J228">XLOOKUP(C228,'Master Data'!C:C,'Master Data'!I:I)</f>
        <v/>
      </c>
      <c r="K228" s="72" t="str">
        <f t="array" ref="K228">XLOOKUP(C228,'Master Data'!C:C,'Master Data'!J:J)</f>
        <v/>
      </c>
      <c r="L228" s="74" t="str">
        <f t="array" ref="L228">XLOOKUP(C:C,TSR_Completion!C:C,TSR_Completion!M:M)</f>
        <v/>
      </c>
      <c r="M228" s="4"/>
      <c r="N228" s="4"/>
      <c r="O228" s="4"/>
      <c r="P228" s="4"/>
      <c r="Q228" s="4"/>
      <c r="R228" s="4"/>
      <c r="S228" s="4"/>
      <c r="T228" s="4"/>
      <c r="U228" s="4"/>
      <c r="V228" s="4"/>
      <c r="W228" s="4"/>
      <c r="X228" s="4"/>
      <c r="Y228" s="4"/>
    </row>
    <row r="229">
      <c r="A229" s="6"/>
      <c r="B229" s="6" t="s">
        <v>158</v>
      </c>
      <c r="C229" s="71" t="s">
        <v>12</v>
      </c>
      <c r="D229" s="72" t="str">
        <f t="array" ref="D229">XLOOKUP(C229,'Master Data'!C:C,'Master Data'!D:D)</f>
        <v/>
      </c>
      <c r="E229" s="73"/>
      <c r="F229" s="72" t="str">
        <f t="array" ref="F229">XLOOKUP(C229,'Master Data'!C:C,'Master Data'!E:E)</f>
        <v/>
      </c>
      <c r="G229" s="72" t="str">
        <f t="array" ref="G229">XLOOKUP(C229,'Master Data'!C:C,'Master Data'!F:F)</f>
        <v/>
      </c>
      <c r="H229" s="72" t="str">
        <f t="array" ref="H229">XLOOKUP(C229,'Master Data'!C:C,'Master Data'!G:G)</f>
        <v/>
      </c>
      <c r="I229" s="72" t="str">
        <f t="array" ref="I229">XLOOKUP(C229,'Master Data'!C:C,'Master Data'!H:H)</f>
        <v/>
      </c>
      <c r="J229" s="72" t="str">
        <f t="array" ref="J229">XLOOKUP(C229,'Master Data'!C:C,'Master Data'!I:I)</f>
        <v/>
      </c>
      <c r="K229" s="72" t="str">
        <f t="array" ref="K229">XLOOKUP(C229,'Master Data'!C:C,'Master Data'!J:J)</f>
        <v/>
      </c>
      <c r="L229" s="74" t="str">
        <f t="array" ref="L229">XLOOKUP(C:C,TSR_Completion!C:C,TSR_Completion!M:M)</f>
        <v/>
      </c>
      <c r="M229" s="4"/>
      <c r="N229" s="4"/>
      <c r="O229" s="4"/>
      <c r="P229" s="4"/>
      <c r="Q229" s="4"/>
      <c r="R229" s="4"/>
      <c r="S229" s="4"/>
      <c r="T229" s="4"/>
      <c r="U229" s="4"/>
      <c r="V229" s="4"/>
      <c r="W229" s="4"/>
      <c r="X229" s="4"/>
      <c r="Y229" s="4"/>
    </row>
    <row r="230">
      <c r="A230" s="6"/>
      <c r="B230" s="6" t="s">
        <v>158</v>
      </c>
      <c r="C230" s="71" t="s">
        <v>12</v>
      </c>
      <c r="D230" s="72" t="str">
        <f t="array" ref="D230">XLOOKUP(C230,'Master Data'!C:C,'Master Data'!D:D)</f>
        <v/>
      </c>
      <c r="E230" s="73"/>
      <c r="F230" s="72" t="str">
        <f t="array" ref="F230">XLOOKUP(C230,'Master Data'!C:C,'Master Data'!E:E)</f>
        <v/>
      </c>
      <c r="G230" s="72" t="str">
        <f t="array" ref="G230">XLOOKUP(C230,'Master Data'!C:C,'Master Data'!F:F)</f>
        <v/>
      </c>
      <c r="H230" s="72" t="str">
        <f t="array" ref="H230">XLOOKUP(C230,'Master Data'!C:C,'Master Data'!G:G)</f>
        <v/>
      </c>
      <c r="I230" s="72" t="str">
        <f t="array" ref="I230">XLOOKUP(C230,'Master Data'!C:C,'Master Data'!H:H)</f>
        <v/>
      </c>
      <c r="J230" s="72" t="str">
        <f t="array" ref="J230">XLOOKUP(C230,'Master Data'!C:C,'Master Data'!I:I)</f>
        <v/>
      </c>
      <c r="K230" s="72" t="str">
        <f t="array" ref="K230">XLOOKUP(C230,'Master Data'!C:C,'Master Data'!J:J)</f>
        <v/>
      </c>
      <c r="L230" s="74" t="str">
        <f t="array" ref="L230">XLOOKUP(C:C,TSR_Completion!C:C,TSR_Completion!M:M)</f>
        <v/>
      </c>
      <c r="M230" s="4"/>
      <c r="N230" s="4"/>
      <c r="O230" s="4"/>
      <c r="P230" s="4"/>
      <c r="Q230" s="4"/>
      <c r="R230" s="4"/>
      <c r="S230" s="4"/>
      <c r="T230" s="4"/>
      <c r="U230" s="4"/>
      <c r="V230" s="4"/>
      <c r="W230" s="4"/>
      <c r="X230" s="4"/>
      <c r="Y230" s="4"/>
    </row>
    <row r="231">
      <c r="A231" s="6"/>
      <c r="B231" s="6" t="s">
        <v>158</v>
      </c>
      <c r="C231" s="71" t="s">
        <v>12</v>
      </c>
      <c r="D231" s="72" t="str">
        <f t="array" ref="D231">XLOOKUP(C231,'Master Data'!C:C,'Master Data'!D:D)</f>
        <v/>
      </c>
      <c r="E231" s="73"/>
      <c r="F231" s="72" t="str">
        <f t="array" ref="F231">XLOOKUP(C231,'Master Data'!C:C,'Master Data'!E:E)</f>
        <v/>
      </c>
      <c r="G231" s="72" t="str">
        <f t="array" ref="G231">XLOOKUP(C231,'Master Data'!C:C,'Master Data'!F:F)</f>
        <v/>
      </c>
      <c r="H231" s="72" t="str">
        <f t="array" ref="H231">XLOOKUP(C231,'Master Data'!C:C,'Master Data'!G:G)</f>
        <v/>
      </c>
      <c r="I231" s="72" t="str">
        <f t="array" ref="I231">XLOOKUP(C231,'Master Data'!C:C,'Master Data'!H:H)</f>
        <v/>
      </c>
      <c r="J231" s="72" t="str">
        <f t="array" ref="J231">XLOOKUP(C231,'Master Data'!C:C,'Master Data'!I:I)</f>
        <v/>
      </c>
      <c r="K231" s="72" t="str">
        <f t="array" ref="K231">XLOOKUP(C231,'Master Data'!C:C,'Master Data'!J:J)</f>
        <v/>
      </c>
      <c r="L231" s="74" t="str">
        <f t="array" ref="L231">XLOOKUP(C:C,TSR_Completion!C:C,TSR_Completion!M:M)</f>
        <v/>
      </c>
      <c r="M231" s="4"/>
      <c r="N231" s="4"/>
      <c r="O231" s="4"/>
      <c r="P231" s="4"/>
      <c r="Q231" s="4"/>
      <c r="R231" s="4"/>
      <c r="S231" s="4"/>
      <c r="T231" s="4"/>
      <c r="U231" s="4"/>
      <c r="V231" s="4"/>
      <c r="W231" s="4"/>
      <c r="X231" s="4"/>
      <c r="Y231" s="4"/>
    </row>
    <row r="232">
      <c r="A232" s="6"/>
      <c r="B232" s="6" t="s">
        <v>158</v>
      </c>
      <c r="C232" s="71" t="s">
        <v>12</v>
      </c>
      <c r="D232" s="72" t="str">
        <f t="array" ref="D232">XLOOKUP(C232,'Master Data'!C:C,'Master Data'!D:D)</f>
        <v/>
      </c>
      <c r="E232" s="73"/>
      <c r="F232" s="72" t="str">
        <f t="array" ref="F232">XLOOKUP(C232,'Master Data'!C:C,'Master Data'!E:E)</f>
        <v/>
      </c>
      <c r="G232" s="72" t="str">
        <f t="array" ref="G232">XLOOKUP(C232,'Master Data'!C:C,'Master Data'!F:F)</f>
        <v/>
      </c>
      <c r="H232" s="72" t="str">
        <f t="array" ref="H232">XLOOKUP(C232,'Master Data'!C:C,'Master Data'!G:G)</f>
        <v/>
      </c>
      <c r="I232" s="72" t="str">
        <f t="array" ref="I232">XLOOKUP(C232,'Master Data'!C:C,'Master Data'!H:H)</f>
        <v/>
      </c>
      <c r="J232" s="72" t="str">
        <f t="array" ref="J232">XLOOKUP(C232,'Master Data'!C:C,'Master Data'!I:I)</f>
        <v/>
      </c>
      <c r="K232" s="72" t="str">
        <f t="array" ref="K232">XLOOKUP(C232,'Master Data'!C:C,'Master Data'!J:J)</f>
        <v/>
      </c>
      <c r="L232" s="74" t="str">
        <f t="array" ref="L232">XLOOKUP(C:C,TSR_Completion!C:C,TSR_Completion!M:M)</f>
        <v/>
      </c>
      <c r="M232" s="4"/>
      <c r="N232" s="4"/>
      <c r="O232" s="4"/>
      <c r="P232" s="4"/>
      <c r="Q232" s="4"/>
      <c r="R232" s="4"/>
      <c r="S232" s="4"/>
      <c r="T232" s="4"/>
      <c r="U232" s="4"/>
      <c r="V232" s="4"/>
      <c r="W232" s="4"/>
      <c r="X232" s="4"/>
      <c r="Y232" s="4"/>
    </row>
    <row r="233">
      <c r="A233" s="6"/>
      <c r="B233" s="6" t="s">
        <v>158</v>
      </c>
      <c r="C233" s="71" t="s">
        <v>12</v>
      </c>
      <c r="D233" s="72" t="str">
        <f t="array" ref="D233">XLOOKUP(C233,'Master Data'!C:C,'Master Data'!D:D)</f>
        <v/>
      </c>
      <c r="E233" s="73"/>
      <c r="F233" s="72" t="str">
        <f t="array" ref="F233">XLOOKUP(C233,'Master Data'!C:C,'Master Data'!E:E)</f>
        <v/>
      </c>
      <c r="G233" s="72" t="str">
        <f t="array" ref="G233">XLOOKUP(C233,'Master Data'!C:C,'Master Data'!F:F)</f>
        <v/>
      </c>
      <c r="H233" s="72" t="str">
        <f t="array" ref="H233">XLOOKUP(C233,'Master Data'!C:C,'Master Data'!G:G)</f>
        <v/>
      </c>
      <c r="I233" s="72" t="str">
        <f t="array" ref="I233">XLOOKUP(C233,'Master Data'!C:C,'Master Data'!H:H)</f>
        <v/>
      </c>
      <c r="J233" s="72" t="str">
        <f t="array" ref="J233">XLOOKUP(C233,'Master Data'!C:C,'Master Data'!I:I)</f>
        <v/>
      </c>
      <c r="K233" s="72" t="str">
        <f t="array" ref="K233">XLOOKUP(C233,'Master Data'!C:C,'Master Data'!J:J)</f>
        <v/>
      </c>
      <c r="L233" s="74" t="str">
        <f t="array" ref="L233">XLOOKUP(C:C,TSR_Completion!C:C,TSR_Completion!M:M)</f>
        <v/>
      </c>
      <c r="M233" s="4"/>
      <c r="N233" s="4"/>
      <c r="O233" s="4"/>
      <c r="P233" s="4"/>
      <c r="Q233" s="4"/>
      <c r="R233" s="4"/>
      <c r="S233" s="4"/>
      <c r="T233" s="4"/>
      <c r="U233" s="4"/>
      <c r="V233" s="4"/>
      <c r="W233" s="4"/>
      <c r="X233" s="4"/>
      <c r="Y233" s="4"/>
    </row>
    <row r="234">
      <c r="A234" s="6"/>
      <c r="B234" s="6" t="s">
        <v>158</v>
      </c>
      <c r="C234" s="71" t="s">
        <v>12</v>
      </c>
      <c r="D234" s="72" t="str">
        <f t="array" ref="D234">XLOOKUP(C234,'Master Data'!C:C,'Master Data'!D:D)</f>
        <v/>
      </c>
      <c r="E234" s="73"/>
      <c r="F234" s="72" t="str">
        <f t="array" ref="F234">XLOOKUP(C234,'Master Data'!C:C,'Master Data'!E:E)</f>
        <v/>
      </c>
      <c r="G234" s="72" t="str">
        <f t="array" ref="G234">XLOOKUP(C234,'Master Data'!C:C,'Master Data'!F:F)</f>
        <v/>
      </c>
      <c r="H234" s="72" t="str">
        <f t="array" ref="H234">XLOOKUP(C234,'Master Data'!C:C,'Master Data'!G:G)</f>
        <v/>
      </c>
      <c r="I234" s="72" t="str">
        <f t="array" ref="I234">XLOOKUP(C234,'Master Data'!C:C,'Master Data'!H:H)</f>
        <v/>
      </c>
      <c r="J234" s="72" t="str">
        <f t="array" ref="J234">XLOOKUP(C234,'Master Data'!C:C,'Master Data'!I:I)</f>
        <v/>
      </c>
      <c r="K234" s="72" t="str">
        <f t="array" ref="K234">XLOOKUP(C234,'Master Data'!C:C,'Master Data'!J:J)</f>
        <v/>
      </c>
      <c r="L234" s="74" t="str">
        <f t="array" ref="L234">XLOOKUP(C:C,TSR_Completion!C:C,TSR_Completion!M:M)</f>
        <v/>
      </c>
      <c r="M234" s="4"/>
      <c r="N234" s="4"/>
      <c r="O234" s="4"/>
      <c r="P234" s="4"/>
      <c r="Q234" s="4"/>
      <c r="R234" s="4"/>
      <c r="S234" s="4"/>
      <c r="T234" s="4"/>
      <c r="U234" s="4"/>
      <c r="V234" s="4"/>
      <c r="W234" s="4"/>
      <c r="X234" s="4"/>
      <c r="Y234" s="4"/>
    </row>
    <row r="235">
      <c r="A235" s="6"/>
      <c r="B235" s="6" t="s">
        <v>158</v>
      </c>
      <c r="C235" s="71" t="s">
        <v>12</v>
      </c>
      <c r="D235" s="72" t="str">
        <f t="array" ref="D235">XLOOKUP(C235,'Master Data'!C:C,'Master Data'!D:D)</f>
        <v/>
      </c>
      <c r="E235" s="73"/>
      <c r="F235" s="72" t="str">
        <f t="array" ref="F235">XLOOKUP(C235,'Master Data'!C:C,'Master Data'!E:E)</f>
        <v/>
      </c>
      <c r="G235" s="72" t="str">
        <f t="array" ref="G235">XLOOKUP(C235,'Master Data'!C:C,'Master Data'!F:F)</f>
        <v/>
      </c>
      <c r="H235" s="72" t="str">
        <f t="array" ref="H235">XLOOKUP(C235,'Master Data'!C:C,'Master Data'!G:G)</f>
        <v/>
      </c>
      <c r="I235" s="72" t="str">
        <f t="array" ref="I235">XLOOKUP(C235,'Master Data'!C:C,'Master Data'!H:H)</f>
        <v/>
      </c>
      <c r="J235" s="72" t="str">
        <f t="array" ref="J235">XLOOKUP(C235,'Master Data'!C:C,'Master Data'!I:I)</f>
        <v/>
      </c>
      <c r="K235" s="72" t="str">
        <f t="array" ref="K235">XLOOKUP(C235,'Master Data'!C:C,'Master Data'!J:J)</f>
        <v/>
      </c>
      <c r="L235" s="74" t="str">
        <f t="array" ref="L235">XLOOKUP(C:C,TSR_Completion!C:C,TSR_Completion!M:M)</f>
        <v/>
      </c>
      <c r="M235" s="4"/>
      <c r="N235" s="4"/>
      <c r="O235" s="4"/>
      <c r="P235" s="4"/>
      <c r="Q235" s="4"/>
      <c r="R235" s="4"/>
      <c r="S235" s="4"/>
      <c r="T235" s="4"/>
      <c r="U235" s="4"/>
      <c r="V235" s="4"/>
      <c r="W235" s="4"/>
      <c r="X235" s="4"/>
      <c r="Y235" s="4"/>
    </row>
    <row r="236">
      <c r="A236" s="6"/>
      <c r="B236" s="6" t="s">
        <v>158</v>
      </c>
      <c r="C236" s="71" t="s">
        <v>12</v>
      </c>
      <c r="D236" s="72" t="str">
        <f t="array" ref="D236">XLOOKUP(C236,'Master Data'!C:C,'Master Data'!D:D)</f>
        <v/>
      </c>
      <c r="E236" s="73"/>
      <c r="F236" s="72" t="str">
        <f t="array" ref="F236">XLOOKUP(C236,'Master Data'!C:C,'Master Data'!E:E)</f>
        <v/>
      </c>
      <c r="G236" s="72" t="str">
        <f t="array" ref="G236">XLOOKUP(C236,'Master Data'!C:C,'Master Data'!F:F)</f>
        <v/>
      </c>
      <c r="H236" s="72" t="str">
        <f t="array" ref="H236">XLOOKUP(C236,'Master Data'!C:C,'Master Data'!G:G)</f>
        <v/>
      </c>
      <c r="I236" s="72" t="str">
        <f t="array" ref="I236">XLOOKUP(C236,'Master Data'!C:C,'Master Data'!H:H)</f>
        <v/>
      </c>
      <c r="J236" s="72" t="str">
        <f t="array" ref="J236">XLOOKUP(C236,'Master Data'!C:C,'Master Data'!I:I)</f>
        <v/>
      </c>
      <c r="K236" s="72" t="str">
        <f t="array" ref="K236">XLOOKUP(C236,'Master Data'!C:C,'Master Data'!J:J)</f>
        <v/>
      </c>
      <c r="L236" s="74" t="str">
        <f t="array" ref="L236">XLOOKUP(C:C,TSR_Completion!C:C,TSR_Completion!M:M)</f>
        <v/>
      </c>
      <c r="M236" s="4"/>
      <c r="N236" s="4"/>
      <c r="O236" s="4"/>
      <c r="P236" s="4"/>
      <c r="Q236" s="4"/>
      <c r="R236" s="4"/>
      <c r="S236" s="4"/>
      <c r="T236" s="4"/>
      <c r="U236" s="4"/>
      <c r="V236" s="4"/>
      <c r="W236" s="4"/>
      <c r="X236" s="4"/>
      <c r="Y236" s="4"/>
    </row>
    <row r="237">
      <c r="A237" s="6"/>
      <c r="B237" s="6" t="s">
        <v>158</v>
      </c>
      <c r="C237" s="71" t="s">
        <v>12</v>
      </c>
      <c r="D237" s="72" t="str">
        <f t="array" ref="D237">XLOOKUP(C237,'Master Data'!C:C,'Master Data'!D:D)</f>
        <v/>
      </c>
      <c r="E237" s="73"/>
      <c r="F237" s="72" t="str">
        <f t="array" ref="F237">XLOOKUP(C237,'Master Data'!C:C,'Master Data'!E:E)</f>
        <v/>
      </c>
      <c r="G237" s="72" t="str">
        <f t="array" ref="G237">XLOOKUP(C237,'Master Data'!C:C,'Master Data'!F:F)</f>
        <v/>
      </c>
      <c r="H237" s="72" t="str">
        <f t="array" ref="H237">XLOOKUP(C237,'Master Data'!C:C,'Master Data'!G:G)</f>
        <v/>
      </c>
      <c r="I237" s="72" t="str">
        <f t="array" ref="I237">XLOOKUP(C237,'Master Data'!C:C,'Master Data'!H:H)</f>
        <v/>
      </c>
      <c r="J237" s="72" t="str">
        <f t="array" ref="J237">XLOOKUP(C237,'Master Data'!C:C,'Master Data'!I:I)</f>
        <v/>
      </c>
      <c r="K237" s="72" t="str">
        <f t="array" ref="K237">XLOOKUP(C237,'Master Data'!C:C,'Master Data'!J:J)</f>
        <v/>
      </c>
      <c r="L237" s="74" t="str">
        <f t="array" ref="L237">XLOOKUP(C:C,TSR_Completion!C:C,TSR_Completion!M:M)</f>
        <v/>
      </c>
      <c r="M237" s="4"/>
      <c r="N237" s="4"/>
      <c r="O237" s="4"/>
      <c r="P237" s="4"/>
      <c r="Q237" s="4"/>
      <c r="R237" s="4"/>
      <c r="S237" s="4"/>
      <c r="T237" s="4"/>
      <c r="U237" s="4"/>
      <c r="V237" s="4"/>
      <c r="W237" s="4"/>
      <c r="X237" s="4"/>
      <c r="Y237" s="4"/>
    </row>
    <row r="238">
      <c r="A238" s="6"/>
      <c r="B238" s="6" t="s">
        <v>158</v>
      </c>
      <c r="C238" s="71" t="s">
        <v>12</v>
      </c>
      <c r="D238" s="72" t="str">
        <f t="array" ref="D238">XLOOKUP(C238,'Master Data'!C:C,'Master Data'!D:D)</f>
        <v/>
      </c>
      <c r="E238" s="73"/>
      <c r="F238" s="72" t="str">
        <f t="array" ref="F238">XLOOKUP(C238,'Master Data'!C:C,'Master Data'!E:E)</f>
        <v/>
      </c>
      <c r="G238" s="72" t="str">
        <f t="array" ref="G238">XLOOKUP(C238,'Master Data'!C:C,'Master Data'!F:F)</f>
        <v/>
      </c>
      <c r="H238" s="72" t="str">
        <f t="array" ref="H238">XLOOKUP(C238,'Master Data'!C:C,'Master Data'!G:G)</f>
        <v/>
      </c>
      <c r="I238" s="72" t="str">
        <f t="array" ref="I238">XLOOKUP(C238,'Master Data'!C:C,'Master Data'!H:H)</f>
        <v/>
      </c>
      <c r="J238" s="72" t="str">
        <f t="array" ref="J238">XLOOKUP(C238,'Master Data'!C:C,'Master Data'!I:I)</f>
        <v/>
      </c>
      <c r="K238" s="72" t="str">
        <f t="array" ref="K238">XLOOKUP(C238,'Master Data'!C:C,'Master Data'!J:J)</f>
        <v/>
      </c>
      <c r="L238" s="74" t="str">
        <f t="array" ref="L238">XLOOKUP(C:C,TSR_Completion!C:C,TSR_Completion!M:M)</f>
        <v/>
      </c>
      <c r="M238" s="4"/>
      <c r="N238" s="4"/>
      <c r="O238" s="4"/>
      <c r="P238" s="4"/>
      <c r="Q238" s="4"/>
      <c r="R238" s="4"/>
      <c r="S238" s="4"/>
      <c r="T238" s="4"/>
      <c r="U238" s="4"/>
      <c r="V238" s="4"/>
      <c r="W238" s="4"/>
      <c r="X238" s="4"/>
      <c r="Y238" s="4"/>
    </row>
    <row r="239">
      <c r="A239" s="6"/>
      <c r="B239" s="6" t="s">
        <v>158</v>
      </c>
      <c r="C239" s="71" t="s">
        <v>12</v>
      </c>
      <c r="D239" s="72" t="str">
        <f t="array" ref="D239">XLOOKUP(C239,'Master Data'!C:C,'Master Data'!D:D)</f>
        <v/>
      </c>
      <c r="E239" s="73"/>
      <c r="F239" s="72" t="str">
        <f t="array" ref="F239">XLOOKUP(C239,'Master Data'!C:C,'Master Data'!E:E)</f>
        <v/>
      </c>
      <c r="G239" s="72" t="str">
        <f t="array" ref="G239">XLOOKUP(C239,'Master Data'!C:C,'Master Data'!F:F)</f>
        <v/>
      </c>
      <c r="H239" s="72" t="str">
        <f t="array" ref="H239">XLOOKUP(C239,'Master Data'!C:C,'Master Data'!G:G)</f>
        <v/>
      </c>
      <c r="I239" s="72" t="str">
        <f t="array" ref="I239">XLOOKUP(C239,'Master Data'!C:C,'Master Data'!H:H)</f>
        <v/>
      </c>
      <c r="J239" s="72" t="str">
        <f t="array" ref="J239">XLOOKUP(C239,'Master Data'!C:C,'Master Data'!I:I)</f>
        <v/>
      </c>
      <c r="K239" s="72" t="str">
        <f t="array" ref="K239">XLOOKUP(C239,'Master Data'!C:C,'Master Data'!J:J)</f>
        <v/>
      </c>
      <c r="L239" s="74" t="str">
        <f t="array" ref="L239">XLOOKUP(C:C,TSR_Completion!C:C,TSR_Completion!M:M)</f>
        <v/>
      </c>
      <c r="M239" s="4"/>
      <c r="N239" s="4"/>
      <c r="O239" s="4"/>
      <c r="P239" s="4"/>
      <c r="Q239" s="4"/>
      <c r="R239" s="4"/>
      <c r="S239" s="4"/>
      <c r="T239" s="4"/>
      <c r="U239" s="4"/>
      <c r="V239" s="4"/>
      <c r="W239" s="4"/>
      <c r="X239" s="4"/>
      <c r="Y239" s="4"/>
    </row>
    <row r="240">
      <c r="A240" s="6"/>
      <c r="B240" s="6" t="s">
        <v>158</v>
      </c>
      <c r="C240" s="71" t="s">
        <v>12</v>
      </c>
      <c r="D240" s="72" t="str">
        <f t="array" ref="D240">XLOOKUP(C240,'Master Data'!C:C,'Master Data'!D:D)</f>
        <v/>
      </c>
      <c r="E240" s="73"/>
      <c r="F240" s="72" t="str">
        <f t="array" ref="F240">XLOOKUP(C240,'Master Data'!C:C,'Master Data'!E:E)</f>
        <v/>
      </c>
      <c r="G240" s="72" t="str">
        <f t="array" ref="G240">XLOOKUP(C240,'Master Data'!C:C,'Master Data'!F:F)</f>
        <v/>
      </c>
      <c r="H240" s="72" t="str">
        <f t="array" ref="H240">XLOOKUP(C240,'Master Data'!C:C,'Master Data'!G:G)</f>
        <v/>
      </c>
      <c r="I240" s="72" t="str">
        <f t="array" ref="I240">XLOOKUP(C240,'Master Data'!C:C,'Master Data'!H:H)</f>
        <v/>
      </c>
      <c r="J240" s="72" t="str">
        <f t="array" ref="J240">XLOOKUP(C240,'Master Data'!C:C,'Master Data'!I:I)</f>
        <v/>
      </c>
      <c r="K240" s="72" t="str">
        <f t="array" ref="K240">XLOOKUP(C240,'Master Data'!C:C,'Master Data'!J:J)</f>
        <v/>
      </c>
      <c r="L240" s="74" t="str">
        <f t="array" ref="L240">XLOOKUP(C:C,TSR_Completion!C:C,TSR_Completion!M:M)</f>
        <v/>
      </c>
      <c r="M240" s="4"/>
      <c r="N240" s="4"/>
      <c r="O240" s="4"/>
      <c r="P240" s="4"/>
      <c r="Q240" s="4"/>
      <c r="R240" s="4"/>
      <c r="S240" s="4"/>
      <c r="T240" s="4"/>
      <c r="U240" s="4"/>
      <c r="V240" s="4"/>
      <c r="W240" s="4"/>
      <c r="X240" s="4"/>
      <c r="Y240" s="4"/>
    </row>
    <row r="241">
      <c r="A241" s="6"/>
      <c r="B241" s="6" t="s">
        <v>158</v>
      </c>
      <c r="C241" s="71" t="s">
        <v>12</v>
      </c>
      <c r="D241" s="72" t="str">
        <f t="array" ref="D241">XLOOKUP(C241,'Master Data'!C:C,'Master Data'!D:D)</f>
        <v/>
      </c>
      <c r="E241" s="73"/>
      <c r="F241" s="72" t="str">
        <f t="array" ref="F241">XLOOKUP(C241,'Master Data'!C:C,'Master Data'!E:E)</f>
        <v/>
      </c>
      <c r="G241" s="72" t="str">
        <f t="array" ref="G241">XLOOKUP(C241,'Master Data'!C:C,'Master Data'!F:F)</f>
        <v/>
      </c>
      <c r="H241" s="72" t="str">
        <f t="array" ref="H241">XLOOKUP(C241,'Master Data'!C:C,'Master Data'!G:G)</f>
        <v/>
      </c>
      <c r="I241" s="72" t="str">
        <f t="array" ref="I241">XLOOKUP(C241,'Master Data'!C:C,'Master Data'!H:H)</f>
        <v/>
      </c>
      <c r="J241" s="72" t="str">
        <f t="array" ref="J241">XLOOKUP(C241,'Master Data'!C:C,'Master Data'!I:I)</f>
        <v/>
      </c>
      <c r="K241" s="72" t="str">
        <f t="array" ref="K241">XLOOKUP(C241,'Master Data'!C:C,'Master Data'!J:J)</f>
        <v/>
      </c>
      <c r="L241" s="74" t="str">
        <f t="array" ref="L241">XLOOKUP(C:C,TSR_Completion!C:C,TSR_Completion!M:M)</f>
        <v/>
      </c>
      <c r="M241" s="4"/>
      <c r="N241" s="4"/>
      <c r="O241" s="4"/>
      <c r="P241" s="4"/>
      <c r="Q241" s="4"/>
      <c r="R241" s="4"/>
      <c r="S241" s="4"/>
      <c r="T241" s="4"/>
      <c r="U241" s="4"/>
      <c r="V241" s="4"/>
      <c r="W241" s="4"/>
      <c r="X241" s="4"/>
      <c r="Y241" s="4"/>
    </row>
    <row r="242">
      <c r="A242" s="6"/>
      <c r="B242" s="6" t="s">
        <v>158</v>
      </c>
      <c r="C242" s="71" t="s">
        <v>12</v>
      </c>
      <c r="D242" s="72" t="str">
        <f t="array" ref="D242">XLOOKUP(C242,'Master Data'!C:C,'Master Data'!D:D)</f>
        <v/>
      </c>
      <c r="E242" s="73"/>
      <c r="F242" s="72" t="str">
        <f t="array" ref="F242">XLOOKUP(C242,'Master Data'!C:C,'Master Data'!E:E)</f>
        <v/>
      </c>
      <c r="G242" s="72" t="str">
        <f t="array" ref="G242">XLOOKUP(C242,'Master Data'!C:C,'Master Data'!F:F)</f>
        <v/>
      </c>
      <c r="H242" s="72" t="str">
        <f t="array" ref="H242">XLOOKUP(C242,'Master Data'!C:C,'Master Data'!G:G)</f>
        <v/>
      </c>
      <c r="I242" s="72" t="str">
        <f t="array" ref="I242">XLOOKUP(C242,'Master Data'!C:C,'Master Data'!H:H)</f>
        <v/>
      </c>
      <c r="J242" s="72" t="str">
        <f t="array" ref="J242">XLOOKUP(C242,'Master Data'!C:C,'Master Data'!I:I)</f>
        <v/>
      </c>
      <c r="K242" s="72" t="str">
        <f t="array" ref="K242">XLOOKUP(C242,'Master Data'!C:C,'Master Data'!J:J)</f>
        <v/>
      </c>
      <c r="L242" s="74" t="str">
        <f t="array" ref="L242">XLOOKUP(C:C,TSR_Completion!C:C,TSR_Completion!M:M)</f>
        <v/>
      </c>
      <c r="M242" s="4"/>
      <c r="N242" s="4"/>
      <c r="O242" s="4"/>
      <c r="P242" s="4"/>
      <c r="Q242" s="4"/>
      <c r="R242" s="4"/>
      <c r="S242" s="4"/>
      <c r="T242" s="4"/>
      <c r="U242" s="4"/>
      <c r="V242" s="4"/>
      <c r="W242" s="4"/>
      <c r="X242" s="4"/>
      <c r="Y242" s="4"/>
    </row>
    <row r="243">
      <c r="A243" s="6"/>
      <c r="B243" s="6" t="s">
        <v>158</v>
      </c>
      <c r="C243" s="71" t="s">
        <v>12</v>
      </c>
      <c r="D243" s="72" t="str">
        <f t="array" ref="D243">XLOOKUP(C243,'Master Data'!C:C,'Master Data'!D:D)</f>
        <v/>
      </c>
      <c r="E243" s="73"/>
      <c r="F243" s="72" t="str">
        <f t="array" ref="F243">XLOOKUP(C243,'Master Data'!C:C,'Master Data'!E:E)</f>
        <v/>
      </c>
      <c r="G243" s="72" t="str">
        <f t="array" ref="G243">XLOOKUP(C243,'Master Data'!C:C,'Master Data'!F:F)</f>
        <v/>
      </c>
      <c r="H243" s="72" t="str">
        <f t="array" ref="H243">XLOOKUP(C243,'Master Data'!C:C,'Master Data'!G:G)</f>
        <v/>
      </c>
      <c r="I243" s="72" t="str">
        <f t="array" ref="I243">XLOOKUP(C243,'Master Data'!C:C,'Master Data'!H:H)</f>
        <v/>
      </c>
      <c r="J243" s="72" t="str">
        <f t="array" ref="J243">XLOOKUP(C243,'Master Data'!C:C,'Master Data'!I:I)</f>
        <v/>
      </c>
      <c r="K243" s="72" t="str">
        <f t="array" ref="K243">XLOOKUP(C243,'Master Data'!C:C,'Master Data'!J:J)</f>
        <v/>
      </c>
      <c r="L243" s="74" t="str">
        <f t="array" ref="L243">XLOOKUP(C:C,TSR_Completion!C:C,TSR_Completion!M:M)</f>
        <v/>
      </c>
      <c r="M243" s="4"/>
      <c r="N243" s="4"/>
      <c r="O243" s="4"/>
      <c r="P243" s="4"/>
      <c r="Q243" s="4"/>
      <c r="R243" s="4"/>
      <c r="S243" s="4"/>
      <c r="T243" s="4"/>
      <c r="U243" s="4"/>
      <c r="V243" s="4"/>
      <c r="W243" s="4"/>
      <c r="X243" s="4"/>
      <c r="Y243" s="4"/>
    </row>
    <row r="244">
      <c r="A244" s="6"/>
      <c r="B244" s="6" t="s">
        <v>158</v>
      </c>
      <c r="C244" s="71" t="s">
        <v>12</v>
      </c>
      <c r="D244" s="72" t="str">
        <f t="array" ref="D244">XLOOKUP(C244,'Master Data'!C:C,'Master Data'!D:D)</f>
        <v/>
      </c>
      <c r="E244" s="73"/>
      <c r="F244" s="72" t="str">
        <f t="array" ref="F244">XLOOKUP(C244,'Master Data'!C:C,'Master Data'!E:E)</f>
        <v/>
      </c>
      <c r="G244" s="72" t="str">
        <f t="array" ref="G244">XLOOKUP(C244,'Master Data'!C:C,'Master Data'!F:F)</f>
        <v/>
      </c>
      <c r="H244" s="72" t="str">
        <f t="array" ref="H244">XLOOKUP(C244,'Master Data'!C:C,'Master Data'!G:G)</f>
        <v/>
      </c>
      <c r="I244" s="72" t="str">
        <f t="array" ref="I244">XLOOKUP(C244,'Master Data'!C:C,'Master Data'!H:H)</f>
        <v/>
      </c>
      <c r="J244" s="72" t="str">
        <f t="array" ref="J244">XLOOKUP(C244,'Master Data'!C:C,'Master Data'!I:I)</f>
        <v/>
      </c>
      <c r="K244" s="72" t="str">
        <f t="array" ref="K244">XLOOKUP(C244,'Master Data'!C:C,'Master Data'!J:J)</f>
        <v/>
      </c>
      <c r="L244" s="74" t="str">
        <f t="array" ref="L244">XLOOKUP(C:C,TSR_Completion!C:C,TSR_Completion!M:M)</f>
        <v/>
      </c>
      <c r="M244" s="4"/>
      <c r="N244" s="4"/>
      <c r="O244" s="4"/>
      <c r="P244" s="4"/>
      <c r="Q244" s="4"/>
      <c r="R244" s="4"/>
      <c r="S244" s="4"/>
      <c r="T244" s="4"/>
      <c r="U244" s="4"/>
      <c r="V244" s="4"/>
      <c r="W244" s="4"/>
      <c r="X244" s="4"/>
      <c r="Y244" s="4"/>
    </row>
    <row r="245">
      <c r="A245" s="6"/>
      <c r="B245" s="6" t="s">
        <v>158</v>
      </c>
      <c r="C245" s="71" t="s">
        <v>12</v>
      </c>
      <c r="D245" s="72" t="str">
        <f t="array" ref="D245">XLOOKUP(C245,'Master Data'!C:C,'Master Data'!D:D)</f>
        <v/>
      </c>
      <c r="E245" s="73"/>
      <c r="F245" s="72" t="str">
        <f t="array" ref="F245">XLOOKUP(C245,'Master Data'!C:C,'Master Data'!E:E)</f>
        <v/>
      </c>
      <c r="G245" s="72" t="str">
        <f t="array" ref="G245">XLOOKUP(C245,'Master Data'!C:C,'Master Data'!F:F)</f>
        <v/>
      </c>
      <c r="H245" s="72" t="str">
        <f t="array" ref="H245">XLOOKUP(C245,'Master Data'!C:C,'Master Data'!G:G)</f>
        <v/>
      </c>
      <c r="I245" s="72" t="str">
        <f t="array" ref="I245">XLOOKUP(C245,'Master Data'!C:C,'Master Data'!H:H)</f>
        <v/>
      </c>
      <c r="J245" s="72" t="str">
        <f t="array" ref="J245">XLOOKUP(C245,'Master Data'!C:C,'Master Data'!I:I)</f>
        <v/>
      </c>
      <c r="K245" s="72" t="str">
        <f t="array" ref="K245">XLOOKUP(C245,'Master Data'!C:C,'Master Data'!J:J)</f>
        <v/>
      </c>
      <c r="L245" s="74" t="str">
        <f t="array" ref="L245">XLOOKUP(C:C,TSR_Completion!C:C,TSR_Completion!M:M)</f>
        <v/>
      </c>
      <c r="M245" s="4"/>
      <c r="N245" s="4"/>
      <c r="O245" s="4"/>
      <c r="P245" s="4"/>
      <c r="Q245" s="4"/>
      <c r="R245" s="4"/>
      <c r="S245" s="4"/>
      <c r="T245" s="4"/>
      <c r="U245" s="4"/>
      <c r="V245" s="4"/>
      <c r="W245" s="4"/>
      <c r="X245" s="4"/>
      <c r="Y245" s="4"/>
    </row>
    <row r="246">
      <c r="A246" s="6"/>
      <c r="B246" s="6" t="s">
        <v>158</v>
      </c>
      <c r="C246" s="71" t="s">
        <v>12</v>
      </c>
      <c r="D246" s="72" t="str">
        <f t="array" ref="D246">XLOOKUP(C246,'Master Data'!C:C,'Master Data'!D:D)</f>
        <v/>
      </c>
      <c r="E246" s="73"/>
      <c r="F246" s="72" t="str">
        <f t="array" ref="F246">XLOOKUP(C246,'Master Data'!C:C,'Master Data'!E:E)</f>
        <v/>
      </c>
      <c r="G246" s="72" t="str">
        <f t="array" ref="G246">XLOOKUP(C246,'Master Data'!C:C,'Master Data'!F:F)</f>
        <v/>
      </c>
      <c r="H246" s="72" t="str">
        <f t="array" ref="H246">XLOOKUP(C246,'Master Data'!C:C,'Master Data'!G:G)</f>
        <v/>
      </c>
      <c r="I246" s="72" t="str">
        <f t="array" ref="I246">XLOOKUP(C246,'Master Data'!C:C,'Master Data'!H:H)</f>
        <v/>
      </c>
      <c r="J246" s="72" t="str">
        <f t="array" ref="J246">XLOOKUP(C246,'Master Data'!C:C,'Master Data'!I:I)</f>
        <v/>
      </c>
      <c r="K246" s="72" t="str">
        <f t="array" ref="K246">XLOOKUP(C246,'Master Data'!C:C,'Master Data'!J:J)</f>
        <v/>
      </c>
      <c r="L246" s="74" t="str">
        <f t="array" ref="L246">XLOOKUP(C:C,TSR_Completion!C:C,TSR_Completion!M:M)</f>
        <v/>
      </c>
      <c r="M246" s="4"/>
      <c r="N246" s="4"/>
      <c r="O246" s="4"/>
      <c r="P246" s="4"/>
      <c r="Q246" s="4"/>
      <c r="R246" s="4"/>
      <c r="S246" s="4"/>
      <c r="T246" s="4"/>
      <c r="U246" s="4"/>
      <c r="V246" s="4"/>
      <c r="W246" s="4"/>
      <c r="X246" s="4"/>
      <c r="Y246" s="4"/>
    </row>
    <row r="247">
      <c r="A247" s="6"/>
      <c r="B247" s="6" t="s">
        <v>158</v>
      </c>
      <c r="C247" s="71" t="s">
        <v>12</v>
      </c>
      <c r="D247" s="72" t="str">
        <f t="array" ref="D247">XLOOKUP(C247,'Master Data'!C:C,'Master Data'!D:D)</f>
        <v/>
      </c>
      <c r="E247" s="73"/>
      <c r="F247" s="72" t="str">
        <f t="array" ref="F247">XLOOKUP(C247,'Master Data'!C:C,'Master Data'!E:E)</f>
        <v/>
      </c>
      <c r="G247" s="72" t="str">
        <f t="array" ref="G247">XLOOKUP(C247,'Master Data'!C:C,'Master Data'!F:F)</f>
        <v/>
      </c>
      <c r="H247" s="72" t="str">
        <f t="array" ref="H247">XLOOKUP(C247,'Master Data'!C:C,'Master Data'!G:G)</f>
        <v/>
      </c>
      <c r="I247" s="72" t="str">
        <f t="array" ref="I247">XLOOKUP(C247,'Master Data'!C:C,'Master Data'!H:H)</f>
        <v/>
      </c>
      <c r="J247" s="72" t="str">
        <f t="array" ref="J247">XLOOKUP(C247,'Master Data'!C:C,'Master Data'!I:I)</f>
        <v/>
      </c>
      <c r="K247" s="72" t="str">
        <f t="array" ref="K247">XLOOKUP(C247,'Master Data'!C:C,'Master Data'!J:J)</f>
        <v/>
      </c>
      <c r="L247" s="74" t="str">
        <f t="array" ref="L247">XLOOKUP(C:C,TSR_Completion!C:C,TSR_Completion!M:M)</f>
        <v/>
      </c>
      <c r="M247" s="4"/>
      <c r="N247" s="4"/>
      <c r="O247" s="4"/>
      <c r="P247" s="4"/>
      <c r="Q247" s="4"/>
      <c r="R247" s="4"/>
      <c r="S247" s="4"/>
      <c r="T247" s="4"/>
      <c r="U247" s="4"/>
      <c r="V247" s="4"/>
      <c r="W247" s="4"/>
      <c r="X247" s="4"/>
      <c r="Y247" s="4"/>
    </row>
    <row r="248">
      <c r="A248" s="6"/>
      <c r="B248" s="6" t="s">
        <v>158</v>
      </c>
      <c r="C248" s="71" t="s">
        <v>12</v>
      </c>
      <c r="D248" s="72" t="str">
        <f t="array" ref="D248">XLOOKUP(C248,'Master Data'!C:C,'Master Data'!D:D)</f>
        <v/>
      </c>
      <c r="E248" s="73"/>
      <c r="F248" s="72" t="str">
        <f t="array" ref="F248">XLOOKUP(C248,'Master Data'!C:C,'Master Data'!E:E)</f>
        <v/>
      </c>
      <c r="G248" s="72" t="str">
        <f t="array" ref="G248">XLOOKUP(C248,'Master Data'!C:C,'Master Data'!F:F)</f>
        <v/>
      </c>
      <c r="H248" s="72" t="str">
        <f t="array" ref="H248">XLOOKUP(C248,'Master Data'!C:C,'Master Data'!G:G)</f>
        <v/>
      </c>
      <c r="I248" s="72" t="str">
        <f t="array" ref="I248">XLOOKUP(C248,'Master Data'!C:C,'Master Data'!H:H)</f>
        <v/>
      </c>
      <c r="J248" s="72" t="str">
        <f t="array" ref="J248">XLOOKUP(C248,'Master Data'!C:C,'Master Data'!I:I)</f>
        <v/>
      </c>
      <c r="K248" s="72" t="str">
        <f t="array" ref="K248">XLOOKUP(C248,'Master Data'!C:C,'Master Data'!J:J)</f>
        <v/>
      </c>
      <c r="L248" s="74" t="str">
        <f t="array" ref="L248">XLOOKUP(C:C,TSR_Completion!C:C,TSR_Completion!M:M)</f>
        <v/>
      </c>
      <c r="M248" s="4"/>
      <c r="N248" s="4"/>
      <c r="O248" s="4"/>
      <c r="P248" s="4"/>
      <c r="Q248" s="4"/>
      <c r="R248" s="4"/>
      <c r="S248" s="4"/>
      <c r="T248" s="4"/>
      <c r="U248" s="4"/>
      <c r="V248" s="4"/>
      <c r="W248" s="4"/>
      <c r="X248" s="4"/>
      <c r="Y248" s="4"/>
    </row>
    <row r="249">
      <c r="A249" s="6"/>
      <c r="B249" s="6" t="s">
        <v>158</v>
      </c>
      <c r="C249" s="71" t="s">
        <v>12</v>
      </c>
      <c r="D249" s="72" t="str">
        <f t="array" ref="D249">XLOOKUP(C249,'Master Data'!C:C,'Master Data'!D:D)</f>
        <v/>
      </c>
      <c r="E249" s="73"/>
      <c r="F249" s="72" t="str">
        <f t="array" ref="F249">XLOOKUP(C249,'Master Data'!C:C,'Master Data'!E:E)</f>
        <v/>
      </c>
      <c r="G249" s="72" t="str">
        <f t="array" ref="G249">XLOOKUP(C249,'Master Data'!C:C,'Master Data'!F:F)</f>
        <v/>
      </c>
      <c r="H249" s="72" t="str">
        <f t="array" ref="H249">XLOOKUP(C249,'Master Data'!C:C,'Master Data'!G:G)</f>
        <v/>
      </c>
      <c r="I249" s="72" t="str">
        <f t="array" ref="I249">XLOOKUP(C249,'Master Data'!C:C,'Master Data'!H:H)</f>
        <v/>
      </c>
      <c r="J249" s="72" t="str">
        <f t="array" ref="J249">XLOOKUP(C249,'Master Data'!C:C,'Master Data'!I:I)</f>
        <v/>
      </c>
      <c r="K249" s="72" t="str">
        <f t="array" ref="K249">XLOOKUP(C249,'Master Data'!C:C,'Master Data'!J:J)</f>
        <v/>
      </c>
      <c r="L249" s="74" t="str">
        <f t="array" ref="L249">XLOOKUP(C:C,TSR_Completion!C:C,TSR_Completion!M:M)</f>
        <v/>
      </c>
      <c r="M249" s="4"/>
      <c r="N249" s="4"/>
      <c r="O249" s="4"/>
      <c r="P249" s="4"/>
      <c r="Q249" s="4"/>
      <c r="R249" s="4"/>
      <c r="S249" s="4"/>
      <c r="T249" s="4"/>
      <c r="U249" s="4"/>
      <c r="V249" s="4"/>
      <c r="W249" s="4"/>
      <c r="X249" s="4"/>
      <c r="Y249" s="4"/>
    </row>
    <row r="250">
      <c r="A250" s="6"/>
      <c r="B250" s="6" t="s">
        <v>158</v>
      </c>
      <c r="C250" s="71" t="s">
        <v>12</v>
      </c>
      <c r="D250" s="72" t="str">
        <f t="array" ref="D250">XLOOKUP(C250,'Master Data'!C:C,'Master Data'!D:D)</f>
        <v/>
      </c>
      <c r="E250" s="73"/>
      <c r="F250" s="72" t="str">
        <f t="array" ref="F250">XLOOKUP(C250,'Master Data'!C:C,'Master Data'!E:E)</f>
        <v/>
      </c>
      <c r="G250" s="72" t="str">
        <f t="array" ref="G250">XLOOKUP(C250,'Master Data'!C:C,'Master Data'!F:F)</f>
        <v/>
      </c>
      <c r="H250" s="72" t="str">
        <f t="array" ref="H250">XLOOKUP(C250,'Master Data'!C:C,'Master Data'!G:G)</f>
        <v/>
      </c>
      <c r="I250" s="72" t="str">
        <f t="array" ref="I250">XLOOKUP(C250,'Master Data'!C:C,'Master Data'!H:H)</f>
        <v/>
      </c>
      <c r="J250" s="72" t="str">
        <f t="array" ref="J250">XLOOKUP(C250,'Master Data'!C:C,'Master Data'!I:I)</f>
        <v/>
      </c>
      <c r="K250" s="72" t="str">
        <f t="array" ref="K250">XLOOKUP(C250,'Master Data'!C:C,'Master Data'!J:J)</f>
        <v/>
      </c>
      <c r="L250" s="74" t="str">
        <f t="array" ref="L250">XLOOKUP(C:C,TSR_Completion!C:C,TSR_Completion!M:M)</f>
        <v/>
      </c>
      <c r="M250" s="4"/>
      <c r="N250" s="4"/>
      <c r="O250" s="4"/>
      <c r="P250" s="4"/>
      <c r="Q250" s="4"/>
      <c r="R250" s="4"/>
      <c r="S250" s="4"/>
      <c r="T250" s="4"/>
      <c r="U250" s="4"/>
      <c r="V250" s="4"/>
      <c r="W250" s="4"/>
      <c r="X250" s="4"/>
      <c r="Y250" s="4"/>
    </row>
    <row r="251">
      <c r="A251" s="6"/>
      <c r="B251" s="6" t="s">
        <v>158</v>
      </c>
      <c r="C251" s="71" t="s">
        <v>12</v>
      </c>
      <c r="D251" s="72" t="str">
        <f t="array" ref="D251">XLOOKUP(C251,'Master Data'!C:C,'Master Data'!D:D)</f>
        <v/>
      </c>
      <c r="E251" s="73"/>
      <c r="F251" s="72" t="str">
        <f t="array" ref="F251">XLOOKUP(C251,'Master Data'!C:C,'Master Data'!E:E)</f>
        <v/>
      </c>
      <c r="G251" s="72" t="str">
        <f t="array" ref="G251">XLOOKUP(C251,'Master Data'!C:C,'Master Data'!F:F)</f>
        <v/>
      </c>
      <c r="H251" s="72" t="str">
        <f t="array" ref="H251">XLOOKUP(C251,'Master Data'!C:C,'Master Data'!G:G)</f>
        <v/>
      </c>
      <c r="I251" s="72" t="str">
        <f t="array" ref="I251">XLOOKUP(C251,'Master Data'!C:C,'Master Data'!H:H)</f>
        <v/>
      </c>
      <c r="J251" s="72" t="str">
        <f t="array" ref="J251">XLOOKUP(C251,'Master Data'!C:C,'Master Data'!I:I)</f>
        <v/>
      </c>
      <c r="K251" s="72" t="str">
        <f t="array" ref="K251">XLOOKUP(C251,'Master Data'!C:C,'Master Data'!J:J)</f>
        <v/>
      </c>
      <c r="L251" s="74" t="str">
        <f t="array" ref="L251">XLOOKUP(C:C,TSR_Completion!C:C,TSR_Completion!M:M)</f>
        <v/>
      </c>
      <c r="M251" s="4"/>
      <c r="N251" s="4"/>
      <c r="O251" s="4"/>
      <c r="P251" s="4"/>
      <c r="Q251" s="4"/>
      <c r="R251" s="4"/>
      <c r="S251" s="4"/>
      <c r="T251" s="4"/>
      <c r="U251" s="4"/>
      <c r="V251" s="4"/>
      <c r="W251" s="4"/>
      <c r="X251" s="4"/>
      <c r="Y251" s="4"/>
    </row>
    <row r="252">
      <c r="A252" s="6"/>
      <c r="B252" s="6" t="s">
        <v>158</v>
      </c>
      <c r="C252" s="71" t="s">
        <v>12</v>
      </c>
      <c r="D252" s="72" t="str">
        <f t="array" ref="D252">XLOOKUP(C252,'Master Data'!C:C,'Master Data'!D:D)</f>
        <v/>
      </c>
      <c r="E252" s="73"/>
      <c r="F252" s="72" t="str">
        <f t="array" ref="F252">XLOOKUP(C252,'Master Data'!C:C,'Master Data'!E:E)</f>
        <v/>
      </c>
      <c r="G252" s="72" t="str">
        <f t="array" ref="G252">XLOOKUP(C252,'Master Data'!C:C,'Master Data'!F:F)</f>
        <v/>
      </c>
      <c r="H252" s="72" t="str">
        <f t="array" ref="H252">XLOOKUP(C252,'Master Data'!C:C,'Master Data'!G:G)</f>
        <v/>
      </c>
      <c r="I252" s="72" t="str">
        <f t="array" ref="I252">XLOOKUP(C252,'Master Data'!C:C,'Master Data'!H:H)</f>
        <v/>
      </c>
      <c r="J252" s="72" t="str">
        <f t="array" ref="J252">XLOOKUP(C252,'Master Data'!C:C,'Master Data'!I:I)</f>
        <v/>
      </c>
      <c r="K252" s="72" t="str">
        <f t="array" ref="K252">XLOOKUP(C252,'Master Data'!C:C,'Master Data'!J:J)</f>
        <v/>
      </c>
      <c r="L252" s="74" t="str">
        <f t="array" ref="L252">XLOOKUP(C:C,TSR_Completion!C:C,TSR_Completion!M:M)</f>
        <v/>
      </c>
      <c r="M252" s="4"/>
      <c r="N252" s="4"/>
      <c r="O252" s="4"/>
      <c r="P252" s="4"/>
      <c r="Q252" s="4"/>
      <c r="R252" s="4"/>
      <c r="S252" s="4"/>
      <c r="T252" s="4"/>
      <c r="U252" s="4"/>
      <c r="V252" s="4"/>
      <c r="W252" s="4"/>
      <c r="X252" s="4"/>
      <c r="Y252" s="4"/>
    </row>
    <row r="253">
      <c r="A253" s="6"/>
      <c r="B253" s="6" t="s">
        <v>158</v>
      </c>
      <c r="C253" s="71" t="s">
        <v>12</v>
      </c>
      <c r="D253" s="72" t="str">
        <f t="array" ref="D253">XLOOKUP(C253,'Master Data'!C:C,'Master Data'!D:D)</f>
        <v/>
      </c>
      <c r="E253" s="73"/>
      <c r="F253" s="72" t="str">
        <f t="array" ref="F253">XLOOKUP(C253,'Master Data'!C:C,'Master Data'!E:E)</f>
        <v/>
      </c>
      <c r="G253" s="72" t="str">
        <f t="array" ref="G253">XLOOKUP(C253,'Master Data'!C:C,'Master Data'!F:F)</f>
        <v/>
      </c>
      <c r="H253" s="72" t="str">
        <f t="array" ref="H253">XLOOKUP(C253,'Master Data'!C:C,'Master Data'!G:G)</f>
        <v/>
      </c>
      <c r="I253" s="72" t="str">
        <f t="array" ref="I253">XLOOKUP(C253,'Master Data'!C:C,'Master Data'!H:H)</f>
        <v/>
      </c>
      <c r="J253" s="72" t="str">
        <f t="array" ref="J253">XLOOKUP(C253,'Master Data'!C:C,'Master Data'!I:I)</f>
        <v/>
      </c>
      <c r="K253" s="72" t="str">
        <f t="array" ref="K253">XLOOKUP(C253,'Master Data'!C:C,'Master Data'!J:J)</f>
        <v/>
      </c>
      <c r="L253" s="74" t="str">
        <f t="array" ref="L253">XLOOKUP(C:C,TSR_Completion!C:C,TSR_Completion!M:M)</f>
        <v/>
      </c>
      <c r="M253" s="4"/>
      <c r="N253" s="4"/>
      <c r="O253" s="4"/>
      <c r="P253" s="4"/>
      <c r="Q253" s="4"/>
      <c r="R253" s="4"/>
      <c r="S253" s="4"/>
      <c r="T253" s="4"/>
      <c r="U253" s="4"/>
      <c r="V253" s="4"/>
      <c r="W253" s="4"/>
      <c r="X253" s="4"/>
      <c r="Y253" s="4"/>
    </row>
    <row r="254">
      <c r="A254" s="6"/>
      <c r="B254" s="6" t="s">
        <v>158</v>
      </c>
      <c r="C254" s="71" t="s">
        <v>12</v>
      </c>
      <c r="D254" s="72" t="str">
        <f t="array" ref="D254">XLOOKUP(C254,'Master Data'!C:C,'Master Data'!D:D)</f>
        <v/>
      </c>
      <c r="E254" s="73"/>
      <c r="F254" s="72" t="str">
        <f t="array" ref="F254">XLOOKUP(C254,'Master Data'!C:C,'Master Data'!E:E)</f>
        <v/>
      </c>
      <c r="G254" s="72" t="str">
        <f t="array" ref="G254">XLOOKUP(C254,'Master Data'!C:C,'Master Data'!F:F)</f>
        <v/>
      </c>
      <c r="H254" s="72" t="str">
        <f t="array" ref="H254">XLOOKUP(C254,'Master Data'!C:C,'Master Data'!G:G)</f>
        <v/>
      </c>
      <c r="I254" s="72" t="str">
        <f t="array" ref="I254">XLOOKUP(C254,'Master Data'!C:C,'Master Data'!H:H)</f>
        <v/>
      </c>
      <c r="J254" s="72" t="str">
        <f t="array" ref="J254">XLOOKUP(C254,'Master Data'!C:C,'Master Data'!I:I)</f>
        <v/>
      </c>
      <c r="K254" s="72" t="str">
        <f t="array" ref="K254">XLOOKUP(C254,'Master Data'!C:C,'Master Data'!J:J)</f>
        <v/>
      </c>
      <c r="L254" s="74" t="str">
        <f t="array" ref="L254">XLOOKUP(C:C,TSR_Completion!C:C,TSR_Completion!M:M)</f>
        <v/>
      </c>
      <c r="M254" s="4"/>
      <c r="N254" s="4"/>
      <c r="O254" s="4"/>
      <c r="P254" s="4"/>
      <c r="Q254" s="4"/>
      <c r="R254" s="4"/>
      <c r="S254" s="4"/>
      <c r="T254" s="4"/>
      <c r="U254" s="4"/>
      <c r="V254" s="4"/>
      <c r="W254" s="4"/>
      <c r="X254" s="4"/>
      <c r="Y254" s="4"/>
    </row>
    <row r="255">
      <c r="A255" s="6"/>
      <c r="B255" s="6" t="s">
        <v>158</v>
      </c>
      <c r="C255" s="71" t="s">
        <v>12</v>
      </c>
      <c r="D255" s="72" t="str">
        <f t="array" ref="D255">XLOOKUP(C255,'Master Data'!C:C,'Master Data'!D:D)</f>
        <v/>
      </c>
      <c r="E255" s="73"/>
      <c r="F255" s="72" t="str">
        <f t="array" ref="F255">XLOOKUP(C255,'Master Data'!C:C,'Master Data'!E:E)</f>
        <v/>
      </c>
      <c r="G255" s="72" t="str">
        <f t="array" ref="G255">XLOOKUP(C255,'Master Data'!C:C,'Master Data'!F:F)</f>
        <v/>
      </c>
      <c r="H255" s="72" t="str">
        <f t="array" ref="H255">XLOOKUP(C255,'Master Data'!C:C,'Master Data'!G:G)</f>
        <v/>
      </c>
      <c r="I255" s="72" t="str">
        <f t="array" ref="I255">XLOOKUP(C255,'Master Data'!C:C,'Master Data'!H:H)</f>
        <v/>
      </c>
      <c r="J255" s="72" t="str">
        <f t="array" ref="J255">XLOOKUP(C255,'Master Data'!C:C,'Master Data'!I:I)</f>
        <v/>
      </c>
      <c r="K255" s="72" t="str">
        <f t="array" ref="K255">XLOOKUP(C255,'Master Data'!C:C,'Master Data'!J:J)</f>
        <v/>
      </c>
      <c r="L255" s="74" t="str">
        <f t="array" ref="L255">XLOOKUP(C:C,TSR_Completion!C:C,TSR_Completion!M:M)</f>
        <v/>
      </c>
      <c r="M255" s="4"/>
      <c r="N255" s="4"/>
      <c r="O255" s="4"/>
      <c r="P255" s="4"/>
      <c r="Q255" s="4"/>
      <c r="R255" s="4"/>
      <c r="S255" s="4"/>
      <c r="T255" s="4"/>
      <c r="U255" s="4"/>
      <c r="V255" s="4"/>
      <c r="W255" s="4"/>
      <c r="X255" s="4"/>
      <c r="Y255" s="4"/>
    </row>
    <row r="256">
      <c r="A256" s="6"/>
      <c r="B256" s="6" t="s">
        <v>158</v>
      </c>
      <c r="C256" s="71" t="s">
        <v>12</v>
      </c>
      <c r="D256" s="72" t="str">
        <f t="array" ref="D256">XLOOKUP(C256,'Master Data'!C:C,'Master Data'!D:D)</f>
        <v/>
      </c>
      <c r="E256" s="73"/>
      <c r="F256" s="72" t="str">
        <f t="array" ref="F256">XLOOKUP(C256,'Master Data'!C:C,'Master Data'!E:E)</f>
        <v/>
      </c>
      <c r="G256" s="72" t="str">
        <f t="array" ref="G256">XLOOKUP(C256,'Master Data'!C:C,'Master Data'!F:F)</f>
        <v/>
      </c>
      <c r="H256" s="72" t="str">
        <f t="array" ref="H256">XLOOKUP(C256,'Master Data'!C:C,'Master Data'!G:G)</f>
        <v/>
      </c>
      <c r="I256" s="72" t="str">
        <f t="array" ref="I256">XLOOKUP(C256,'Master Data'!C:C,'Master Data'!H:H)</f>
        <v/>
      </c>
      <c r="J256" s="72" t="str">
        <f t="array" ref="J256">XLOOKUP(C256,'Master Data'!C:C,'Master Data'!I:I)</f>
        <v/>
      </c>
      <c r="K256" s="72" t="str">
        <f t="array" ref="K256">XLOOKUP(C256,'Master Data'!C:C,'Master Data'!J:J)</f>
        <v/>
      </c>
      <c r="L256" s="74" t="str">
        <f t="array" ref="L256">XLOOKUP(C:C,TSR_Completion!C:C,TSR_Completion!M:M)</f>
        <v/>
      </c>
      <c r="M256" s="4"/>
      <c r="N256" s="4"/>
      <c r="O256" s="4"/>
      <c r="P256" s="4"/>
      <c r="Q256" s="4"/>
      <c r="R256" s="4"/>
      <c r="S256" s="4"/>
      <c r="T256" s="4"/>
      <c r="U256" s="4"/>
      <c r="V256" s="4"/>
      <c r="W256" s="4"/>
      <c r="X256" s="4"/>
      <c r="Y256" s="4"/>
    </row>
    <row r="257">
      <c r="A257" s="6"/>
      <c r="B257" s="6" t="s">
        <v>158</v>
      </c>
      <c r="C257" s="71" t="s">
        <v>12</v>
      </c>
      <c r="D257" s="72" t="str">
        <f t="array" ref="D257">XLOOKUP(C257,'Master Data'!C:C,'Master Data'!D:D)</f>
        <v/>
      </c>
      <c r="E257" s="73"/>
      <c r="F257" s="72" t="str">
        <f t="array" ref="F257">XLOOKUP(C257,'Master Data'!C:C,'Master Data'!E:E)</f>
        <v/>
      </c>
      <c r="G257" s="72" t="str">
        <f t="array" ref="G257">XLOOKUP(C257,'Master Data'!C:C,'Master Data'!F:F)</f>
        <v/>
      </c>
      <c r="H257" s="72" t="str">
        <f t="array" ref="H257">XLOOKUP(C257,'Master Data'!C:C,'Master Data'!G:G)</f>
        <v/>
      </c>
      <c r="I257" s="72" t="str">
        <f t="array" ref="I257">XLOOKUP(C257,'Master Data'!C:C,'Master Data'!H:H)</f>
        <v/>
      </c>
      <c r="J257" s="72" t="str">
        <f t="array" ref="J257">XLOOKUP(C257,'Master Data'!C:C,'Master Data'!I:I)</f>
        <v/>
      </c>
      <c r="K257" s="72" t="str">
        <f t="array" ref="K257">XLOOKUP(C257,'Master Data'!C:C,'Master Data'!J:J)</f>
        <v/>
      </c>
      <c r="L257" s="74" t="str">
        <f t="array" ref="L257">XLOOKUP(C:C,TSR_Completion!C:C,TSR_Completion!M:M)</f>
        <v/>
      </c>
      <c r="M257" s="4"/>
      <c r="N257" s="4"/>
      <c r="O257" s="4"/>
      <c r="P257" s="4"/>
      <c r="Q257" s="4"/>
      <c r="R257" s="4"/>
      <c r="S257" s="4"/>
      <c r="T257" s="4"/>
      <c r="U257" s="4"/>
      <c r="V257" s="4"/>
      <c r="W257" s="4"/>
      <c r="X257" s="4"/>
      <c r="Y257" s="4"/>
    </row>
    <row r="258">
      <c r="A258" s="6"/>
      <c r="B258" s="6" t="s">
        <v>158</v>
      </c>
      <c r="C258" s="71" t="s">
        <v>12</v>
      </c>
      <c r="D258" s="72" t="str">
        <f t="array" ref="D258">XLOOKUP(C258,'Master Data'!C:C,'Master Data'!D:D)</f>
        <v/>
      </c>
      <c r="E258" s="73"/>
      <c r="F258" s="72" t="str">
        <f t="array" ref="F258">XLOOKUP(C258,'Master Data'!C:C,'Master Data'!E:E)</f>
        <v/>
      </c>
      <c r="G258" s="72" t="str">
        <f t="array" ref="G258">XLOOKUP(C258,'Master Data'!C:C,'Master Data'!F:F)</f>
        <v/>
      </c>
      <c r="H258" s="72" t="str">
        <f t="array" ref="H258">XLOOKUP(C258,'Master Data'!C:C,'Master Data'!G:G)</f>
        <v/>
      </c>
      <c r="I258" s="72" t="str">
        <f t="array" ref="I258">XLOOKUP(C258,'Master Data'!C:C,'Master Data'!H:H)</f>
        <v/>
      </c>
      <c r="J258" s="72" t="str">
        <f t="array" ref="J258">XLOOKUP(C258,'Master Data'!C:C,'Master Data'!I:I)</f>
        <v/>
      </c>
      <c r="K258" s="72" t="str">
        <f t="array" ref="K258">XLOOKUP(C258,'Master Data'!C:C,'Master Data'!J:J)</f>
        <v/>
      </c>
      <c r="L258" s="74" t="str">
        <f t="array" ref="L258">XLOOKUP(C:C,TSR_Completion!C:C,TSR_Completion!M:M)</f>
        <v/>
      </c>
      <c r="M258" s="4"/>
      <c r="N258" s="4"/>
      <c r="O258" s="4"/>
      <c r="P258" s="4"/>
      <c r="Q258" s="4"/>
      <c r="R258" s="4"/>
      <c r="S258" s="4"/>
      <c r="T258" s="4"/>
      <c r="U258" s="4"/>
      <c r="V258" s="4"/>
      <c r="W258" s="4"/>
      <c r="X258" s="4"/>
      <c r="Y258" s="4"/>
    </row>
    <row r="259">
      <c r="A259" s="6"/>
      <c r="B259" s="6" t="s">
        <v>158</v>
      </c>
      <c r="C259" s="71" t="s">
        <v>12</v>
      </c>
      <c r="D259" s="72" t="str">
        <f t="array" ref="D259">XLOOKUP(C259,'Master Data'!C:C,'Master Data'!D:D)</f>
        <v/>
      </c>
      <c r="E259" s="73"/>
      <c r="F259" s="72" t="str">
        <f t="array" ref="F259">XLOOKUP(C259,'Master Data'!C:C,'Master Data'!E:E)</f>
        <v/>
      </c>
      <c r="G259" s="72" t="str">
        <f t="array" ref="G259">XLOOKUP(C259,'Master Data'!C:C,'Master Data'!F:F)</f>
        <v/>
      </c>
      <c r="H259" s="72" t="str">
        <f t="array" ref="H259">XLOOKUP(C259,'Master Data'!C:C,'Master Data'!G:G)</f>
        <v/>
      </c>
      <c r="I259" s="72" t="str">
        <f t="array" ref="I259">XLOOKUP(C259,'Master Data'!C:C,'Master Data'!H:H)</f>
        <v/>
      </c>
      <c r="J259" s="72" t="str">
        <f t="array" ref="J259">XLOOKUP(C259,'Master Data'!C:C,'Master Data'!I:I)</f>
        <v/>
      </c>
      <c r="K259" s="72" t="str">
        <f t="array" ref="K259">XLOOKUP(C259,'Master Data'!C:C,'Master Data'!J:J)</f>
        <v/>
      </c>
      <c r="L259" s="74" t="str">
        <f t="array" ref="L259">XLOOKUP(C:C,TSR_Completion!C:C,TSR_Completion!M:M)</f>
        <v/>
      </c>
      <c r="M259" s="4"/>
      <c r="N259" s="4"/>
      <c r="O259" s="4"/>
      <c r="P259" s="4"/>
      <c r="Q259" s="4"/>
      <c r="R259" s="4"/>
      <c r="S259" s="4"/>
      <c r="T259" s="4"/>
      <c r="U259" s="4"/>
      <c r="V259" s="4"/>
      <c r="W259" s="4"/>
      <c r="X259" s="4"/>
      <c r="Y259" s="4"/>
    </row>
    <row r="260">
      <c r="A260" s="6"/>
      <c r="B260" s="6" t="s">
        <v>158</v>
      </c>
      <c r="C260" s="71" t="s">
        <v>12</v>
      </c>
      <c r="D260" s="72" t="str">
        <f t="array" ref="D260">XLOOKUP(C260,'Master Data'!C:C,'Master Data'!D:D)</f>
        <v/>
      </c>
      <c r="E260" s="73"/>
      <c r="F260" s="72" t="str">
        <f t="array" ref="F260">XLOOKUP(C260,'Master Data'!C:C,'Master Data'!E:E)</f>
        <v/>
      </c>
      <c r="G260" s="72" t="str">
        <f t="array" ref="G260">XLOOKUP(C260,'Master Data'!C:C,'Master Data'!F:F)</f>
        <v/>
      </c>
      <c r="H260" s="72" t="str">
        <f t="array" ref="H260">XLOOKUP(C260,'Master Data'!C:C,'Master Data'!G:G)</f>
        <v/>
      </c>
      <c r="I260" s="72" t="str">
        <f t="array" ref="I260">XLOOKUP(C260,'Master Data'!C:C,'Master Data'!H:H)</f>
        <v/>
      </c>
      <c r="J260" s="72" t="str">
        <f t="array" ref="J260">XLOOKUP(C260,'Master Data'!C:C,'Master Data'!I:I)</f>
        <v/>
      </c>
      <c r="K260" s="72" t="str">
        <f t="array" ref="K260">XLOOKUP(C260,'Master Data'!C:C,'Master Data'!J:J)</f>
        <v/>
      </c>
      <c r="L260" s="74" t="str">
        <f t="array" ref="L260">XLOOKUP(C:C,TSR_Completion!C:C,TSR_Completion!M:M)</f>
        <v/>
      </c>
      <c r="M260" s="4"/>
      <c r="N260" s="4"/>
      <c r="O260" s="4"/>
      <c r="P260" s="4"/>
      <c r="Q260" s="4"/>
      <c r="R260" s="4"/>
      <c r="S260" s="4"/>
      <c r="T260" s="4"/>
      <c r="U260" s="4"/>
      <c r="V260" s="4"/>
      <c r="W260" s="4"/>
      <c r="X260" s="4"/>
      <c r="Y260" s="4"/>
    </row>
    <row r="261">
      <c r="A261" s="6"/>
      <c r="B261" s="6" t="s">
        <v>158</v>
      </c>
      <c r="C261" s="71" t="s">
        <v>12</v>
      </c>
      <c r="D261" s="72" t="str">
        <f t="array" ref="D261">XLOOKUP(C261,'Master Data'!C:C,'Master Data'!D:D)</f>
        <v/>
      </c>
      <c r="E261" s="73"/>
      <c r="F261" s="72" t="str">
        <f t="array" ref="F261">XLOOKUP(C261,'Master Data'!C:C,'Master Data'!E:E)</f>
        <v/>
      </c>
      <c r="G261" s="72" t="str">
        <f t="array" ref="G261">XLOOKUP(C261,'Master Data'!C:C,'Master Data'!F:F)</f>
        <v/>
      </c>
      <c r="H261" s="72" t="str">
        <f t="array" ref="H261">XLOOKUP(C261,'Master Data'!C:C,'Master Data'!G:G)</f>
        <v/>
      </c>
      <c r="I261" s="72" t="str">
        <f t="array" ref="I261">XLOOKUP(C261,'Master Data'!C:C,'Master Data'!H:H)</f>
        <v/>
      </c>
      <c r="J261" s="72" t="str">
        <f t="array" ref="J261">XLOOKUP(C261,'Master Data'!C:C,'Master Data'!I:I)</f>
        <v/>
      </c>
      <c r="K261" s="72" t="str">
        <f t="array" ref="K261">XLOOKUP(C261,'Master Data'!C:C,'Master Data'!J:J)</f>
        <v/>
      </c>
      <c r="L261" s="74" t="str">
        <f t="array" ref="L261">XLOOKUP(C:C,TSR_Completion!C:C,TSR_Completion!M:M)</f>
        <v/>
      </c>
      <c r="M261" s="4"/>
      <c r="N261" s="4"/>
      <c r="O261" s="4"/>
      <c r="P261" s="4"/>
      <c r="Q261" s="4"/>
      <c r="R261" s="4"/>
      <c r="S261" s="4"/>
      <c r="T261" s="4"/>
      <c r="U261" s="4"/>
      <c r="V261" s="4"/>
      <c r="W261" s="4"/>
      <c r="X261" s="4"/>
      <c r="Y261" s="4"/>
    </row>
    <row r="262">
      <c r="A262" s="6"/>
      <c r="B262" s="6" t="s">
        <v>158</v>
      </c>
      <c r="C262" s="71" t="s">
        <v>12</v>
      </c>
      <c r="D262" s="72" t="str">
        <f t="array" ref="D262">XLOOKUP(C262,'Master Data'!C:C,'Master Data'!D:D)</f>
        <v/>
      </c>
      <c r="E262" s="73"/>
      <c r="F262" s="72" t="str">
        <f t="array" ref="F262">XLOOKUP(C262,'Master Data'!C:C,'Master Data'!E:E)</f>
        <v/>
      </c>
      <c r="G262" s="72" t="str">
        <f t="array" ref="G262">XLOOKUP(C262,'Master Data'!C:C,'Master Data'!F:F)</f>
        <v/>
      </c>
      <c r="H262" s="72" t="str">
        <f t="array" ref="H262">XLOOKUP(C262,'Master Data'!C:C,'Master Data'!G:G)</f>
        <v/>
      </c>
      <c r="I262" s="72" t="str">
        <f t="array" ref="I262">XLOOKUP(C262,'Master Data'!C:C,'Master Data'!H:H)</f>
        <v/>
      </c>
      <c r="J262" s="72" t="str">
        <f t="array" ref="J262">XLOOKUP(C262,'Master Data'!C:C,'Master Data'!I:I)</f>
        <v/>
      </c>
      <c r="K262" s="72" t="str">
        <f t="array" ref="K262">XLOOKUP(C262,'Master Data'!C:C,'Master Data'!J:J)</f>
        <v/>
      </c>
      <c r="L262" s="74" t="str">
        <f t="array" ref="L262">XLOOKUP(C:C,TSR_Completion!C:C,TSR_Completion!M:M)</f>
        <v/>
      </c>
      <c r="M262" s="4"/>
      <c r="N262" s="4"/>
      <c r="O262" s="4"/>
      <c r="P262" s="4"/>
      <c r="Q262" s="4"/>
      <c r="R262" s="4"/>
      <c r="S262" s="4"/>
      <c r="T262" s="4"/>
      <c r="U262" s="4"/>
      <c r="V262" s="4"/>
      <c r="W262" s="4"/>
      <c r="X262" s="4"/>
      <c r="Y262" s="4"/>
    </row>
    <row r="263">
      <c r="A263" s="6"/>
      <c r="B263" s="6" t="s">
        <v>158</v>
      </c>
      <c r="C263" s="71" t="s">
        <v>12</v>
      </c>
      <c r="D263" s="72" t="str">
        <f t="array" ref="D263">XLOOKUP(C263,'Master Data'!C:C,'Master Data'!D:D)</f>
        <v/>
      </c>
      <c r="E263" s="73"/>
      <c r="F263" s="72" t="str">
        <f t="array" ref="F263">XLOOKUP(C263,'Master Data'!C:C,'Master Data'!E:E)</f>
        <v/>
      </c>
      <c r="G263" s="72" t="str">
        <f t="array" ref="G263">XLOOKUP(C263,'Master Data'!C:C,'Master Data'!F:F)</f>
        <v/>
      </c>
      <c r="H263" s="72" t="str">
        <f t="array" ref="H263">XLOOKUP(C263,'Master Data'!C:C,'Master Data'!G:G)</f>
        <v/>
      </c>
      <c r="I263" s="72" t="str">
        <f t="array" ref="I263">XLOOKUP(C263,'Master Data'!C:C,'Master Data'!H:H)</f>
        <v/>
      </c>
      <c r="J263" s="72" t="str">
        <f t="array" ref="J263">XLOOKUP(C263,'Master Data'!C:C,'Master Data'!I:I)</f>
        <v/>
      </c>
      <c r="K263" s="72" t="str">
        <f t="array" ref="K263">XLOOKUP(C263,'Master Data'!C:C,'Master Data'!J:J)</f>
        <v/>
      </c>
      <c r="L263" s="74" t="str">
        <f t="array" ref="L263">XLOOKUP(C:C,TSR_Completion!C:C,TSR_Completion!M:M)</f>
        <v/>
      </c>
      <c r="M263" s="4"/>
      <c r="N263" s="4"/>
      <c r="O263" s="4"/>
      <c r="P263" s="4"/>
      <c r="Q263" s="4"/>
      <c r="R263" s="4"/>
      <c r="S263" s="4"/>
      <c r="T263" s="4"/>
      <c r="U263" s="4"/>
      <c r="V263" s="4"/>
      <c r="W263" s="4"/>
      <c r="X263" s="4"/>
      <c r="Y263" s="4"/>
    </row>
    <row r="264">
      <c r="A264" s="6"/>
      <c r="B264" s="6" t="s">
        <v>158</v>
      </c>
      <c r="C264" s="71" t="s">
        <v>12</v>
      </c>
      <c r="D264" s="72" t="str">
        <f t="array" ref="D264">XLOOKUP(C264,'Master Data'!C:C,'Master Data'!D:D)</f>
        <v/>
      </c>
      <c r="E264" s="73"/>
      <c r="F264" s="72" t="str">
        <f t="array" ref="F264">XLOOKUP(C264,'Master Data'!C:C,'Master Data'!E:E)</f>
        <v/>
      </c>
      <c r="G264" s="72" t="str">
        <f t="array" ref="G264">XLOOKUP(C264,'Master Data'!C:C,'Master Data'!F:F)</f>
        <v/>
      </c>
      <c r="H264" s="72" t="str">
        <f t="array" ref="H264">XLOOKUP(C264,'Master Data'!C:C,'Master Data'!G:G)</f>
        <v/>
      </c>
      <c r="I264" s="72" t="str">
        <f t="array" ref="I264">XLOOKUP(C264,'Master Data'!C:C,'Master Data'!H:H)</f>
        <v/>
      </c>
      <c r="J264" s="72" t="str">
        <f t="array" ref="J264">XLOOKUP(C264,'Master Data'!C:C,'Master Data'!I:I)</f>
        <v/>
      </c>
      <c r="K264" s="72" t="str">
        <f t="array" ref="K264">XLOOKUP(C264,'Master Data'!C:C,'Master Data'!J:J)</f>
        <v/>
      </c>
      <c r="L264" s="74" t="str">
        <f t="array" ref="L264">XLOOKUP(C:C,TSR_Completion!C:C,TSR_Completion!M:M)</f>
        <v/>
      </c>
      <c r="M264" s="4"/>
      <c r="N264" s="4"/>
      <c r="O264" s="4"/>
      <c r="P264" s="4"/>
      <c r="Q264" s="4"/>
      <c r="R264" s="4"/>
      <c r="S264" s="4"/>
      <c r="T264" s="4"/>
      <c r="U264" s="4"/>
      <c r="V264" s="4"/>
      <c r="W264" s="4"/>
      <c r="X264" s="4"/>
      <c r="Y264" s="4"/>
    </row>
    <row r="265">
      <c r="A265" s="6"/>
      <c r="B265" s="6" t="s">
        <v>158</v>
      </c>
      <c r="C265" s="71" t="s">
        <v>12</v>
      </c>
      <c r="D265" s="72" t="str">
        <f t="array" ref="D265">XLOOKUP(C265,'Master Data'!C:C,'Master Data'!D:D)</f>
        <v/>
      </c>
      <c r="E265" s="73"/>
      <c r="F265" s="72" t="str">
        <f t="array" ref="F265">XLOOKUP(C265,'Master Data'!C:C,'Master Data'!E:E)</f>
        <v/>
      </c>
      <c r="G265" s="72" t="str">
        <f t="array" ref="G265">XLOOKUP(C265,'Master Data'!C:C,'Master Data'!F:F)</f>
        <v/>
      </c>
      <c r="H265" s="72" t="str">
        <f t="array" ref="H265">XLOOKUP(C265,'Master Data'!C:C,'Master Data'!G:G)</f>
        <v/>
      </c>
      <c r="I265" s="72" t="str">
        <f t="array" ref="I265">XLOOKUP(C265,'Master Data'!C:C,'Master Data'!H:H)</f>
        <v/>
      </c>
      <c r="J265" s="72" t="str">
        <f t="array" ref="J265">XLOOKUP(C265,'Master Data'!C:C,'Master Data'!I:I)</f>
        <v/>
      </c>
      <c r="K265" s="72" t="str">
        <f t="array" ref="K265">XLOOKUP(C265,'Master Data'!C:C,'Master Data'!J:J)</f>
        <v/>
      </c>
      <c r="L265" s="74" t="str">
        <f t="array" ref="L265">XLOOKUP(C:C,TSR_Completion!C:C,TSR_Completion!M:M)</f>
        <v/>
      </c>
      <c r="M265" s="4"/>
      <c r="N265" s="4"/>
      <c r="O265" s="4"/>
      <c r="P265" s="4"/>
      <c r="Q265" s="4"/>
      <c r="R265" s="4"/>
      <c r="S265" s="4"/>
      <c r="T265" s="4"/>
      <c r="U265" s="4"/>
      <c r="V265" s="4"/>
      <c r="W265" s="4"/>
      <c r="X265" s="4"/>
      <c r="Y265" s="4"/>
    </row>
    <row r="266">
      <c r="A266" s="6"/>
      <c r="B266" s="6" t="s">
        <v>158</v>
      </c>
      <c r="C266" s="71" t="s">
        <v>12</v>
      </c>
      <c r="D266" s="72" t="str">
        <f t="array" ref="D266">XLOOKUP(C266,'Master Data'!C:C,'Master Data'!D:D)</f>
        <v/>
      </c>
      <c r="E266" s="73"/>
      <c r="F266" s="72" t="str">
        <f t="array" ref="F266">XLOOKUP(C266,'Master Data'!C:C,'Master Data'!E:E)</f>
        <v/>
      </c>
      <c r="G266" s="72" t="str">
        <f t="array" ref="G266">XLOOKUP(C266,'Master Data'!C:C,'Master Data'!F:F)</f>
        <v/>
      </c>
      <c r="H266" s="72" t="str">
        <f t="array" ref="H266">XLOOKUP(C266,'Master Data'!C:C,'Master Data'!G:G)</f>
        <v/>
      </c>
      <c r="I266" s="72" t="str">
        <f t="array" ref="I266">XLOOKUP(C266,'Master Data'!C:C,'Master Data'!H:H)</f>
        <v/>
      </c>
      <c r="J266" s="72" t="str">
        <f t="array" ref="J266">XLOOKUP(C266,'Master Data'!C:C,'Master Data'!I:I)</f>
        <v/>
      </c>
      <c r="K266" s="72" t="str">
        <f t="array" ref="K266">XLOOKUP(C266,'Master Data'!C:C,'Master Data'!J:J)</f>
        <v/>
      </c>
      <c r="L266" s="74" t="str">
        <f t="array" ref="L266">XLOOKUP(C:C,TSR_Completion!C:C,TSR_Completion!M:M)</f>
        <v/>
      </c>
      <c r="M266" s="4"/>
      <c r="N266" s="4"/>
      <c r="O266" s="4"/>
      <c r="P266" s="4"/>
      <c r="Q266" s="4"/>
      <c r="R266" s="4"/>
      <c r="S266" s="4"/>
      <c r="T266" s="4"/>
      <c r="U266" s="4"/>
      <c r="V266" s="4"/>
      <c r="W266" s="4"/>
      <c r="X266" s="4"/>
      <c r="Y266" s="4"/>
    </row>
    <row r="267">
      <c r="A267" s="6"/>
      <c r="B267" s="6" t="s">
        <v>158</v>
      </c>
      <c r="C267" s="71" t="s">
        <v>12</v>
      </c>
      <c r="D267" s="72" t="str">
        <f t="array" ref="D267">XLOOKUP(C267,'Master Data'!C:C,'Master Data'!D:D)</f>
        <v/>
      </c>
      <c r="E267" s="73"/>
      <c r="F267" s="72" t="str">
        <f t="array" ref="F267">XLOOKUP(C267,'Master Data'!C:C,'Master Data'!E:E)</f>
        <v/>
      </c>
      <c r="G267" s="72" t="str">
        <f t="array" ref="G267">XLOOKUP(C267,'Master Data'!C:C,'Master Data'!F:F)</f>
        <v/>
      </c>
      <c r="H267" s="72" t="str">
        <f t="array" ref="H267">XLOOKUP(C267,'Master Data'!C:C,'Master Data'!G:G)</f>
        <v/>
      </c>
      <c r="I267" s="72" t="str">
        <f t="array" ref="I267">XLOOKUP(C267,'Master Data'!C:C,'Master Data'!H:H)</f>
        <v/>
      </c>
      <c r="J267" s="72" t="str">
        <f t="array" ref="J267">XLOOKUP(C267,'Master Data'!C:C,'Master Data'!I:I)</f>
        <v/>
      </c>
      <c r="K267" s="72" t="str">
        <f t="array" ref="K267">XLOOKUP(C267,'Master Data'!C:C,'Master Data'!J:J)</f>
        <v/>
      </c>
      <c r="L267" s="74" t="str">
        <f t="array" ref="L267">XLOOKUP(C:C,TSR_Completion!C:C,TSR_Completion!M:M)</f>
        <v/>
      </c>
      <c r="M267" s="4"/>
      <c r="N267" s="4"/>
      <c r="O267" s="4"/>
      <c r="P267" s="4"/>
      <c r="Q267" s="4"/>
      <c r="R267" s="4"/>
      <c r="S267" s="4"/>
      <c r="T267" s="4"/>
      <c r="U267" s="4"/>
      <c r="V267" s="4"/>
      <c r="W267" s="4"/>
      <c r="X267" s="4"/>
      <c r="Y267" s="4"/>
    </row>
    <row r="268">
      <c r="A268" s="6"/>
      <c r="B268" s="6" t="s">
        <v>158</v>
      </c>
      <c r="C268" s="71" t="s">
        <v>12</v>
      </c>
      <c r="D268" s="72" t="str">
        <f t="array" ref="D268">XLOOKUP(C268,'Master Data'!C:C,'Master Data'!D:D)</f>
        <v/>
      </c>
      <c r="E268" s="73"/>
      <c r="F268" s="72" t="str">
        <f t="array" ref="F268">XLOOKUP(C268,'Master Data'!C:C,'Master Data'!E:E)</f>
        <v/>
      </c>
      <c r="G268" s="72" t="str">
        <f t="array" ref="G268">XLOOKUP(C268,'Master Data'!C:C,'Master Data'!F:F)</f>
        <v/>
      </c>
      <c r="H268" s="72" t="str">
        <f t="array" ref="H268">XLOOKUP(C268,'Master Data'!C:C,'Master Data'!G:G)</f>
        <v/>
      </c>
      <c r="I268" s="72" t="str">
        <f t="array" ref="I268">XLOOKUP(C268,'Master Data'!C:C,'Master Data'!H:H)</f>
        <v/>
      </c>
      <c r="J268" s="72" t="str">
        <f t="array" ref="J268">XLOOKUP(C268,'Master Data'!C:C,'Master Data'!I:I)</f>
        <v/>
      </c>
      <c r="K268" s="72" t="str">
        <f t="array" ref="K268">XLOOKUP(C268,'Master Data'!C:C,'Master Data'!J:J)</f>
        <v/>
      </c>
      <c r="L268" s="74" t="str">
        <f t="array" ref="L268">XLOOKUP(C:C,TSR_Completion!C:C,TSR_Completion!M:M)</f>
        <v/>
      </c>
      <c r="M268" s="4"/>
      <c r="N268" s="4"/>
      <c r="O268" s="4"/>
      <c r="P268" s="4"/>
      <c r="Q268" s="4"/>
      <c r="R268" s="4"/>
      <c r="S268" s="4"/>
      <c r="T268" s="4"/>
      <c r="U268" s="4"/>
      <c r="V268" s="4"/>
      <c r="W268" s="4"/>
      <c r="X268" s="4"/>
      <c r="Y268" s="4"/>
    </row>
    <row r="269">
      <c r="A269" s="6"/>
      <c r="B269" s="6" t="s">
        <v>158</v>
      </c>
      <c r="C269" s="71" t="s">
        <v>12</v>
      </c>
      <c r="D269" s="72" t="str">
        <f t="array" ref="D269">XLOOKUP(C269,'Master Data'!C:C,'Master Data'!D:D)</f>
        <v/>
      </c>
      <c r="E269" s="73"/>
      <c r="F269" s="72" t="str">
        <f t="array" ref="F269">XLOOKUP(C269,'Master Data'!C:C,'Master Data'!E:E)</f>
        <v/>
      </c>
      <c r="G269" s="72" t="str">
        <f t="array" ref="G269">XLOOKUP(C269,'Master Data'!C:C,'Master Data'!F:F)</f>
        <v/>
      </c>
      <c r="H269" s="72" t="str">
        <f t="array" ref="H269">XLOOKUP(C269,'Master Data'!C:C,'Master Data'!G:G)</f>
        <v/>
      </c>
      <c r="I269" s="72" t="str">
        <f t="array" ref="I269">XLOOKUP(C269,'Master Data'!C:C,'Master Data'!H:H)</f>
        <v/>
      </c>
      <c r="J269" s="72" t="str">
        <f t="array" ref="J269">XLOOKUP(C269,'Master Data'!C:C,'Master Data'!I:I)</f>
        <v/>
      </c>
      <c r="K269" s="72" t="str">
        <f t="array" ref="K269">XLOOKUP(C269,'Master Data'!C:C,'Master Data'!J:J)</f>
        <v/>
      </c>
      <c r="L269" s="74" t="str">
        <f t="array" ref="L269">XLOOKUP(C:C,TSR_Completion!C:C,TSR_Completion!M:M)</f>
        <v/>
      </c>
      <c r="M269" s="4"/>
      <c r="N269" s="4"/>
      <c r="O269" s="4"/>
      <c r="P269" s="4"/>
      <c r="Q269" s="4"/>
      <c r="R269" s="4"/>
      <c r="S269" s="4"/>
      <c r="T269" s="4"/>
      <c r="U269" s="4"/>
      <c r="V269" s="4"/>
      <c r="W269" s="4"/>
      <c r="X269" s="4"/>
      <c r="Y269" s="4"/>
    </row>
    <row r="270">
      <c r="A270" s="6"/>
      <c r="B270" s="6" t="s">
        <v>158</v>
      </c>
      <c r="C270" s="71" t="s">
        <v>12</v>
      </c>
      <c r="D270" s="72" t="str">
        <f t="array" ref="D270">XLOOKUP(C270,'Master Data'!C:C,'Master Data'!D:D)</f>
        <v/>
      </c>
      <c r="E270" s="73"/>
      <c r="F270" s="72" t="str">
        <f t="array" ref="F270">XLOOKUP(C270,'Master Data'!C:C,'Master Data'!E:E)</f>
        <v/>
      </c>
      <c r="G270" s="72" t="str">
        <f t="array" ref="G270">XLOOKUP(C270,'Master Data'!C:C,'Master Data'!F:F)</f>
        <v/>
      </c>
      <c r="H270" s="72" t="str">
        <f t="array" ref="H270">XLOOKUP(C270,'Master Data'!C:C,'Master Data'!G:G)</f>
        <v/>
      </c>
      <c r="I270" s="72" t="str">
        <f t="array" ref="I270">XLOOKUP(C270,'Master Data'!C:C,'Master Data'!H:H)</f>
        <v/>
      </c>
      <c r="J270" s="72" t="str">
        <f t="array" ref="J270">XLOOKUP(C270,'Master Data'!C:C,'Master Data'!I:I)</f>
        <v/>
      </c>
      <c r="K270" s="72" t="str">
        <f t="array" ref="K270">XLOOKUP(C270,'Master Data'!C:C,'Master Data'!J:J)</f>
        <v/>
      </c>
      <c r="L270" s="74" t="str">
        <f t="array" ref="L270">XLOOKUP(C:C,TSR_Completion!C:C,TSR_Completion!M:M)</f>
        <v/>
      </c>
      <c r="M270" s="4"/>
      <c r="N270" s="4"/>
      <c r="O270" s="4"/>
      <c r="P270" s="4"/>
      <c r="Q270" s="4"/>
      <c r="R270" s="4"/>
      <c r="S270" s="4"/>
      <c r="T270" s="4"/>
      <c r="U270" s="4"/>
      <c r="V270" s="4"/>
      <c r="W270" s="4"/>
      <c r="X270" s="4"/>
      <c r="Y270" s="4"/>
    </row>
    <row r="271">
      <c r="A271" s="6"/>
      <c r="B271" s="6" t="s">
        <v>158</v>
      </c>
      <c r="C271" s="71" t="s">
        <v>12</v>
      </c>
      <c r="D271" s="72" t="str">
        <f t="array" ref="D271">XLOOKUP(C271,'Master Data'!C:C,'Master Data'!D:D)</f>
        <v/>
      </c>
      <c r="E271" s="73"/>
      <c r="F271" s="72" t="str">
        <f t="array" ref="F271">XLOOKUP(C271,'Master Data'!C:C,'Master Data'!E:E)</f>
        <v/>
      </c>
      <c r="G271" s="72" t="str">
        <f t="array" ref="G271">XLOOKUP(C271,'Master Data'!C:C,'Master Data'!F:F)</f>
        <v/>
      </c>
      <c r="H271" s="72" t="str">
        <f t="array" ref="H271">XLOOKUP(C271,'Master Data'!C:C,'Master Data'!G:G)</f>
        <v/>
      </c>
      <c r="I271" s="72" t="str">
        <f t="array" ref="I271">XLOOKUP(C271,'Master Data'!C:C,'Master Data'!H:H)</f>
        <v/>
      </c>
      <c r="J271" s="72" t="str">
        <f t="array" ref="J271">XLOOKUP(C271,'Master Data'!C:C,'Master Data'!I:I)</f>
        <v/>
      </c>
      <c r="K271" s="72" t="str">
        <f t="array" ref="K271">XLOOKUP(C271,'Master Data'!C:C,'Master Data'!J:J)</f>
        <v/>
      </c>
      <c r="L271" s="74" t="str">
        <f t="array" ref="L271">XLOOKUP(C:C,TSR_Completion!C:C,TSR_Completion!M:M)</f>
        <v/>
      </c>
      <c r="M271" s="4"/>
      <c r="N271" s="4"/>
      <c r="O271" s="4"/>
      <c r="P271" s="4"/>
      <c r="Q271" s="4"/>
      <c r="R271" s="4"/>
      <c r="S271" s="4"/>
      <c r="T271" s="4"/>
      <c r="U271" s="4"/>
      <c r="V271" s="4"/>
      <c r="W271" s="4"/>
      <c r="X271" s="4"/>
      <c r="Y271" s="4"/>
    </row>
    <row r="272">
      <c r="A272" s="6"/>
      <c r="B272" s="6" t="s">
        <v>158</v>
      </c>
      <c r="C272" s="71" t="s">
        <v>12</v>
      </c>
      <c r="D272" s="72" t="str">
        <f t="array" ref="D272">XLOOKUP(C272,'Master Data'!C:C,'Master Data'!D:D)</f>
        <v/>
      </c>
      <c r="E272" s="73"/>
      <c r="F272" s="72" t="str">
        <f t="array" ref="F272">XLOOKUP(C272,'Master Data'!C:C,'Master Data'!E:E)</f>
        <v/>
      </c>
      <c r="G272" s="72" t="str">
        <f t="array" ref="G272">XLOOKUP(C272,'Master Data'!C:C,'Master Data'!F:F)</f>
        <v/>
      </c>
      <c r="H272" s="72" t="str">
        <f t="array" ref="H272">XLOOKUP(C272,'Master Data'!C:C,'Master Data'!G:G)</f>
        <v/>
      </c>
      <c r="I272" s="72" t="str">
        <f t="array" ref="I272">XLOOKUP(C272,'Master Data'!C:C,'Master Data'!H:H)</f>
        <v/>
      </c>
      <c r="J272" s="72" t="str">
        <f t="array" ref="J272">XLOOKUP(C272,'Master Data'!C:C,'Master Data'!I:I)</f>
        <v/>
      </c>
      <c r="K272" s="72" t="str">
        <f t="array" ref="K272">XLOOKUP(C272,'Master Data'!C:C,'Master Data'!J:J)</f>
        <v/>
      </c>
      <c r="L272" s="74" t="str">
        <f t="array" ref="L272">XLOOKUP(C:C,TSR_Completion!C:C,TSR_Completion!M:M)</f>
        <v/>
      </c>
      <c r="M272" s="4"/>
      <c r="N272" s="4"/>
      <c r="O272" s="4"/>
      <c r="P272" s="4"/>
      <c r="Q272" s="4"/>
      <c r="R272" s="4"/>
      <c r="S272" s="4"/>
      <c r="T272" s="4"/>
      <c r="U272" s="4"/>
      <c r="V272" s="4"/>
      <c r="W272" s="4"/>
      <c r="X272" s="4"/>
      <c r="Y272" s="4"/>
    </row>
    <row r="273">
      <c r="A273" s="6"/>
      <c r="B273" s="6" t="s">
        <v>158</v>
      </c>
      <c r="C273" s="71" t="s">
        <v>12</v>
      </c>
      <c r="D273" s="72" t="str">
        <f t="array" ref="D273">XLOOKUP(C273,'Master Data'!C:C,'Master Data'!D:D)</f>
        <v/>
      </c>
      <c r="E273" s="73"/>
      <c r="F273" s="72" t="str">
        <f t="array" ref="F273">XLOOKUP(C273,'Master Data'!C:C,'Master Data'!E:E)</f>
        <v/>
      </c>
      <c r="G273" s="72" t="str">
        <f t="array" ref="G273">XLOOKUP(C273,'Master Data'!C:C,'Master Data'!F:F)</f>
        <v/>
      </c>
      <c r="H273" s="72" t="str">
        <f t="array" ref="H273">XLOOKUP(C273,'Master Data'!C:C,'Master Data'!G:G)</f>
        <v/>
      </c>
      <c r="I273" s="72" t="str">
        <f t="array" ref="I273">XLOOKUP(C273,'Master Data'!C:C,'Master Data'!H:H)</f>
        <v/>
      </c>
      <c r="J273" s="72" t="str">
        <f t="array" ref="J273">XLOOKUP(C273,'Master Data'!C:C,'Master Data'!I:I)</f>
        <v/>
      </c>
      <c r="K273" s="72" t="str">
        <f t="array" ref="K273">XLOOKUP(C273,'Master Data'!C:C,'Master Data'!J:J)</f>
        <v/>
      </c>
      <c r="L273" s="74" t="str">
        <f t="array" ref="L273">XLOOKUP(C:C,TSR_Completion!C:C,TSR_Completion!M:M)</f>
        <v/>
      </c>
      <c r="M273" s="4"/>
      <c r="N273" s="4"/>
      <c r="O273" s="4"/>
      <c r="P273" s="4"/>
      <c r="Q273" s="4"/>
      <c r="R273" s="4"/>
      <c r="S273" s="4"/>
      <c r="T273" s="4"/>
      <c r="U273" s="4"/>
      <c r="V273" s="4"/>
      <c r="W273" s="4"/>
      <c r="X273" s="4"/>
      <c r="Y273" s="4"/>
    </row>
    <row r="274">
      <c r="A274" s="6"/>
      <c r="B274" s="6" t="s">
        <v>158</v>
      </c>
      <c r="C274" s="71" t="s">
        <v>12</v>
      </c>
      <c r="D274" s="72" t="str">
        <f t="array" ref="D274">XLOOKUP(C274,'Master Data'!C:C,'Master Data'!D:D)</f>
        <v/>
      </c>
      <c r="E274" s="73"/>
      <c r="F274" s="72" t="str">
        <f t="array" ref="F274">XLOOKUP(C274,'Master Data'!C:C,'Master Data'!E:E)</f>
        <v/>
      </c>
      <c r="G274" s="72" t="str">
        <f t="array" ref="G274">XLOOKUP(C274,'Master Data'!C:C,'Master Data'!F:F)</f>
        <v/>
      </c>
      <c r="H274" s="72" t="str">
        <f t="array" ref="H274">XLOOKUP(C274,'Master Data'!C:C,'Master Data'!G:G)</f>
        <v/>
      </c>
      <c r="I274" s="72" t="str">
        <f t="array" ref="I274">XLOOKUP(C274,'Master Data'!C:C,'Master Data'!H:H)</f>
        <v/>
      </c>
      <c r="J274" s="72" t="str">
        <f t="array" ref="J274">XLOOKUP(C274,'Master Data'!C:C,'Master Data'!I:I)</f>
        <v/>
      </c>
      <c r="K274" s="72" t="str">
        <f t="array" ref="K274">XLOOKUP(C274,'Master Data'!C:C,'Master Data'!J:J)</f>
        <v/>
      </c>
      <c r="L274" s="74" t="str">
        <f t="array" ref="L274">XLOOKUP(C:C,TSR_Completion!C:C,TSR_Completion!M:M)</f>
        <v/>
      </c>
      <c r="M274" s="4"/>
      <c r="N274" s="4"/>
      <c r="O274" s="4"/>
      <c r="P274" s="4"/>
      <c r="Q274" s="4"/>
      <c r="R274" s="4"/>
      <c r="S274" s="4"/>
      <c r="T274" s="4"/>
      <c r="U274" s="4"/>
      <c r="V274" s="4"/>
      <c r="W274" s="4"/>
      <c r="X274" s="4"/>
      <c r="Y274" s="4"/>
    </row>
    <row r="275">
      <c r="A275" s="6"/>
      <c r="B275" s="6" t="s">
        <v>158</v>
      </c>
      <c r="C275" s="71" t="s">
        <v>12</v>
      </c>
      <c r="D275" s="72" t="str">
        <f t="array" ref="D275">XLOOKUP(C275,'Master Data'!C:C,'Master Data'!D:D)</f>
        <v/>
      </c>
      <c r="E275" s="73"/>
      <c r="F275" s="72" t="str">
        <f t="array" ref="F275">XLOOKUP(C275,'Master Data'!C:C,'Master Data'!E:E)</f>
        <v/>
      </c>
      <c r="G275" s="72" t="str">
        <f t="array" ref="G275">XLOOKUP(C275,'Master Data'!C:C,'Master Data'!F:F)</f>
        <v/>
      </c>
      <c r="H275" s="72" t="str">
        <f t="array" ref="H275">XLOOKUP(C275,'Master Data'!C:C,'Master Data'!G:G)</f>
        <v/>
      </c>
      <c r="I275" s="72" t="str">
        <f t="array" ref="I275">XLOOKUP(C275,'Master Data'!C:C,'Master Data'!H:H)</f>
        <v/>
      </c>
      <c r="J275" s="72" t="str">
        <f t="array" ref="J275">XLOOKUP(C275,'Master Data'!C:C,'Master Data'!I:I)</f>
        <v/>
      </c>
      <c r="K275" s="72" t="str">
        <f t="array" ref="K275">XLOOKUP(C275,'Master Data'!C:C,'Master Data'!J:J)</f>
        <v/>
      </c>
      <c r="L275" s="74" t="str">
        <f t="array" ref="L275">XLOOKUP(C:C,TSR_Completion!C:C,TSR_Completion!M:M)</f>
        <v/>
      </c>
      <c r="M275" s="4"/>
      <c r="N275" s="4"/>
      <c r="O275" s="4"/>
      <c r="P275" s="4"/>
      <c r="Q275" s="4"/>
      <c r="R275" s="4"/>
      <c r="S275" s="4"/>
      <c r="T275" s="4"/>
      <c r="U275" s="4"/>
      <c r="V275" s="4"/>
      <c r="W275" s="4"/>
      <c r="X275" s="4"/>
      <c r="Y275" s="4"/>
    </row>
    <row r="276">
      <c r="A276" s="6"/>
      <c r="B276" s="6" t="s">
        <v>158</v>
      </c>
      <c r="C276" s="71" t="s">
        <v>12</v>
      </c>
      <c r="D276" s="72" t="str">
        <f t="array" ref="D276">XLOOKUP(C276,'Master Data'!C:C,'Master Data'!D:D)</f>
        <v/>
      </c>
      <c r="E276" s="73"/>
      <c r="F276" s="72" t="str">
        <f t="array" ref="F276">XLOOKUP(C276,'Master Data'!C:C,'Master Data'!E:E)</f>
        <v/>
      </c>
      <c r="G276" s="72" t="str">
        <f t="array" ref="G276">XLOOKUP(C276,'Master Data'!C:C,'Master Data'!F:F)</f>
        <v/>
      </c>
      <c r="H276" s="72" t="str">
        <f t="array" ref="H276">XLOOKUP(C276,'Master Data'!C:C,'Master Data'!G:G)</f>
        <v/>
      </c>
      <c r="I276" s="72" t="str">
        <f t="array" ref="I276">XLOOKUP(C276,'Master Data'!C:C,'Master Data'!H:H)</f>
        <v/>
      </c>
      <c r="J276" s="72" t="str">
        <f t="array" ref="J276">XLOOKUP(C276,'Master Data'!C:C,'Master Data'!I:I)</f>
        <v/>
      </c>
      <c r="K276" s="72" t="str">
        <f t="array" ref="K276">XLOOKUP(C276,'Master Data'!C:C,'Master Data'!J:J)</f>
        <v/>
      </c>
      <c r="L276" s="74" t="str">
        <f t="array" ref="L276">XLOOKUP(C:C,TSR_Completion!C:C,TSR_Completion!M:M)</f>
        <v/>
      </c>
      <c r="M276" s="4"/>
      <c r="N276" s="4"/>
      <c r="O276" s="4"/>
      <c r="P276" s="4"/>
      <c r="Q276" s="4"/>
      <c r="R276" s="4"/>
      <c r="S276" s="4"/>
      <c r="T276" s="4"/>
      <c r="U276" s="4"/>
      <c r="V276" s="4"/>
      <c r="W276" s="4"/>
      <c r="X276" s="4"/>
      <c r="Y276" s="4"/>
    </row>
    <row r="277">
      <c r="A277" s="6"/>
      <c r="B277" s="6" t="s">
        <v>158</v>
      </c>
      <c r="C277" s="71" t="s">
        <v>12</v>
      </c>
      <c r="D277" s="72" t="str">
        <f t="array" ref="D277">XLOOKUP(C277,'Master Data'!C:C,'Master Data'!D:D)</f>
        <v/>
      </c>
      <c r="E277" s="73"/>
      <c r="F277" s="72" t="str">
        <f t="array" ref="F277">XLOOKUP(C277,'Master Data'!C:C,'Master Data'!E:E)</f>
        <v/>
      </c>
      <c r="G277" s="72" t="str">
        <f t="array" ref="G277">XLOOKUP(C277,'Master Data'!C:C,'Master Data'!F:F)</f>
        <v/>
      </c>
      <c r="H277" s="72" t="str">
        <f t="array" ref="H277">XLOOKUP(C277,'Master Data'!C:C,'Master Data'!G:G)</f>
        <v/>
      </c>
      <c r="I277" s="72" t="str">
        <f t="array" ref="I277">XLOOKUP(C277,'Master Data'!C:C,'Master Data'!H:H)</f>
        <v/>
      </c>
      <c r="J277" s="72" t="str">
        <f t="array" ref="J277">XLOOKUP(C277,'Master Data'!C:C,'Master Data'!I:I)</f>
        <v/>
      </c>
      <c r="K277" s="72" t="str">
        <f t="array" ref="K277">XLOOKUP(C277,'Master Data'!C:C,'Master Data'!J:J)</f>
        <v/>
      </c>
      <c r="L277" s="74" t="str">
        <f t="array" ref="L277">XLOOKUP(C:C,TSR_Completion!C:C,TSR_Completion!M:M)</f>
        <v/>
      </c>
      <c r="M277" s="4"/>
      <c r="N277" s="4"/>
      <c r="O277" s="4"/>
      <c r="P277" s="4"/>
      <c r="Q277" s="4"/>
      <c r="R277" s="4"/>
      <c r="S277" s="4"/>
      <c r="T277" s="4"/>
      <c r="U277" s="4"/>
      <c r="V277" s="4"/>
      <c r="W277" s="4"/>
      <c r="X277" s="4"/>
      <c r="Y277" s="4"/>
    </row>
    <row r="278">
      <c r="A278" s="6"/>
      <c r="B278" s="6" t="s">
        <v>158</v>
      </c>
      <c r="C278" s="71" t="s">
        <v>12</v>
      </c>
      <c r="D278" s="72" t="str">
        <f t="array" ref="D278">XLOOKUP(C278,'Master Data'!C:C,'Master Data'!D:D)</f>
        <v/>
      </c>
      <c r="E278" s="73"/>
      <c r="F278" s="72" t="str">
        <f t="array" ref="F278">XLOOKUP(C278,'Master Data'!C:C,'Master Data'!E:E)</f>
        <v/>
      </c>
      <c r="G278" s="72" t="str">
        <f t="array" ref="G278">XLOOKUP(C278,'Master Data'!C:C,'Master Data'!F:F)</f>
        <v/>
      </c>
      <c r="H278" s="72" t="str">
        <f t="array" ref="H278">XLOOKUP(C278,'Master Data'!C:C,'Master Data'!G:G)</f>
        <v/>
      </c>
      <c r="I278" s="72" t="str">
        <f t="array" ref="I278">XLOOKUP(C278,'Master Data'!C:C,'Master Data'!H:H)</f>
        <v/>
      </c>
      <c r="J278" s="72" t="str">
        <f t="array" ref="J278">XLOOKUP(C278,'Master Data'!C:C,'Master Data'!I:I)</f>
        <v/>
      </c>
      <c r="K278" s="72" t="str">
        <f t="array" ref="K278">XLOOKUP(C278,'Master Data'!C:C,'Master Data'!J:J)</f>
        <v/>
      </c>
      <c r="L278" s="74" t="str">
        <f t="array" ref="L278">XLOOKUP(C:C,TSR_Completion!C:C,TSR_Completion!M:M)</f>
        <v/>
      </c>
      <c r="M278" s="4"/>
      <c r="N278" s="4"/>
      <c r="O278" s="4"/>
      <c r="P278" s="4"/>
      <c r="Q278" s="4"/>
      <c r="R278" s="4"/>
      <c r="S278" s="4"/>
      <c r="T278" s="4"/>
      <c r="U278" s="4"/>
      <c r="V278" s="4"/>
      <c r="W278" s="4"/>
      <c r="X278" s="4"/>
      <c r="Y278" s="4"/>
    </row>
    <row r="279">
      <c r="A279" s="6"/>
      <c r="B279" s="6" t="s">
        <v>158</v>
      </c>
      <c r="C279" s="71" t="s">
        <v>12</v>
      </c>
      <c r="D279" s="72" t="str">
        <f t="array" ref="D279">XLOOKUP(C279,'Master Data'!C:C,'Master Data'!D:D)</f>
        <v/>
      </c>
      <c r="E279" s="73"/>
      <c r="F279" s="72" t="str">
        <f t="array" ref="F279">XLOOKUP(C279,'Master Data'!C:C,'Master Data'!E:E)</f>
        <v/>
      </c>
      <c r="G279" s="72" t="str">
        <f t="array" ref="G279">XLOOKUP(C279,'Master Data'!C:C,'Master Data'!F:F)</f>
        <v/>
      </c>
      <c r="H279" s="72" t="str">
        <f t="array" ref="H279">XLOOKUP(C279,'Master Data'!C:C,'Master Data'!G:G)</f>
        <v/>
      </c>
      <c r="I279" s="72" t="str">
        <f t="array" ref="I279">XLOOKUP(C279,'Master Data'!C:C,'Master Data'!H:H)</f>
        <v/>
      </c>
      <c r="J279" s="72" t="str">
        <f t="array" ref="J279">XLOOKUP(C279,'Master Data'!C:C,'Master Data'!I:I)</f>
        <v/>
      </c>
      <c r="K279" s="72" t="str">
        <f t="array" ref="K279">XLOOKUP(C279,'Master Data'!C:C,'Master Data'!J:J)</f>
        <v/>
      </c>
      <c r="L279" s="74" t="str">
        <f t="array" ref="L279">XLOOKUP(C:C,TSR_Completion!C:C,TSR_Completion!M:M)</f>
        <v/>
      </c>
      <c r="M279" s="4"/>
      <c r="N279" s="4"/>
      <c r="O279" s="4"/>
      <c r="P279" s="4"/>
      <c r="Q279" s="4"/>
      <c r="R279" s="4"/>
      <c r="S279" s="4"/>
      <c r="T279" s="4"/>
      <c r="U279" s="4"/>
      <c r="V279" s="4"/>
      <c r="W279" s="4"/>
      <c r="X279" s="4"/>
      <c r="Y279" s="4"/>
    </row>
    <row r="280">
      <c r="A280" s="6"/>
      <c r="B280" s="6" t="s">
        <v>158</v>
      </c>
      <c r="C280" s="71" t="s">
        <v>12</v>
      </c>
      <c r="D280" s="72" t="str">
        <f t="array" ref="D280">XLOOKUP(C280,'Master Data'!C:C,'Master Data'!D:D)</f>
        <v/>
      </c>
      <c r="E280" s="73"/>
      <c r="F280" s="72" t="str">
        <f t="array" ref="F280">XLOOKUP(C280,'Master Data'!C:C,'Master Data'!E:E)</f>
        <v/>
      </c>
      <c r="G280" s="72" t="str">
        <f t="array" ref="G280">XLOOKUP(C280,'Master Data'!C:C,'Master Data'!F:F)</f>
        <v/>
      </c>
      <c r="H280" s="72" t="str">
        <f t="array" ref="H280">XLOOKUP(C280,'Master Data'!C:C,'Master Data'!G:G)</f>
        <v/>
      </c>
      <c r="I280" s="72" t="str">
        <f t="array" ref="I280">XLOOKUP(C280,'Master Data'!C:C,'Master Data'!H:H)</f>
        <v/>
      </c>
      <c r="J280" s="72" t="str">
        <f t="array" ref="J280">XLOOKUP(C280,'Master Data'!C:C,'Master Data'!I:I)</f>
        <v/>
      </c>
      <c r="K280" s="72" t="str">
        <f t="array" ref="K280">XLOOKUP(C280,'Master Data'!C:C,'Master Data'!J:J)</f>
        <v/>
      </c>
      <c r="L280" s="74" t="str">
        <f t="array" ref="L280">XLOOKUP(C:C,TSR_Completion!C:C,TSR_Completion!M:M)</f>
        <v/>
      </c>
      <c r="M280" s="4"/>
      <c r="N280" s="4"/>
      <c r="O280" s="4"/>
      <c r="P280" s="4"/>
      <c r="Q280" s="4"/>
      <c r="R280" s="4"/>
      <c r="S280" s="4"/>
      <c r="T280" s="4"/>
      <c r="U280" s="4"/>
      <c r="V280" s="4"/>
      <c r="W280" s="4"/>
      <c r="X280" s="4"/>
      <c r="Y280" s="4"/>
    </row>
    <row r="281">
      <c r="A281" s="6"/>
      <c r="B281" s="6" t="s">
        <v>158</v>
      </c>
      <c r="C281" s="71" t="s">
        <v>12</v>
      </c>
      <c r="D281" s="72" t="str">
        <f t="array" ref="D281">XLOOKUP(C281,'Master Data'!C:C,'Master Data'!D:D)</f>
        <v/>
      </c>
      <c r="E281" s="73"/>
      <c r="F281" s="72" t="str">
        <f t="array" ref="F281">XLOOKUP(C281,'Master Data'!C:C,'Master Data'!E:E)</f>
        <v/>
      </c>
      <c r="G281" s="72" t="str">
        <f t="array" ref="G281">XLOOKUP(C281,'Master Data'!C:C,'Master Data'!F:F)</f>
        <v/>
      </c>
      <c r="H281" s="72" t="str">
        <f t="array" ref="H281">XLOOKUP(C281,'Master Data'!C:C,'Master Data'!G:G)</f>
        <v/>
      </c>
      <c r="I281" s="72" t="str">
        <f t="array" ref="I281">XLOOKUP(C281,'Master Data'!C:C,'Master Data'!H:H)</f>
        <v/>
      </c>
      <c r="J281" s="72" t="str">
        <f t="array" ref="J281">XLOOKUP(C281,'Master Data'!C:C,'Master Data'!I:I)</f>
        <v/>
      </c>
      <c r="K281" s="72" t="str">
        <f t="array" ref="K281">XLOOKUP(C281,'Master Data'!C:C,'Master Data'!J:J)</f>
        <v/>
      </c>
      <c r="L281" s="74" t="str">
        <f t="array" ref="L281">XLOOKUP(C:C,TSR_Completion!C:C,TSR_Completion!M:M)</f>
        <v/>
      </c>
      <c r="M281" s="4"/>
      <c r="N281" s="4"/>
      <c r="O281" s="4"/>
      <c r="P281" s="4"/>
      <c r="Q281" s="4"/>
      <c r="R281" s="4"/>
      <c r="S281" s="4"/>
      <c r="T281" s="4"/>
      <c r="U281" s="4"/>
      <c r="V281" s="4"/>
      <c r="W281" s="4"/>
      <c r="X281" s="4"/>
      <c r="Y281" s="4"/>
    </row>
    <row r="282">
      <c r="A282" s="6"/>
      <c r="B282" s="6" t="s">
        <v>158</v>
      </c>
      <c r="C282" s="71" t="s">
        <v>12</v>
      </c>
      <c r="D282" s="72" t="str">
        <f t="array" ref="D282">XLOOKUP(C282,'Master Data'!C:C,'Master Data'!D:D)</f>
        <v/>
      </c>
      <c r="E282" s="73"/>
      <c r="F282" s="72" t="str">
        <f t="array" ref="F282">XLOOKUP(C282,'Master Data'!C:C,'Master Data'!E:E)</f>
        <v/>
      </c>
      <c r="G282" s="72" t="str">
        <f t="array" ref="G282">XLOOKUP(C282,'Master Data'!C:C,'Master Data'!F:F)</f>
        <v/>
      </c>
      <c r="H282" s="72" t="str">
        <f t="array" ref="H282">XLOOKUP(C282,'Master Data'!C:C,'Master Data'!G:G)</f>
        <v/>
      </c>
      <c r="I282" s="72" t="str">
        <f t="array" ref="I282">XLOOKUP(C282,'Master Data'!C:C,'Master Data'!H:H)</f>
        <v/>
      </c>
      <c r="J282" s="72" t="str">
        <f t="array" ref="J282">XLOOKUP(C282,'Master Data'!C:C,'Master Data'!I:I)</f>
        <v/>
      </c>
      <c r="K282" s="72" t="str">
        <f t="array" ref="K282">XLOOKUP(C282,'Master Data'!C:C,'Master Data'!J:J)</f>
        <v/>
      </c>
      <c r="L282" s="74" t="str">
        <f t="array" ref="L282">XLOOKUP(C:C,TSR_Completion!C:C,TSR_Completion!M:M)</f>
        <v/>
      </c>
      <c r="M282" s="4"/>
      <c r="N282" s="4"/>
      <c r="O282" s="4"/>
      <c r="P282" s="4"/>
      <c r="Q282" s="4"/>
      <c r="R282" s="4"/>
      <c r="S282" s="4"/>
      <c r="T282" s="4"/>
      <c r="U282" s="4"/>
      <c r="V282" s="4"/>
      <c r="W282" s="4"/>
      <c r="X282" s="4"/>
      <c r="Y282" s="4"/>
    </row>
    <row r="283">
      <c r="A283" s="6"/>
      <c r="B283" s="6" t="s">
        <v>158</v>
      </c>
      <c r="C283" s="71" t="s">
        <v>12</v>
      </c>
      <c r="D283" s="72" t="str">
        <f t="array" ref="D283">XLOOKUP(C283,'Master Data'!C:C,'Master Data'!D:D)</f>
        <v/>
      </c>
      <c r="E283" s="73"/>
      <c r="F283" s="72" t="str">
        <f t="array" ref="F283">XLOOKUP(C283,'Master Data'!C:C,'Master Data'!E:E)</f>
        <v/>
      </c>
      <c r="G283" s="72" t="str">
        <f t="array" ref="G283">XLOOKUP(C283,'Master Data'!C:C,'Master Data'!F:F)</f>
        <v/>
      </c>
      <c r="H283" s="72" t="str">
        <f t="array" ref="H283">XLOOKUP(C283,'Master Data'!C:C,'Master Data'!G:G)</f>
        <v/>
      </c>
      <c r="I283" s="72" t="str">
        <f t="array" ref="I283">XLOOKUP(C283,'Master Data'!C:C,'Master Data'!H:H)</f>
        <v/>
      </c>
      <c r="J283" s="72" t="str">
        <f t="array" ref="J283">XLOOKUP(C283,'Master Data'!C:C,'Master Data'!I:I)</f>
        <v/>
      </c>
      <c r="K283" s="72" t="str">
        <f t="array" ref="K283">XLOOKUP(C283,'Master Data'!C:C,'Master Data'!J:J)</f>
        <v/>
      </c>
      <c r="L283" s="74" t="str">
        <f t="array" ref="L283">XLOOKUP(C:C,TSR_Completion!C:C,TSR_Completion!M:M)</f>
        <v/>
      </c>
      <c r="M283" s="4"/>
      <c r="N283" s="4"/>
      <c r="O283" s="4"/>
      <c r="P283" s="4"/>
      <c r="Q283" s="4"/>
      <c r="R283" s="4"/>
      <c r="S283" s="4"/>
      <c r="T283" s="4"/>
      <c r="U283" s="4"/>
      <c r="V283" s="4"/>
      <c r="W283" s="4"/>
      <c r="X283" s="4"/>
      <c r="Y283" s="4"/>
    </row>
    <row r="284">
      <c r="A284" s="6"/>
      <c r="B284" s="6" t="s">
        <v>158</v>
      </c>
      <c r="C284" s="71" t="s">
        <v>12</v>
      </c>
      <c r="D284" s="72" t="str">
        <f t="array" ref="D284">XLOOKUP(C284,'Master Data'!C:C,'Master Data'!D:D)</f>
        <v/>
      </c>
      <c r="E284" s="73"/>
      <c r="F284" s="72" t="str">
        <f t="array" ref="F284">XLOOKUP(C284,'Master Data'!C:C,'Master Data'!E:E)</f>
        <v/>
      </c>
      <c r="G284" s="72" t="str">
        <f t="array" ref="G284">XLOOKUP(C284,'Master Data'!C:C,'Master Data'!F:F)</f>
        <v/>
      </c>
      <c r="H284" s="72" t="str">
        <f t="array" ref="H284">XLOOKUP(C284,'Master Data'!C:C,'Master Data'!G:G)</f>
        <v/>
      </c>
      <c r="I284" s="72" t="str">
        <f t="array" ref="I284">XLOOKUP(C284,'Master Data'!C:C,'Master Data'!H:H)</f>
        <v/>
      </c>
      <c r="J284" s="72" t="str">
        <f t="array" ref="J284">XLOOKUP(C284,'Master Data'!C:C,'Master Data'!I:I)</f>
        <v/>
      </c>
      <c r="K284" s="72" t="str">
        <f t="array" ref="K284">XLOOKUP(C284,'Master Data'!C:C,'Master Data'!J:J)</f>
        <v/>
      </c>
      <c r="L284" s="74" t="str">
        <f t="array" ref="L284">XLOOKUP(C:C,TSR_Completion!C:C,TSR_Completion!M:M)</f>
        <v/>
      </c>
      <c r="M284" s="4"/>
      <c r="N284" s="4"/>
      <c r="O284" s="4"/>
      <c r="P284" s="4"/>
      <c r="Q284" s="4"/>
      <c r="R284" s="4"/>
      <c r="S284" s="4"/>
      <c r="T284" s="4"/>
      <c r="U284" s="4"/>
      <c r="V284" s="4"/>
      <c r="W284" s="4"/>
      <c r="X284" s="4"/>
      <c r="Y284" s="4"/>
    </row>
    <row r="285">
      <c r="A285" s="6"/>
      <c r="B285" s="6" t="s">
        <v>158</v>
      </c>
      <c r="C285" s="71" t="s">
        <v>12</v>
      </c>
      <c r="D285" s="72" t="str">
        <f t="array" ref="D285">XLOOKUP(C285,'Master Data'!C:C,'Master Data'!D:D)</f>
        <v/>
      </c>
      <c r="E285" s="73"/>
      <c r="F285" s="72" t="str">
        <f t="array" ref="F285">XLOOKUP(C285,'Master Data'!C:C,'Master Data'!E:E)</f>
        <v/>
      </c>
      <c r="G285" s="72" t="str">
        <f t="array" ref="G285">XLOOKUP(C285,'Master Data'!C:C,'Master Data'!F:F)</f>
        <v/>
      </c>
      <c r="H285" s="72" t="str">
        <f t="array" ref="H285">XLOOKUP(C285,'Master Data'!C:C,'Master Data'!G:G)</f>
        <v/>
      </c>
      <c r="I285" s="72" t="str">
        <f t="array" ref="I285">XLOOKUP(C285,'Master Data'!C:C,'Master Data'!H:H)</f>
        <v/>
      </c>
      <c r="J285" s="72" t="str">
        <f t="array" ref="J285">XLOOKUP(C285,'Master Data'!C:C,'Master Data'!I:I)</f>
        <v/>
      </c>
      <c r="K285" s="72" t="str">
        <f t="array" ref="K285">XLOOKUP(C285,'Master Data'!C:C,'Master Data'!J:J)</f>
        <v/>
      </c>
      <c r="L285" s="74" t="str">
        <f t="array" ref="L285">XLOOKUP(C:C,TSR_Completion!C:C,TSR_Completion!M:M)</f>
        <v/>
      </c>
      <c r="M285" s="4"/>
      <c r="N285" s="4"/>
      <c r="O285" s="4"/>
      <c r="P285" s="4"/>
      <c r="Q285" s="4"/>
      <c r="R285" s="4"/>
      <c r="S285" s="4"/>
      <c r="T285" s="4"/>
      <c r="U285" s="4"/>
      <c r="V285" s="4"/>
      <c r="W285" s="4"/>
      <c r="X285" s="4"/>
      <c r="Y285" s="4"/>
    </row>
    <row r="286">
      <c r="A286" s="6"/>
      <c r="B286" s="6" t="s">
        <v>158</v>
      </c>
      <c r="C286" s="71" t="s">
        <v>12</v>
      </c>
      <c r="D286" s="72" t="str">
        <f t="array" ref="D286">XLOOKUP(C286,'Master Data'!C:C,'Master Data'!D:D)</f>
        <v/>
      </c>
      <c r="E286" s="73"/>
      <c r="F286" s="72" t="str">
        <f t="array" ref="F286">XLOOKUP(C286,'Master Data'!C:C,'Master Data'!E:E)</f>
        <v/>
      </c>
      <c r="G286" s="72" t="str">
        <f t="array" ref="G286">XLOOKUP(C286,'Master Data'!C:C,'Master Data'!F:F)</f>
        <v/>
      </c>
      <c r="H286" s="72" t="str">
        <f t="array" ref="H286">XLOOKUP(C286,'Master Data'!C:C,'Master Data'!G:G)</f>
        <v/>
      </c>
      <c r="I286" s="72" t="str">
        <f t="array" ref="I286">XLOOKUP(C286,'Master Data'!C:C,'Master Data'!H:H)</f>
        <v/>
      </c>
      <c r="J286" s="72" t="str">
        <f t="array" ref="J286">XLOOKUP(C286,'Master Data'!C:C,'Master Data'!I:I)</f>
        <v/>
      </c>
      <c r="K286" s="72" t="str">
        <f t="array" ref="K286">XLOOKUP(C286,'Master Data'!C:C,'Master Data'!J:J)</f>
        <v/>
      </c>
      <c r="L286" s="74" t="str">
        <f t="array" ref="L286">XLOOKUP(C:C,TSR_Completion!C:C,TSR_Completion!M:M)</f>
        <v/>
      </c>
      <c r="M286" s="4"/>
      <c r="N286" s="4"/>
      <c r="O286" s="4"/>
      <c r="P286" s="4"/>
      <c r="Q286" s="4"/>
      <c r="R286" s="4"/>
      <c r="S286" s="4"/>
      <c r="T286" s="4"/>
      <c r="U286" s="4"/>
      <c r="V286" s="4"/>
      <c r="W286" s="4"/>
      <c r="X286" s="4"/>
      <c r="Y286" s="4"/>
    </row>
    <row r="287">
      <c r="A287" s="6"/>
      <c r="B287" s="6" t="s">
        <v>158</v>
      </c>
      <c r="C287" s="71" t="s">
        <v>12</v>
      </c>
      <c r="D287" s="72" t="str">
        <f t="array" ref="D287">XLOOKUP(C287,'Master Data'!C:C,'Master Data'!D:D)</f>
        <v/>
      </c>
      <c r="E287" s="73"/>
      <c r="F287" s="72" t="str">
        <f t="array" ref="F287">XLOOKUP(C287,'Master Data'!C:C,'Master Data'!E:E)</f>
        <v/>
      </c>
      <c r="G287" s="72" t="str">
        <f t="array" ref="G287">XLOOKUP(C287,'Master Data'!C:C,'Master Data'!F:F)</f>
        <v/>
      </c>
      <c r="H287" s="72" t="str">
        <f t="array" ref="H287">XLOOKUP(C287,'Master Data'!C:C,'Master Data'!G:G)</f>
        <v/>
      </c>
      <c r="I287" s="72" t="str">
        <f t="array" ref="I287">XLOOKUP(C287,'Master Data'!C:C,'Master Data'!H:H)</f>
        <v/>
      </c>
      <c r="J287" s="72" t="str">
        <f t="array" ref="J287">XLOOKUP(C287,'Master Data'!C:C,'Master Data'!I:I)</f>
        <v/>
      </c>
      <c r="K287" s="72" t="str">
        <f t="array" ref="K287">XLOOKUP(C287,'Master Data'!C:C,'Master Data'!J:J)</f>
        <v/>
      </c>
      <c r="L287" s="74" t="str">
        <f t="array" ref="L287">XLOOKUP(C:C,TSR_Completion!C:C,TSR_Completion!M:M)</f>
        <v/>
      </c>
      <c r="M287" s="4"/>
      <c r="N287" s="4"/>
      <c r="O287" s="4"/>
      <c r="P287" s="4"/>
      <c r="Q287" s="4"/>
      <c r="R287" s="4"/>
      <c r="S287" s="4"/>
      <c r="T287" s="4"/>
      <c r="U287" s="4"/>
      <c r="V287" s="4"/>
      <c r="W287" s="4"/>
      <c r="X287" s="4"/>
      <c r="Y287" s="4"/>
    </row>
    <row r="288">
      <c r="A288" s="6"/>
      <c r="B288" s="6" t="s">
        <v>158</v>
      </c>
      <c r="C288" s="71" t="s">
        <v>12</v>
      </c>
      <c r="D288" s="72" t="str">
        <f t="array" ref="D288">XLOOKUP(C288,'Master Data'!C:C,'Master Data'!D:D)</f>
        <v/>
      </c>
      <c r="E288" s="73"/>
      <c r="F288" s="72" t="str">
        <f t="array" ref="F288">XLOOKUP(C288,'Master Data'!C:C,'Master Data'!E:E)</f>
        <v/>
      </c>
      <c r="G288" s="72" t="str">
        <f t="array" ref="G288">XLOOKUP(C288,'Master Data'!C:C,'Master Data'!F:F)</f>
        <v/>
      </c>
      <c r="H288" s="72" t="str">
        <f t="array" ref="H288">XLOOKUP(C288,'Master Data'!C:C,'Master Data'!G:G)</f>
        <v/>
      </c>
      <c r="I288" s="72" t="str">
        <f t="array" ref="I288">XLOOKUP(C288,'Master Data'!C:C,'Master Data'!H:H)</f>
        <v/>
      </c>
      <c r="J288" s="72" t="str">
        <f t="array" ref="J288">XLOOKUP(C288,'Master Data'!C:C,'Master Data'!I:I)</f>
        <v/>
      </c>
      <c r="K288" s="72" t="str">
        <f t="array" ref="K288">XLOOKUP(C288,'Master Data'!C:C,'Master Data'!J:J)</f>
        <v/>
      </c>
      <c r="L288" s="74" t="str">
        <f t="array" ref="L288">XLOOKUP(C:C,TSR_Completion!C:C,TSR_Completion!M:M)</f>
        <v/>
      </c>
      <c r="M288" s="4"/>
      <c r="N288" s="4"/>
      <c r="O288" s="4"/>
      <c r="P288" s="4"/>
      <c r="Q288" s="4"/>
      <c r="R288" s="4"/>
      <c r="S288" s="4"/>
      <c r="T288" s="4"/>
      <c r="U288" s="4"/>
      <c r="V288" s="4"/>
      <c r="W288" s="4"/>
      <c r="X288" s="4"/>
      <c r="Y288" s="4"/>
    </row>
    <row r="289">
      <c r="A289" s="6"/>
      <c r="B289" s="6" t="s">
        <v>158</v>
      </c>
      <c r="C289" s="71" t="s">
        <v>12</v>
      </c>
      <c r="D289" s="72" t="str">
        <f t="array" ref="D289">XLOOKUP(C289,'Master Data'!C:C,'Master Data'!D:D)</f>
        <v/>
      </c>
      <c r="E289" s="73"/>
      <c r="F289" s="72" t="str">
        <f t="array" ref="F289">XLOOKUP(C289,'Master Data'!C:C,'Master Data'!E:E)</f>
        <v/>
      </c>
      <c r="G289" s="72" t="str">
        <f t="array" ref="G289">XLOOKUP(C289,'Master Data'!C:C,'Master Data'!F:F)</f>
        <v/>
      </c>
      <c r="H289" s="72" t="str">
        <f t="array" ref="H289">XLOOKUP(C289,'Master Data'!C:C,'Master Data'!G:G)</f>
        <v/>
      </c>
      <c r="I289" s="72" t="str">
        <f t="array" ref="I289">XLOOKUP(C289,'Master Data'!C:C,'Master Data'!H:H)</f>
        <v/>
      </c>
      <c r="J289" s="72" t="str">
        <f t="array" ref="J289">XLOOKUP(C289,'Master Data'!C:C,'Master Data'!I:I)</f>
        <v/>
      </c>
      <c r="K289" s="72" t="str">
        <f t="array" ref="K289">XLOOKUP(C289,'Master Data'!C:C,'Master Data'!J:J)</f>
        <v/>
      </c>
      <c r="L289" s="74" t="str">
        <f t="array" ref="L289">XLOOKUP(C:C,TSR_Completion!C:C,TSR_Completion!M:M)</f>
        <v/>
      </c>
      <c r="M289" s="4"/>
      <c r="N289" s="4"/>
      <c r="O289" s="4"/>
      <c r="P289" s="4"/>
      <c r="Q289" s="4"/>
      <c r="R289" s="4"/>
      <c r="S289" s="4"/>
      <c r="T289" s="4"/>
      <c r="U289" s="4"/>
      <c r="V289" s="4"/>
      <c r="W289" s="4"/>
      <c r="X289" s="4"/>
      <c r="Y289" s="4"/>
    </row>
    <row r="290">
      <c r="A290" s="6"/>
      <c r="B290" s="6" t="s">
        <v>158</v>
      </c>
      <c r="C290" s="71" t="s">
        <v>12</v>
      </c>
      <c r="D290" s="72" t="str">
        <f t="array" ref="D290">XLOOKUP(C290,'Master Data'!C:C,'Master Data'!D:D)</f>
        <v/>
      </c>
      <c r="E290" s="73"/>
      <c r="F290" s="72" t="str">
        <f t="array" ref="F290">XLOOKUP(C290,'Master Data'!C:C,'Master Data'!E:E)</f>
        <v/>
      </c>
      <c r="G290" s="72" t="str">
        <f t="array" ref="G290">XLOOKUP(C290,'Master Data'!C:C,'Master Data'!F:F)</f>
        <v/>
      </c>
      <c r="H290" s="72" t="str">
        <f t="array" ref="H290">XLOOKUP(C290,'Master Data'!C:C,'Master Data'!G:G)</f>
        <v/>
      </c>
      <c r="I290" s="72" t="str">
        <f t="array" ref="I290">XLOOKUP(C290,'Master Data'!C:C,'Master Data'!H:H)</f>
        <v/>
      </c>
      <c r="J290" s="72" t="str">
        <f t="array" ref="J290">XLOOKUP(C290,'Master Data'!C:C,'Master Data'!I:I)</f>
        <v/>
      </c>
      <c r="K290" s="72" t="str">
        <f t="array" ref="K290">XLOOKUP(C290,'Master Data'!C:C,'Master Data'!J:J)</f>
        <v/>
      </c>
      <c r="L290" s="74" t="str">
        <f t="array" ref="L290">XLOOKUP(C:C,TSR_Completion!C:C,TSR_Completion!M:M)</f>
        <v/>
      </c>
      <c r="M290" s="4"/>
      <c r="N290" s="4"/>
      <c r="O290" s="4"/>
      <c r="P290" s="4"/>
      <c r="Q290" s="4"/>
      <c r="R290" s="4"/>
      <c r="S290" s="4"/>
      <c r="T290" s="4"/>
      <c r="U290" s="4"/>
      <c r="V290" s="4"/>
      <c r="W290" s="4"/>
      <c r="X290" s="4"/>
      <c r="Y290" s="4"/>
    </row>
    <row r="291">
      <c r="A291" s="6"/>
      <c r="B291" s="6" t="s">
        <v>158</v>
      </c>
      <c r="C291" s="71" t="s">
        <v>12</v>
      </c>
      <c r="D291" s="72" t="str">
        <f t="array" ref="D291">XLOOKUP(C291,'Master Data'!C:C,'Master Data'!D:D)</f>
        <v/>
      </c>
      <c r="E291" s="73"/>
      <c r="F291" s="72" t="str">
        <f t="array" ref="F291">XLOOKUP(C291,'Master Data'!C:C,'Master Data'!E:E)</f>
        <v/>
      </c>
      <c r="G291" s="72" t="str">
        <f t="array" ref="G291">XLOOKUP(C291,'Master Data'!C:C,'Master Data'!F:F)</f>
        <v/>
      </c>
      <c r="H291" s="72" t="str">
        <f t="array" ref="H291">XLOOKUP(C291,'Master Data'!C:C,'Master Data'!G:G)</f>
        <v/>
      </c>
      <c r="I291" s="72" t="str">
        <f t="array" ref="I291">XLOOKUP(C291,'Master Data'!C:C,'Master Data'!H:H)</f>
        <v/>
      </c>
      <c r="J291" s="72" t="str">
        <f t="array" ref="J291">XLOOKUP(C291,'Master Data'!C:C,'Master Data'!I:I)</f>
        <v/>
      </c>
      <c r="K291" s="72" t="str">
        <f t="array" ref="K291">XLOOKUP(C291,'Master Data'!C:C,'Master Data'!J:J)</f>
        <v/>
      </c>
      <c r="L291" s="74" t="str">
        <f t="array" ref="L291">XLOOKUP(C:C,TSR_Completion!C:C,TSR_Completion!M:M)</f>
        <v/>
      </c>
      <c r="M291" s="4"/>
      <c r="N291" s="4"/>
      <c r="O291" s="4"/>
      <c r="P291" s="4"/>
      <c r="Q291" s="4"/>
      <c r="R291" s="4"/>
      <c r="S291" s="4"/>
      <c r="T291" s="4"/>
      <c r="U291" s="4"/>
      <c r="V291" s="4"/>
      <c r="W291" s="4"/>
      <c r="X291" s="4"/>
      <c r="Y291" s="4"/>
    </row>
    <row r="292">
      <c r="A292" s="6"/>
      <c r="B292" s="6" t="s">
        <v>158</v>
      </c>
      <c r="C292" s="71" t="s">
        <v>12</v>
      </c>
      <c r="D292" s="72" t="str">
        <f t="array" ref="D292">XLOOKUP(C292,'Master Data'!C:C,'Master Data'!D:D)</f>
        <v/>
      </c>
      <c r="E292" s="73"/>
      <c r="F292" s="72" t="str">
        <f t="array" ref="F292">XLOOKUP(C292,'Master Data'!C:C,'Master Data'!E:E)</f>
        <v/>
      </c>
      <c r="G292" s="72" t="str">
        <f t="array" ref="G292">XLOOKUP(C292,'Master Data'!C:C,'Master Data'!F:F)</f>
        <v/>
      </c>
      <c r="H292" s="72" t="str">
        <f t="array" ref="H292">XLOOKUP(C292,'Master Data'!C:C,'Master Data'!G:G)</f>
        <v/>
      </c>
      <c r="I292" s="72" t="str">
        <f t="array" ref="I292">XLOOKUP(C292,'Master Data'!C:C,'Master Data'!H:H)</f>
        <v/>
      </c>
      <c r="J292" s="72" t="str">
        <f t="array" ref="J292">XLOOKUP(C292,'Master Data'!C:C,'Master Data'!I:I)</f>
        <v/>
      </c>
      <c r="K292" s="72" t="str">
        <f t="array" ref="K292">XLOOKUP(C292,'Master Data'!C:C,'Master Data'!J:J)</f>
        <v/>
      </c>
      <c r="L292" s="74" t="str">
        <f t="array" ref="L292">XLOOKUP(C:C,TSR_Completion!C:C,TSR_Completion!M:M)</f>
        <v/>
      </c>
      <c r="M292" s="4"/>
      <c r="N292" s="4"/>
      <c r="O292" s="4"/>
      <c r="P292" s="4"/>
      <c r="Q292" s="4"/>
      <c r="R292" s="4"/>
      <c r="S292" s="4"/>
      <c r="T292" s="4"/>
      <c r="U292" s="4"/>
      <c r="V292" s="4"/>
      <c r="W292" s="4"/>
      <c r="X292" s="4"/>
      <c r="Y292" s="4"/>
    </row>
    <row r="293">
      <c r="A293" s="6"/>
      <c r="B293" s="6" t="s">
        <v>158</v>
      </c>
      <c r="C293" s="71" t="s">
        <v>12</v>
      </c>
      <c r="D293" s="72" t="str">
        <f t="array" ref="D293">XLOOKUP(C293,'Master Data'!C:C,'Master Data'!D:D)</f>
        <v/>
      </c>
      <c r="E293" s="73"/>
      <c r="F293" s="72" t="str">
        <f t="array" ref="F293">XLOOKUP(C293,'Master Data'!C:C,'Master Data'!E:E)</f>
        <v/>
      </c>
      <c r="G293" s="72" t="str">
        <f t="array" ref="G293">XLOOKUP(C293,'Master Data'!C:C,'Master Data'!F:F)</f>
        <v/>
      </c>
      <c r="H293" s="72" t="str">
        <f t="array" ref="H293">XLOOKUP(C293,'Master Data'!C:C,'Master Data'!G:G)</f>
        <v/>
      </c>
      <c r="I293" s="72" t="str">
        <f t="array" ref="I293">XLOOKUP(C293,'Master Data'!C:C,'Master Data'!H:H)</f>
        <v/>
      </c>
      <c r="J293" s="72" t="str">
        <f t="array" ref="J293">XLOOKUP(C293,'Master Data'!C:C,'Master Data'!I:I)</f>
        <v/>
      </c>
      <c r="K293" s="72" t="str">
        <f t="array" ref="K293">XLOOKUP(C293,'Master Data'!C:C,'Master Data'!J:J)</f>
        <v/>
      </c>
      <c r="L293" s="74" t="str">
        <f t="array" ref="L293">XLOOKUP(C:C,TSR_Completion!C:C,TSR_Completion!M:M)</f>
        <v/>
      </c>
      <c r="M293" s="4"/>
      <c r="N293" s="4"/>
      <c r="O293" s="4"/>
      <c r="P293" s="4"/>
      <c r="Q293" s="4"/>
      <c r="R293" s="4"/>
      <c r="S293" s="4"/>
      <c r="T293" s="4"/>
      <c r="U293" s="4"/>
      <c r="V293" s="4"/>
      <c r="W293" s="4"/>
      <c r="X293" s="4"/>
      <c r="Y293" s="4"/>
    </row>
    <row r="294">
      <c r="A294" s="6"/>
      <c r="B294" s="6" t="s">
        <v>158</v>
      </c>
      <c r="C294" s="71" t="s">
        <v>12</v>
      </c>
      <c r="D294" s="72" t="str">
        <f t="array" ref="D294">XLOOKUP(C294,'Master Data'!C:C,'Master Data'!D:D)</f>
        <v/>
      </c>
      <c r="E294" s="73"/>
      <c r="F294" s="72" t="str">
        <f t="array" ref="F294">XLOOKUP(C294,'Master Data'!C:C,'Master Data'!E:E)</f>
        <v/>
      </c>
      <c r="G294" s="72" t="str">
        <f t="array" ref="G294">XLOOKUP(C294,'Master Data'!C:C,'Master Data'!F:F)</f>
        <v/>
      </c>
      <c r="H294" s="72" t="str">
        <f t="array" ref="H294">XLOOKUP(C294,'Master Data'!C:C,'Master Data'!G:G)</f>
        <v/>
      </c>
      <c r="I294" s="72" t="str">
        <f t="array" ref="I294">XLOOKUP(C294,'Master Data'!C:C,'Master Data'!H:H)</f>
        <v/>
      </c>
      <c r="J294" s="72" t="str">
        <f t="array" ref="J294">XLOOKUP(C294,'Master Data'!C:C,'Master Data'!I:I)</f>
        <v/>
      </c>
      <c r="K294" s="72" t="str">
        <f t="array" ref="K294">XLOOKUP(C294,'Master Data'!C:C,'Master Data'!J:J)</f>
        <v/>
      </c>
      <c r="L294" s="74" t="str">
        <f t="array" ref="L294">XLOOKUP(C:C,TSR_Completion!C:C,TSR_Completion!M:M)</f>
        <v/>
      </c>
      <c r="M294" s="4"/>
      <c r="N294" s="4"/>
      <c r="O294" s="4"/>
      <c r="P294" s="4"/>
      <c r="Q294" s="4"/>
      <c r="R294" s="4"/>
      <c r="S294" s="4"/>
      <c r="T294" s="4"/>
      <c r="U294" s="4"/>
      <c r="V294" s="4"/>
      <c r="W294" s="4"/>
      <c r="X294" s="4"/>
      <c r="Y294" s="4"/>
    </row>
    <row r="295">
      <c r="A295" s="6"/>
      <c r="B295" s="6" t="s">
        <v>158</v>
      </c>
      <c r="C295" s="71" t="s">
        <v>12</v>
      </c>
      <c r="D295" s="72" t="str">
        <f t="array" ref="D295">XLOOKUP(C295,'Master Data'!C:C,'Master Data'!D:D)</f>
        <v/>
      </c>
      <c r="E295" s="73"/>
      <c r="F295" s="72" t="str">
        <f t="array" ref="F295">XLOOKUP(C295,'Master Data'!C:C,'Master Data'!E:E)</f>
        <v/>
      </c>
      <c r="G295" s="72" t="str">
        <f t="array" ref="G295">XLOOKUP(C295,'Master Data'!C:C,'Master Data'!F:F)</f>
        <v/>
      </c>
      <c r="H295" s="72" t="str">
        <f t="array" ref="H295">XLOOKUP(C295,'Master Data'!C:C,'Master Data'!G:G)</f>
        <v/>
      </c>
      <c r="I295" s="72" t="str">
        <f t="array" ref="I295">XLOOKUP(C295,'Master Data'!C:C,'Master Data'!H:H)</f>
        <v/>
      </c>
      <c r="J295" s="72" t="str">
        <f t="array" ref="J295">XLOOKUP(C295,'Master Data'!C:C,'Master Data'!I:I)</f>
        <v/>
      </c>
      <c r="K295" s="72" t="str">
        <f t="array" ref="K295">XLOOKUP(C295,'Master Data'!C:C,'Master Data'!J:J)</f>
        <v/>
      </c>
      <c r="L295" s="74" t="str">
        <f t="array" ref="L295">XLOOKUP(C:C,TSR_Completion!C:C,TSR_Completion!M:M)</f>
        <v/>
      </c>
      <c r="M295" s="4"/>
      <c r="N295" s="4"/>
      <c r="O295" s="4"/>
      <c r="P295" s="4"/>
      <c r="Q295" s="4"/>
      <c r="R295" s="4"/>
      <c r="S295" s="4"/>
      <c r="T295" s="4"/>
      <c r="U295" s="4"/>
      <c r="V295" s="4"/>
      <c r="W295" s="4"/>
      <c r="X295" s="4"/>
      <c r="Y295" s="4"/>
    </row>
    <row r="296">
      <c r="A296" s="6"/>
      <c r="B296" s="6" t="s">
        <v>158</v>
      </c>
      <c r="C296" s="71" t="s">
        <v>12</v>
      </c>
      <c r="D296" s="72" t="str">
        <f t="array" ref="D296">XLOOKUP(C296,'Master Data'!C:C,'Master Data'!D:D)</f>
        <v/>
      </c>
      <c r="E296" s="73"/>
      <c r="F296" s="72" t="str">
        <f t="array" ref="F296">XLOOKUP(C296,'Master Data'!C:C,'Master Data'!E:E)</f>
        <v/>
      </c>
      <c r="G296" s="72" t="str">
        <f t="array" ref="G296">XLOOKUP(C296,'Master Data'!C:C,'Master Data'!F:F)</f>
        <v/>
      </c>
      <c r="H296" s="72" t="str">
        <f t="array" ref="H296">XLOOKUP(C296,'Master Data'!C:C,'Master Data'!G:G)</f>
        <v/>
      </c>
      <c r="I296" s="72" t="str">
        <f t="array" ref="I296">XLOOKUP(C296,'Master Data'!C:C,'Master Data'!H:H)</f>
        <v/>
      </c>
      <c r="J296" s="72" t="str">
        <f t="array" ref="J296">XLOOKUP(C296,'Master Data'!C:C,'Master Data'!I:I)</f>
        <v/>
      </c>
      <c r="K296" s="72" t="str">
        <f t="array" ref="K296">XLOOKUP(C296,'Master Data'!C:C,'Master Data'!J:J)</f>
        <v/>
      </c>
      <c r="L296" s="74" t="str">
        <f t="array" ref="L296">XLOOKUP(C:C,TSR_Completion!C:C,TSR_Completion!M:M)</f>
        <v/>
      </c>
      <c r="M296" s="4"/>
      <c r="N296" s="4"/>
      <c r="O296" s="4"/>
      <c r="P296" s="4"/>
      <c r="Q296" s="4"/>
      <c r="R296" s="4"/>
      <c r="S296" s="4"/>
      <c r="T296" s="4"/>
      <c r="U296" s="4"/>
      <c r="V296" s="4"/>
      <c r="W296" s="4"/>
      <c r="X296" s="4"/>
      <c r="Y296" s="4"/>
    </row>
    <row r="297">
      <c r="A297" s="6"/>
      <c r="B297" s="6" t="s">
        <v>158</v>
      </c>
      <c r="C297" s="71" t="s">
        <v>12</v>
      </c>
      <c r="D297" s="72" t="str">
        <f t="array" ref="D297">XLOOKUP(C297,'Master Data'!C:C,'Master Data'!D:D)</f>
        <v/>
      </c>
      <c r="E297" s="73"/>
      <c r="F297" s="72" t="str">
        <f t="array" ref="F297">XLOOKUP(C297,'Master Data'!C:C,'Master Data'!E:E)</f>
        <v/>
      </c>
      <c r="G297" s="72" t="str">
        <f t="array" ref="G297">XLOOKUP(C297,'Master Data'!C:C,'Master Data'!F:F)</f>
        <v/>
      </c>
      <c r="H297" s="72" t="str">
        <f t="array" ref="H297">XLOOKUP(C297,'Master Data'!C:C,'Master Data'!G:G)</f>
        <v/>
      </c>
      <c r="I297" s="72" t="str">
        <f t="array" ref="I297">XLOOKUP(C297,'Master Data'!C:C,'Master Data'!H:H)</f>
        <v/>
      </c>
      <c r="J297" s="72" t="str">
        <f t="array" ref="J297">XLOOKUP(C297,'Master Data'!C:C,'Master Data'!I:I)</f>
        <v/>
      </c>
      <c r="K297" s="72" t="str">
        <f t="array" ref="K297">XLOOKUP(C297,'Master Data'!C:C,'Master Data'!J:J)</f>
        <v/>
      </c>
      <c r="L297" s="74" t="str">
        <f t="array" ref="L297">XLOOKUP(C:C,TSR_Completion!C:C,TSR_Completion!M:M)</f>
        <v/>
      </c>
      <c r="M297" s="4"/>
      <c r="N297" s="4"/>
      <c r="O297" s="4"/>
      <c r="P297" s="4"/>
      <c r="Q297" s="4"/>
      <c r="R297" s="4"/>
      <c r="S297" s="4"/>
      <c r="T297" s="4"/>
      <c r="U297" s="4"/>
      <c r="V297" s="4"/>
      <c r="W297" s="4"/>
      <c r="X297" s="4"/>
      <c r="Y297" s="4"/>
    </row>
    <row r="298">
      <c r="A298" s="6"/>
      <c r="B298" s="6" t="s">
        <v>158</v>
      </c>
      <c r="C298" s="71" t="s">
        <v>12</v>
      </c>
      <c r="D298" s="72" t="str">
        <f t="array" ref="D298">XLOOKUP(C298,'Master Data'!C:C,'Master Data'!D:D)</f>
        <v/>
      </c>
      <c r="E298" s="73"/>
      <c r="F298" s="72" t="str">
        <f t="array" ref="F298">XLOOKUP(C298,'Master Data'!C:C,'Master Data'!E:E)</f>
        <v/>
      </c>
      <c r="G298" s="72" t="str">
        <f t="array" ref="G298">XLOOKUP(C298,'Master Data'!C:C,'Master Data'!F:F)</f>
        <v/>
      </c>
      <c r="H298" s="72" t="str">
        <f t="array" ref="H298">XLOOKUP(C298,'Master Data'!C:C,'Master Data'!G:G)</f>
        <v/>
      </c>
      <c r="I298" s="72" t="str">
        <f t="array" ref="I298">XLOOKUP(C298,'Master Data'!C:C,'Master Data'!H:H)</f>
        <v/>
      </c>
      <c r="J298" s="72" t="str">
        <f t="array" ref="J298">XLOOKUP(C298,'Master Data'!C:C,'Master Data'!I:I)</f>
        <v/>
      </c>
      <c r="K298" s="72" t="str">
        <f t="array" ref="K298">XLOOKUP(C298,'Master Data'!C:C,'Master Data'!J:J)</f>
        <v/>
      </c>
      <c r="L298" s="74" t="str">
        <f t="array" ref="L298">XLOOKUP(C:C,TSR_Completion!C:C,TSR_Completion!M:M)</f>
        <v/>
      </c>
      <c r="M298" s="4"/>
      <c r="N298" s="4"/>
      <c r="O298" s="4"/>
      <c r="P298" s="4"/>
      <c r="Q298" s="4"/>
      <c r="R298" s="4"/>
      <c r="S298" s="4"/>
      <c r="T298" s="4"/>
      <c r="U298" s="4"/>
      <c r="V298" s="4"/>
      <c r="W298" s="4"/>
      <c r="X298" s="4"/>
      <c r="Y298" s="4"/>
    </row>
    <row r="299">
      <c r="A299" s="6"/>
      <c r="B299" s="6" t="s">
        <v>158</v>
      </c>
      <c r="C299" s="71" t="s">
        <v>12</v>
      </c>
      <c r="D299" s="72" t="str">
        <f t="array" ref="D299">XLOOKUP(C299,'Master Data'!C:C,'Master Data'!D:D)</f>
        <v/>
      </c>
      <c r="E299" s="73"/>
      <c r="F299" s="72" t="str">
        <f t="array" ref="F299">XLOOKUP(C299,'Master Data'!C:C,'Master Data'!E:E)</f>
        <v/>
      </c>
      <c r="G299" s="72" t="str">
        <f t="array" ref="G299">XLOOKUP(C299,'Master Data'!C:C,'Master Data'!F:F)</f>
        <v/>
      </c>
      <c r="H299" s="72" t="str">
        <f t="array" ref="H299">XLOOKUP(C299,'Master Data'!C:C,'Master Data'!G:G)</f>
        <v/>
      </c>
      <c r="I299" s="72" t="str">
        <f t="array" ref="I299">XLOOKUP(C299,'Master Data'!C:C,'Master Data'!H:H)</f>
        <v/>
      </c>
      <c r="J299" s="72" t="str">
        <f t="array" ref="J299">XLOOKUP(C299,'Master Data'!C:C,'Master Data'!I:I)</f>
        <v/>
      </c>
      <c r="K299" s="72" t="str">
        <f t="array" ref="K299">XLOOKUP(C299,'Master Data'!C:C,'Master Data'!J:J)</f>
        <v/>
      </c>
      <c r="L299" s="74" t="str">
        <f t="array" ref="L299">XLOOKUP(C:C,TSR_Completion!C:C,TSR_Completion!M:M)</f>
        <v/>
      </c>
      <c r="M299" s="4"/>
      <c r="N299" s="4"/>
      <c r="O299" s="4"/>
      <c r="P299" s="4"/>
      <c r="Q299" s="4"/>
      <c r="R299" s="4"/>
      <c r="S299" s="4"/>
      <c r="T299" s="4"/>
      <c r="U299" s="4"/>
      <c r="V299" s="4"/>
      <c r="W299" s="4"/>
      <c r="X299" s="4"/>
      <c r="Y299" s="4"/>
    </row>
    <row r="300">
      <c r="A300" s="6"/>
      <c r="B300" s="6" t="s">
        <v>158</v>
      </c>
      <c r="C300" s="71" t="s">
        <v>12</v>
      </c>
      <c r="D300" s="72" t="str">
        <f t="array" ref="D300">XLOOKUP(C300,'Master Data'!C:C,'Master Data'!D:D)</f>
        <v/>
      </c>
      <c r="E300" s="73"/>
      <c r="F300" s="72" t="str">
        <f t="array" ref="F300">XLOOKUP(C300,'Master Data'!C:C,'Master Data'!E:E)</f>
        <v/>
      </c>
      <c r="G300" s="72" t="str">
        <f t="array" ref="G300">XLOOKUP(C300,'Master Data'!C:C,'Master Data'!F:F)</f>
        <v/>
      </c>
      <c r="H300" s="72" t="str">
        <f t="array" ref="H300">XLOOKUP(C300,'Master Data'!C:C,'Master Data'!G:G)</f>
        <v/>
      </c>
      <c r="I300" s="72" t="str">
        <f t="array" ref="I300">XLOOKUP(C300,'Master Data'!C:C,'Master Data'!H:H)</f>
        <v/>
      </c>
      <c r="J300" s="72" t="str">
        <f t="array" ref="J300">XLOOKUP(C300,'Master Data'!C:C,'Master Data'!I:I)</f>
        <v/>
      </c>
      <c r="K300" s="72" t="str">
        <f t="array" ref="K300">XLOOKUP(C300,'Master Data'!C:C,'Master Data'!J:J)</f>
        <v/>
      </c>
      <c r="L300" s="74" t="str">
        <f t="array" ref="L300">XLOOKUP(C:C,TSR_Completion!C:C,TSR_Completion!M:M)</f>
        <v/>
      </c>
      <c r="M300" s="4"/>
      <c r="N300" s="4"/>
      <c r="O300" s="4"/>
      <c r="P300" s="4"/>
      <c r="Q300" s="4"/>
      <c r="R300" s="4"/>
      <c r="S300" s="4"/>
      <c r="T300" s="4"/>
      <c r="U300" s="4"/>
      <c r="V300" s="4"/>
      <c r="W300" s="4"/>
      <c r="X300" s="4"/>
      <c r="Y300" s="4"/>
    </row>
    <row r="301">
      <c r="A301" s="6"/>
      <c r="B301" s="6" t="s">
        <v>158</v>
      </c>
      <c r="C301" s="71" t="s">
        <v>12</v>
      </c>
      <c r="D301" s="72" t="str">
        <f t="array" ref="D301">XLOOKUP(C301,'Master Data'!C:C,'Master Data'!D:D)</f>
        <v/>
      </c>
      <c r="E301" s="73"/>
      <c r="F301" s="72" t="str">
        <f t="array" ref="F301">XLOOKUP(C301,'Master Data'!C:C,'Master Data'!E:E)</f>
        <v/>
      </c>
      <c r="G301" s="72" t="str">
        <f t="array" ref="G301">XLOOKUP(C301,'Master Data'!C:C,'Master Data'!F:F)</f>
        <v/>
      </c>
      <c r="H301" s="72" t="str">
        <f t="array" ref="H301">XLOOKUP(C301,'Master Data'!C:C,'Master Data'!G:G)</f>
        <v/>
      </c>
      <c r="I301" s="72" t="str">
        <f t="array" ref="I301">XLOOKUP(C301,'Master Data'!C:C,'Master Data'!H:H)</f>
        <v/>
      </c>
      <c r="J301" s="72" t="str">
        <f t="array" ref="J301">XLOOKUP(C301,'Master Data'!C:C,'Master Data'!I:I)</f>
        <v/>
      </c>
      <c r="K301" s="72" t="str">
        <f t="array" ref="K301">XLOOKUP(C301,'Master Data'!C:C,'Master Data'!J:J)</f>
        <v/>
      </c>
      <c r="L301" s="74" t="str">
        <f t="array" ref="L301">XLOOKUP(C:C,TSR_Completion!C:C,TSR_Completion!M:M)</f>
        <v/>
      </c>
      <c r="M301" s="4"/>
      <c r="N301" s="4"/>
      <c r="O301" s="4"/>
      <c r="P301" s="4"/>
      <c r="Q301" s="4"/>
      <c r="R301" s="4"/>
      <c r="S301" s="4"/>
      <c r="T301" s="4"/>
      <c r="U301" s="4"/>
      <c r="V301" s="4"/>
      <c r="W301" s="4"/>
      <c r="X301" s="4"/>
      <c r="Y301" s="4"/>
    </row>
    <row r="302">
      <c r="A302" s="6"/>
      <c r="B302" s="6" t="s">
        <v>158</v>
      </c>
      <c r="C302" s="71" t="s">
        <v>12</v>
      </c>
      <c r="D302" s="72" t="str">
        <f t="array" ref="D302">XLOOKUP(C302,'Master Data'!C:C,'Master Data'!D:D)</f>
        <v/>
      </c>
      <c r="E302" s="73"/>
      <c r="F302" s="72" t="str">
        <f t="array" ref="F302">XLOOKUP(C302,'Master Data'!C:C,'Master Data'!E:E)</f>
        <v/>
      </c>
      <c r="G302" s="72" t="str">
        <f t="array" ref="G302">XLOOKUP(C302,'Master Data'!C:C,'Master Data'!F:F)</f>
        <v/>
      </c>
      <c r="H302" s="72" t="str">
        <f t="array" ref="H302">XLOOKUP(C302,'Master Data'!C:C,'Master Data'!G:G)</f>
        <v/>
      </c>
      <c r="I302" s="72" t="str">
        <f t="array" ref="I302">XLOOKUP(C302,'Master Data'!C:C,'Master Data'!H:H)</f>
        <v/>
      </c>
      <c r="J302" s="72" t="str">
        <f t="array" ref="J302">XLOOKUP(C302,'Master Data'!C:C,'Master Data'!I:I)</f>
        <v/>
      </c>
      <c r="K302" s="72" t="str">
        <f t="array" ref="K302">XLOOKUP(C302,'Master Data'!C:C,'Master Data'!J:J)</f>
        <v/>
      </c>
      <c r="L302" s="74" t="str">
        <f t="array" ref="L302">XLOOKUP(C:C,TSR_Completion!C:C,TSR_Completion!M:M)</f>
        <v/>
      </c>
      <c r="M302" s="4"/>
      <c r="N302" s="4"/>
      <c r="O302" s="4"/>
      <c r="P302" s="4"/>
      <c r="Q302" s="4"/>
      <c r="R302" s="4"/>
      <c r="S302" s="4"/>
      <c r="T302" s="4"/>
      <c r="U302" s="4"/>
      <c r="V302" s="4"/>
      <c r="W302" s="4"/>
      <c r="X302" s="4"/>
      <c r="Y302" s="4"/>
    </row>
    <row r="303">
      <c r="A303" s="6"/>
      <c r="B303" s="6" t="s">
        <v>158</v>
      </c>
      <c r="C303" s="71" t="s">
        <v>12</v>
      </c>
      <c r="D303" s="72" t="str">
        <f t="array" ref="D303">XLOOKUP(C303,'Master Data'!C:C,'Master Data'!D:D)</f>
        <v/>
      </c>
      <c r="E303" s="73"/>
      <c r="F303" s="72" t="str">
        <f t="array" ref="F303">XLOOKUP(C303,'Master Data'!C:C,'Master Data'!E:E)</f>
        <v/>
      </c>
      <c r="G303" s="72" t="str">
        <f t="array" ref="G303">XLOOKUP(C303,'Master Data'!C:C,'Master Data'!F:F)</f>
        <v/>
      </c>
      <c r="H303" s="72" t="str">
        <f t="array" ref="H303">XLOOKUP(C303,'Master Data'!C:C,'Master Data'!G:G)</f>
        <v/>
      </c>
      <c r="I303" s="72" t="str">
        <f t="array" ref="I303">XLOOKUP(C303,'Master Data'!C:C,'Master Data'!H:H)</f>
        <v/>
      </c>
      <c r="J303" s="72" t="str">
        <f t="array" ref="J303">XLOOKUP(C303,'Master Data'!C:C,'Master Data'!I:I)</f>
        <v/>
      </c>
      <c r="K303" s="72" t="str">
        <f t="array" ref="K303">XLOOKUP(C303,'Master Data'!C:C,'Master Data'!J:J)</f>
        <v/>
      </c>
      <c r="L303" s="74" t="str">
        <f t="array" ref="L303">XLOOKUP(C:C,TSR_Completion!C:C,TSR_Completion!M:M)</f>
        <v/>
      </c>
      <c r="M303" s="4"/>
      <c r="N303" s="4"/>
      <c r="O303" s="4"/>
      <c r="P303" s="4"/>
      <c r="Q303" s="4"/>
      <c r="R303" s="4"/>
      <c r="S303" s="4"/>
      <c r="T303" s="4"/>
      <c r="U303" s="4"/>
      <c r="V303" s="4"/>
      <c r="W303" s="4"/>
      <c r="X303" s="4"/>
      <c r="Y303" s="4"/>
    </row>
    <row r="304">
      <c r="A304" s="6"/>
      <c r="B304" s="6" t="s">
        <v>158</v>
      </c>
      <c r="C304" s="71" t="s">
        <v>12</v>
      </c>
      <c r="D304" s="72" t="str">
        <f t="array" ref="D304">XLOOKUP(C304,'Master Data'!C:C,'Master Data'!D:D)</f>
        <v/>
      </c>
      <c r="E304" s="73"/>
      <c r="F304" s="72" t="str">
        <f t="array" ref="F304">XLOOKUP(C304,'Master Data'!C:C,'Master Data'!E:E)</f>
        <v/>
      </c>
      <c r="G304" s="72" t="str">
        <f t="array" ref="G304">XLOOKUP(C304,'Master Data'!C:C,'Master Data'!F:F)</f>
        <v/>
      </c>
      <c r="H304" s="72" t="str">
        <f t="array" ref="H304">XLOOKUP(C304,'Master Data'!C:C,'Master Data'!G:G)</f>
        <v/>
      </c>
      <c r="I304" s="72" t="str">
        <f t="array" ref="I304">XLOOKUP(C304,'Master Data'!C:C,'Master Data'!H:H)</f>
        <v/>
      </c>
      <c r="J304" s="72" t="str">
        <f t="array" ref="J304">XLOOKUP(C304,'Master Data'!C:C,'Master Data'!I:I)</f>
        <v/>
      </c>
      <c r="K304" s="72" t="str">
        <f t="array" ref="K304">XLOOKUP(C304,'Master Data'!C:C,'Master Data'!J:J)</f>
        <v/>
      </c>
      <c r="L304" s="74" t="str">
        <f t="array" ref="L304">XLOOKUP(C:C,TSR_Completion!C:C,TSR_Completion!M:M)</f>
        <v/>
      </c>
      <c r="M304" s="4"/>
      <c r="N304" s="4"/>
      <c r="O304" s="4"/>
      <c r="P304" s="4"/>
      <c r="Q304" s="4"/>
      <c r="R304" s="4"/>
      <c r="S304" s="4"/>
      <c r="T304" s="4"/>
      <c r="U304" s="4"/>
      <c r="V304" s="4"/>
      <c r="W304" s="4"/>
      <c r="X304" s="4"/>
      <c r="Y304" s="4"/>
    </row>
    <row r="305">
      <c r="A305" s="6"/>
      <c r="B305" s="6" t="s">
        <v>158</v>
      </c>
      <c r="C305" s="71" t="s">
        <v>12</v>
      </c>
      <c r="D305" s="72" t="str">
        <f t="array" ref="D305">XLOOKUP(C305,'Master Data'!C:C,'Master Data'!D:D)</f>
        <v/>
      </c>
      <c r="E305" s="73"/>
      <c r="F305" s="72" t="str">
        <f t="array" ref="F305">XLOOKUP(C305,'Master Data'!C:C,'Master Data'!E:E)</f>
        <v/>
      </c>
      <c r="G305" s="72" t="str">
        <f t="array" ref="G305">XLOOKUP(C305,'Master Data'!C:C,'Master Data'!F:F)</f>
        <v/>
      </c>
      <c r="H305" s="72" t="str">
        <f t="array" ref="H305">XLOOKUP(C305,'Master Data'!C:C,'Master Data'!G:G)</f>
        <v/>
      </c>
      <c r="I305" s="72" t="str">
        <f t="array" ref="I305">XLOOKUP(C305,'Master Data'!C:C,'Master Data'!H:H)</f>
        <v/>
      </c>
      <c r="J305" s="72" t="str">
        <f t="array" ref="J305">XLOOKUP(C305,'Master Data'!C:C,'Master Data'!I:I)</f>
        <v/>
      </c>
      <c r="K305" s="72" t="str">
        <f t="array" ref="K305">XLOOKUP(C305,'Master Data'!C:C,'Master Data'!J:J)</f>
        <v/>
      </c>
      <c r="L305" s="74" t="str">
        <f t="array" ref="L305">XLOOKUP(C:C,TSR_Completion!C:C,TSR_Completion!M:M)</f>
        <v/>
      </c>
      <c r="M305" s="4"/>
      <c r="N305" s="4"/>
      <c r="O305" s="4"/>
      <c r="P305" s="4"/>
      <c r="Q305" s="4"/>
      <c r="R305" s="4"/>
      <c r="S305" s="4"/>
      <c r="T305" s="4"/>
      <c r="U305" s="4"/>
      <c r="V305" s="4"/>
      <c r="W305" s="4"/>
      <c r="X305" s="4"/>
      <c r="Y305" s="4"/>
    </row>
    <row r="306">
      <c r="A306" s="6"/>
      <c r="B306" s="6" t="s">
        <v>158</v>
      </c>
      <c r="C306" s="71" t="s">
        <v>12</v>
      </c>
      <c r="D306" s="72" t="str">
        <f t="array" ref="D306">XLOOKUP(C306,'Master Data'!C:C,'Master Data'!D:D)</f>
        <v/>
      </c>
      <c r="E306" s="73"/>
      <c r="F306" s="72" t="str">
        <f t="array" ref="F306">XLOOKUP(C306,'Master Data'!C:C,'Master Data'!E:E)</f>
        <v/>
      </c>
      <c r="G306" s="72" t="str">
        <f t="array" ref="G306">XLOOKUP(C306,'Master Data'!C:C,'Master Data'!F:F)</f>
        <v/>
      </c>
      <c r="H306" s="72" t="str">
        <f t="array" ref="H306">XLOOKUP(C306,'Master Data'!C:C,'Master Data'!G:G)</f>
        <v/>
      </c>
      <c r="I306" s="72" t="str">
        <f t="array" ref="I306">XLOOKUP(C306,'Master Data'!C:C,'Master Data'!H:H)</f>
        <v/>
      </c>
      <c r="J306" s="72" t="str">
        <f t="array" ref="J306">XLOOKUP(C306,'Master Data'!C:C,'Master Data'!I:I)</f>
        <v/>
      </c>
      <c r="K306" s="72" t="str">
        <f t="array" ref="K306">XLOOKUP(C306,'Master Data'!C:C,'Master Data'!J:J)</f>
        <v/>
      </c>
      <c r="L306" s="74" t="str">
        <f t="array" ref="L306">XLOOKUP(C:C,TSR_Completion!C:C,TSR_Completion!M:M)</f>
        <v/>
      </c>
      <c r="M306" s="4"/>
      <c r="N306" s="4"/>
      <c r="O306" s="4"/>
      <c r="P306" s="4"/>
      <c r="Q306" s="4"/>
      <c r="R306" s="4"/>
      <c r="S306" s="4"/>
      <c r="T306" s="4"/>
      <c r="U306" s="4"/>
      <c r="V306" s="4"/>
      <c r="W306" s="4"/>
      <c r="X306" s="4"/>
      <c r="Y306" s="4"/>
    </row>
    <row r="307">
      <c r="A307" s="6"/>
      <c r="B307" s="6" t="s">
        <v>158</v>
      </c>
      <c r="C307" s="71" t="s">
        <v>12</v>
      </c>
      <c r="D307" s="72" t="str">
        <f t="array" ref="D307">XLOOKUP(C307,'Master Data'!C:C,'Master Data'!D:D)</f>
        <v/>
      </c>
      <c r="E307" s="73"/>
      <c r="F307" s="72" t="str">
        <f t="array" ref="F307">XLOOKUP(C307,'Master Data'!C:C,'Master Data'!E:E)</f>
        <v/>
      </c>
      <c r="G307" s="72" t="str">
        <f t="array" ref="G307">XLOOKUP(C307,'Master Data'!C:C,'Master Data'!F:F)</f>
        <v/>
      </c>
      <c r="H307" s="72" t="str">
        <f t="array" ref="H307">XLOOKUP(C307,'Master Data'!C:C,'Master Data'!G:G)</f>
        <v/>
      </c>
      <c r="I307" s="72" t="str">
        <f t="array" ref="I307">XLOOKUP(C307,'Master Data'!C:C,'Master Data'!H:H)</f>
        <v/>
      </c>
      <c r="J307" s="72" t="str">
        <f t="array" ref="J307">XLOOKUP(C307,'Master Data'!C:C,'Master Data'!I:I)</f>
        <v/>
      </c>
      <c r="K307" s="72" t="str">
        <f t="array" ref="K307">XLOOKUP(C307,'Master Data'!C:C,'Master Data'!J:J)</f>
        <v/>
      </c>
      <c r="L307" s="74" t="str">
        <f t="array" ref="L307">XLOOKUP(C:C,TSR_Completion!C:C,TSR_Completion!M:M)</f>
        <v/>
      </c>
      <c r="M307" s="4"/>
      <c r="N307" s="4"/>
      <c r="O307" s="4"/>
      <c r="P307" s="4"/>
      <c r="Q307" s="4"/>
      <c r="R307" s="4"/>
      <c r="S307" s="4"/>
      <c r="T307" s="4"/>
      <c r="U307" s="4"/>
      <c r="V307" s="4"/>
      <c r="W307" s="4"/>
      <c r="X307" s="4"/>
      <c r="Y307" s="4"/>
    </row>
    <row r="308">
      <c r="A308" s="6"/>
      <c r="B308" s="6" t="s">
        <v>158</v>
      </c>
      <c r="C308" s="71" t="s">
        <v>12</v>
      </c>
      <c r="D308" s="72" t="str">
        <f t="array" ref="D308">XLOOKUP(C308,'Master Data'!C:C,'Master Data'!D:D)</f>
        <v/>
      </c>
      <c r="E308" s="73"/>
      <c r="F308" s="72" t="str">
        <f t="array" ref="F308">XLOOKUP(C308,'Master Data'!C:C,'Master Data'!E:E)</f>
        <v/>
      </c>
      <c r="G308" s="72" t="str">
        <f t="array" ref="G308">XLOOKUP(C308,'Master Data'!C:C,'Master Data'!F:F)</f>
        <v/>
      </c>
      <c r="H308" s="72" t="str">
        <f t="array" ref="H308">XLOOKUP(C308,'Master Data'!C:C,'Master Data'!G:G)</f>
        <v/>
      </c>
      <c r="I308" s="72" t="str">
        <f t="array" ref="I308">XLOOKUP(C308,'Master Data'!C:C,'Master Data'!H:H)</f>
        <v/>
      </c>
      <c r="J308" s="72" t="str">
        <f t="array" ref="J308">XLOOKUP(C308,'Master Data'!C:C,'Master Data'!I:I)</f>
        <v/>
      </c>
      <c r="K308" s="72" t="str">
        <f t="array" ref="K308">XLOOKUP(C308,'Master Data'!C:C,'Master Data'!J:J)</f>
        <v/>
      </c>
      <c r="L308" s="74" t="str">
        <f t="array" ref="L308">XLOOKUP(C:C,TSR_Completion!C:C,TSR_Completion!M:M)</f>
        <v/>
      </c>
      <c r="M308" s="4"/>
      <c r="N308" s="4"/>
      <c r="O308" s="4"/>
      <c r="P308" s="4"/>
      <c r="Q308" s="4"/>
      <c r="R308" s="4"/>
      <c r="S308" s="4"/>
      <c r="T308" s="4"/>
      <c r="U308" s="4"/>
      <c r="V308" s="4"/>
      <c r="W308" s="4"/>
      <c r="X308" s="4"/>
      <c r="Y308" s="4"/>
    </row>
    <row r="309">
      <c r="A309" s="6"/>
      <c r="B309" s="6" t="s">
        <v>158</v>
      </c>
      <c r="C309" s="71" t="s">
        <v>12</v>
      </c>
      <c r="D309" s="72" t="str">
        <f t="array" ref="D309">XLOOKUP(C309,'Master Data'!C:C,'Master Data'!D:D)</f>
        <v/>
      </c>
      <c r="E309" s="73"/>
      <c r="F309" s="72" t="str">
        <f t="array" ref="F309">XLOOKUP(C309,'Master Data'!C:C,'Master Data'!E:E)</f>
        <v/>
      </c>
      <c r="G309" s="72" t="str">
        <f t="array" ref="G309">XLOOKUP(C309,'Master Data'!C:C,'Master Data'!F:F)</f>
        <v/>
      </c>
      <c r="H309" s="72" t="str">
        <f t="array" ref="H309">XLOOKUP(C309,'Master Data'!C:C,'Master Data'!G:G)</f>
        <v/>
      </c>
      <c r="I309" s="72" t="str">
        <f t="array" ref="I309">XLOOKUP(C309,'Master Data'!C:C,'Master Data'!H:H)</f>
        <v/>
      </c>
      <c r="J309" s="72" t="str">
        <f t="array" ref="J309">XLOOKUP(C309,'Master Data'!C:C,'Master Data'!I:I)</f>
        <v/>
      </c>
      <c r="K309" s="72" t="str">
        <f t="array" ref="K309">XLOOKUP(C309,'Master Data'!C:C,'Master Data'!J:J)</f>
        <v/>
      </c>
      <c r="L309" s="74" t="str">
        <f t="array" ref="L309">XLOOKUP(C:C,TSR_Completion!C:C,TSR_Completion!M:M)</f>
        <v/>
      </c>
      <c r="M309" s="4"/>
      <c r="N309" s="4"/>
      <c r="O309" s="4"/>
      <c r="P309" s="4"/>
      <c r="Q309" s="4"/>
      <c r="R309" s="4"/>
      <c r="S309" s="4"/>
      <c r="T309" s="4"/>
      <c r="U309" s="4"/>
      <c r="V309" s="4"/>
      <c r="W309" s="4"/>
      <c r="X309" s="4"/>
      <c r="Y309" s="4"/>
    </row>
    <row r="310">
      <c r="A310" s="6"/>
      <c r="B310" s="6" t="s">
        <v>158</v>
      </c>
      <c r="C310" s="71" t="s">
        <v>12</v>
      </c>
      <c r="D310" s="72" t="str">
        <f t="array" ref="D310">XLOOKUP(C310,'Master Data'!C:C,'Master Data'!D:D)</f>
        <v/>
      </c>
      <c r="E310" s="73"/>
      <c r="F310" s="72" t="str">
        <f t="array" ref="F310">XLOOKUP(C310,'Master Data'!C:C,'Master Data'!E:E)</f>
        <v/>
      </c>
      <c r="G310" s="72" t="str">
        <f t="array" ref="G310">XLOOKUP(C310,'Master Data'!C:C,'Master Data'!F:F)</f>
        <v/>
      </c>
      <c r="H310" s="72" t="str">
        <f t="array" ref="H310">XLOOKUP(C310,'Master Data'!C:C,'Master Data'!G:G)</f>
        <v/>
      </c>
      <c r="I310" s="72" t="str">
        <f t="array" ref="I310">XLOOKUP(C310,'Master Data'!C:C,'Master Data'!H:H)</f>
        <v/>
      </c>
      <c r="J310" s="72" t="str">
        <f t="array" ref="J310">XLOOKUP(C310,'Master Data'!C:C,'Master Data'!I:I)</f>
        <v/>
      </c>
      <c r="K310" s="72" t="str">
        <f t="array" ref="K310">XLOOKUP(C310,'Master Data'!C:C,'Master Data'!J:J)</f>
        <v/>
      </c>
      <c r="L310" s="74" t="str">
        <f t="array" ref="L310">XLOOKUP(C:C,TSR_Completion!C:C,TSR_Completion!M:M)</f>
        <v/>
      </c>
      <c r="M310" s="4"/>
      <c r="N310" s="4"/>
      <c r="O310" s="4"/>
      <c r="P310" s="4"/>
      <c r="Q310" s="4"/>
      <c r="R310" s="4"/>
      <c r="S310" s="4"/>
      <c r="T310" s="4"/>
      <c r="U310" s="4"/>
      <c r="V310" s="4"/>
      <c r="W310" s="4"/>
      <c r="X310" s="4"/>
      <c r="Y310" s="4"/>
    </row>
    <row r="311">
      <c r="A311" s="6"/>
      <c r="B311" s="6" t="s">
        <v>158</v>
      </c>
      <c r="C311" s="71" t="s">
        <v>12</v>
      </c>
      <c r="D311" s="72" t="str">
        <f t="array" ref="D311">XLOOKUP(C311,'Master Data'!C:C,'Master Data'!D:D)</f>
        <v/>
      </c>
      <c r="E311" s="73"/>
      <c r="F311" s="72" t="str">
        <f t="array" ref="F311">XLOOKUP(C311,'Master Data'!C:C,'Master Data'!E:E)</f>
        <v/>
      </c>
      <c r="G311" s="72" t="str">
        <f t="array" ref="G311">XLOOKUP(C311,'Master Data'!C:C,'Master Data'!F:F)</f>
        <v/>
      </c>
      <c r="H311" s="72" t="str">
        <f t="array" ref="H311">XLOOKUP(C311,'Master Data'!C:C,'Master Data'!G:G)</f>
        <v/>
      </c>
      <c r="I311" s="72" t="str">
        <f t="array" ref="I311">XLOOKUP(C311,'Master Data'!C:C,'Master Data'!H:H)</f>
        <v/>
      </c>
      <c r="J311" s="72" t="str">
        <f t="array" ref="J311">XLOOKUP(C311,'Master Data'!C:C,'Master Data'!I:I)</f>
        <v/>
      </c>
      <c r="K311" s="72" t="str">
        <f t="array" ref="K311">XLOOKUP(C311,'Master Data'!C:C,'Master Data'!J:J)</f>
        <v/>
      </c>
      <c r="L311" s="74" t="str">
        <f t="array" ref="L311">XLOOKUP(C:C,TSR_Completion!C:C,TSR_Completion!M:M)</f>
        <v/>
      </c>
      <c r="M311" s="4"/>
      <c r="N311" s="4"/>
      <c r="O311" s="4"/>
      <c r="P311" s="4"/>
      <c r="Q311" s="4"/>
      <c r="R311" s="4"/>
      <c r="S311" s="4"/>
      <c r="T311" s="4"/>
      <c r="U311" s="4"/>
      <c r="V311" s="4"/>
      <c r="W311" s="4"/>
      <c r="X311" s="4"/>
      <c r="Y311" s="4"/>
    </row>
    <row r="312">
      <c r="A312" s="6"/>
      <c r="B312" s="6" t="s">
        <v>158</v>
      </c>
      <c r="C312" s="71" t="s">
        <v>12</v>
      </c>
      <c r="D312" s="72" t="str">
        <f t="array" ref="D312">XLOOKUP(C312,'Master Data'!C:C,'Master Data'!D:D)</f>
        <v/>
      </c>
      <c r="E312" s="73"/>
      <c r="F312" s="72" t="str">
        <f t="array" ref="F312">XLOOKUP(C312,'Master Data'!C:C,'Master Data'!E:E)</f>
        <v/>
      </c>
      <c r="G312" s="72" t="str">
        <f t="array" ref="G312">XLOOKUP(C312,'Master Data'!C:C,'Master Data'!F:F)</f>
        <v/>
      </c>
      <c r="H312" s="72" t="str">
        <f t="array" ref="H312">XLOOKUP(C312,'Master Data'!C:C,'Master Data'!G:G)</f>
        <v/>
      </c>
      <c r="I312" s="72" t="str">
        <f t="array" ref="I312">XLOOKUP(C312,'Master Data'!C:C,'Master Data'!H:H)</f>
        <v/>
      </c>
      <c r="J312" s="72" t="str">
        <f t="array" ref="J312">XLOOKUP(C312,'Master Data'!C:C,'Master Data'!I:I)</f>
        <v/>
      </c>
      <c r="K312" s="72" t="str">
        <f t="array" ref="K312">XLOOKUP(C312,'Master Data'!C:C,'Master Data'!J:J)</f>
        <v/>
      </c>
      <c r="L312" s="74" t="str">
        <f t="array" ref="L312">XLOOKUP(C:C,TSR_Completion!C:C,TSR_Completion!M:M)</f>
        <v/>
      </c>
      <c r="M312" s="4"/>
      <c r="N312" s="4"/>
      <c r="O312" s="4"/>
      <c r="P312" s="4"/>
      <c r="Q312" s="4"/>
      <c r="R312" s="4"/>
      <c r="S312" s="4"/>
      <c r="T312" s="4"/>
      <c r="U312" s="4"/>
      <c r="V312" s="4"/>
      <c r="W312" s="4"/>
      <c r="X312" s="4"/>
      <c r="Y312" s="4"/>
    </row>
    <row r="313">
      <c r="A313" s="6"/>
      <c r="B313" s="6" t="s">
        <v>158</v>
      </c>
      <c r="C313" s="71" t="s">
        <v>12</v>
      </c>
      <c r="D313" s="72" t="str">
        <f t="array" ref="D313">XLOOKUP(C313,'Master Data'!C:C,'Master Data'!D:D)</f>
        <v/>
      </c>
      <c r="E313" s="73"/>
      <c r="F313" s="72" t="str">
        <f t="array" ref="F313">XLOOKUP(C313,'Master Data'!C:C,'Master Data'!E:E)</f>
        <v/>
      </c>
      <c r="G313" s="72" t="str">
        <f t="array" ref="G313">XLOOKUP(C313,'Master Data'!C:C,'Master Data'!F:F)</f>
        <v/>
      </c>
      <c r="H313" s="72" t="str">
        <f t="array" ref="H313">XLOOKUP(C313,'Master Data'!C:C,'Master Data'!G:G)</f>
        <v/>
      </c>
      <c r="I313" s="72" t="str">
        <f t="array" ref="I313">XLOOKUP(C313,'Master Data'!C:C,'Master Data'!H:H)</f>
        <v/>
      </c>
      <c r="J313" s="72" t="str">
        <f t="array" ref="J313">XLOOKUP(C313,'Master Data'!C:C,'Master Data'!I:I)</f>
        <v/>
      </c>
      <c r="K313" s="72" t="str">
        <f t="array" ref="K313">XLOOKUP(C313,'Master Data'!C:C,'Master Data'!J:J)</f>
        <v/>
      </c>
      <c r="L313" s="74" t="str">
        <f t="array" ref="L313">XLOOKUP(C:C,TSR_Completion!C:C,TSR_Completion!M:M)</f>
        <v/>
      </c>
      <c r="M313" s="4"/>
      <c r="N313" s="4"/>
      <c r="O313" s="4"/>
      <c r="P313" s="4"/>
      <c r="Q313" s="4"/>
      <c r="R313" s="4"/>
      <c r="S313" s="4"/>
      <c r="T313" s="4"/>
      <c r="U313" s="4"/>
      <c r="V313" s="4"/>
      <c r="W313" s="4"/>
      <c r="X313" s="4"/>
      <c r="Y313" s="4"/>
    </row>
    <row r="314">
      <c r="A314" s="6"/>
      <c r="B314" s="6" t="s">
        <v>158</v>
      </c>
      <c r="C314" s="71" t="s">
        <v>12</v>
      </c>
      <c r="D314" s="72" t="str">
        <f t="array" ref="D314">XLOOKUP(C314,'Master Data'!C:C,'Master Data'!D:D)</f>
        <v/>
      </c>
      <c r="E314" s="73"/>
      <c r="F314" s="72" t="str">
        <f t="array" ref="F314">XLOOKUP(C314,'Master Data'!C:C,'Master Data'!E:E)</f>
        <v/>
      </c>
      <c r="G314" s="72" t="str">
        <f t="array" ref="G314">XLOOKUP(C314,'Master Data'!C:C,'Master Data'!F:F)</f>
        <v/>
      </c>
      <c r="H314" s="72" t="str">
        <f t="array" ref="H314">XLOOKUP(C314,'Master Data'!C:C,'Master Data'!G:G)</f>
        <v/>
      </c>
      <c r="I314" s="72" t="str">
        <f t="array" ref="I314">XLOOKUP(C314,'Master Data'!C:C,'Master Data'!H:H)</f>
        <v/>
      </c>
      <c r="J314" s="72" t="str">
        <f t="array" ref="J314">XLOOKUP(C314,'Master Data'!C:C,'Master Data'!I:I)</f>
        <v/>
      </c>
      <c r="K314" s="72" t="str">
        <f t="array" ref="K314">XLOOKUP(C314,'Master Data'!C:C,'Master Data'!J:J)</f>
        <v/>
      </c>
      <c r="L314" s="74" t="str">
        <f t="array" ref="L314">XLOOKUP(C:C,TSR_Completion!C:C,TSR_Completion!M:M)</f>
        <v/>
      </c>
      <c r="M314" s="4"/>
      <c r="N314" s="4"/>
      <c r="O314" s="4"/>
      <c r="P314" s="4"/>
      <c r="Q314" s="4"/>
      <c r="R314" s="4"/>
      <c r="S314" s="4"/>
      <c r="T314" s="4"/>
      <c r="U314" s="4"/>
      <c r="V314" s="4"/>
      <c r="W314" s="4"/>
      <c r="X314" s="4"/>
      <c r="Y314" s="4"/>
    </row>
    <row r="315">
      <c r="A315" s="6"/>
      <c r="B315" s="6" t="s">
        <v>158</v>
      </c>
      <c r="C315" s="71" t="s">
        <v>12</v>
      </c>
      <c r="D315" s="72" t="str">
        <f t="array" ref="D315">XLOOKUP(C315,'Master Data'!C:C,'Master Data'!D:D)</f>
        <v/>
      </c>
      <c r="E315" s="73"/>
      <c r="F315" s="72" t="str">
        <f t="array" ref="F315">XLOOKUP(C315,'Master Data'!C:C,'Master Data'!E:E)</f>
        <v/>
      </c>
      <c r="G315" s="72" t="str">
        <f t="array" ref="G315">XLOOKUP(C315,'Master Data'!C:C,'Master Data'!F:F)</f>
        <v/>
      </c>
      <c r="H315" s="72" t="str">
        <f t="array" ref="H315">XLOOKUP(C315,'Master Data'!C:C,'Master Data'!G:G)</f>
        <v/>
      </c>
      <c r="I315" s="72" t="str">
        <f t="array" ref="I315">XLOOKUP(C315,'Master Data'!C:C,'Master Data'!H:H)</f>
        <v/>
      </c>
      <c r="J315" s="72" t="str">
        <f t="array" ref="J315">XLOOKUP(C315,'Master Data'!C:C,'Master Data'!I:I)</f>
        <v/>
      </c>
      <c r="K315" s="72" t="str">
        <f t="array" ref="K315">XLOOKUP(C315,'Master Data'!C:C,'Master Data'!J:J)</f>
        <v/>
      </c>
      <c r="L315" s="74" t="str">
        <f t="array" ref="L315">XLOOKUP(C:C,TSR_Completion!C:C,TSR_Completion!M:M)</f>
        <v/>
      </c>
      <c r="M315" s="4"/>
      <c r="N315" s="4"/>
      <c r="O315" s="4"/>
      <c r="P315" s="4"/>
      <c r="Q315" s="4"/>
      <c r="R315" s="4"/>
      <c r="S315" s="4"/>
      <c r="T315" s="4"/>
      <c r="U315" s="4"/>
      <c r="V315" s="4"/>
      <c r="W315" s="4"/>
      <c r="X315" s="4"/>
      <c r="Y315" s="4"/>
    </row>
    <row r="316">
      <c r="A316" s="6"/>
      <c r="B316" s="6" t="s">
        <v>158</v>
      </c>
      <c r="C316" s="71" t="s">
        <v>12</v>
      </c>
      <c r="D316" s="72" t="str">
        <f t="array" ref="D316">XLOOKUP(C316,'Master Data'!C:C,'Master Data'!D:D)</f>
        <v/>
      </c>
      <c r="E316" s="73"/>
      <c r="F316" s="72" t="str">
        <f t="array" ref="F316">XLOOKUP(C316,'Master Data'!C:C,'Master Data'!E:E)</f>
        <v/>
      </c>
      <c r="G316" s="72" t="str">
        <f t="array" ref="G316">XLOOKUP(C316,'Master Data'!C:C,'Master Data'!F:F)</f>
        <v/>
      </c>
      <c r="H316" s="72" t="str">
        <f t="array" ref="H316">XLOOKUP(C316,'Master Data'!C:C,'Master Data'!G:G)</f>
        <v/>
      </c>
      <c r="I316" s="72" t="str">
        <f t="array" ref="I316">XLOOKUP(C316,'Master Data'!C:C,'Master Data'!H:H)</f>
        <v/>
      </c>
      <c r="J316" s="72" t="str">
        <f t="array" ref="J316">XLOOKUP(C316,'Master Data'!C:C,'Master Data'!I:I)</f>
        <v/>
      </c>
      <c r="K316" s="72" t="str">
        <f t="array" ref="K316">XLOOKUP(C316,'Master Data'!C:C,'Master Data'!J:J)</f>
        <v/>
      </c>
      <c r="L316" s="74" t="str">
        <f t="array" ref="L316">XLOOKUP(C:C,TSR_Completion!C:C,TSR_Completion!M:M)</f>
        <v/>
      </c>
      <c r="M316" s="4"/>
      <c r="N316" s="4"/>
      <c r="O316" s="4"/>
      <c r="P316" s="4"/>
      <c r="Q316" s="4"/>
      <c r="R316" s="4"/>
      <c r="S316" s="4"/>
      <c r="T316" s="4"/>
      <c r="U316" s="4"/>
      <c r="V316" s="4"/>
      <c r="W316" s="4"/>
      <c r="X316" s="4"/>
      <c r="Y316" s="4"/>
    </row>
    <row r="317">
      <c r="A317" s="6"/>
      <c r="B317" s="6" t="s">
        <v>158</v>
      </c>
      <c r="C317" s="71" t="s">
        <v>12</v>
      </c>
      <c r="D317" s="72" t="str">
        <f t="array" ref="D317">XLOOKUP(C317,'Master Data'!C:C,'Master Data'!D:D)</f>
        <v/>
      </c>
      <c r="E317" s="73"/>
      <c r="F317" s="72" t="str">
        <f t="array" ref="F317">XLOOKUP(C317,'Master Data'!C:C,'Master Data'!E:E)</f>
        <v/>
      </c>
      <c r="G317" s="72" t="str">
        <f t="array" ref="G317">XLOOKUP(C317,'Master Data'!C:C,'Master Data'!F:F)</f>
        <v/>
      </c>
      <c r="H317" s="72" t="str">
        <f t="array" ref="H317">XLOOKUP(C317,'Master Data'!C:C,'Master Data'!G:G)</f>
        <v/>
      </c>
      <c r="I317" s="72" t="str">
        <f t="array" ref="I317">XLOOKUP(C317,'Master Data'!C:C,'Master Data'!H:H)</f>
        <v/>
      </c>
      <c r="J317" s="72" t="str">
        <f t="array" ref="J317">XLOOKUP(C317,'Master Data'!C:C,'Master Data'!I:I)</f>
        <v/>
      </c>
      <c r="K317" s="72" t="str">
        <f t="array" ref="K317">XLOOKUP(C317,'Master Data'!C:C,'Master Data'!J:J)</f>
        <v/>
      </c>
      <c r="L317" s="74" t="str">
        <f t="array" ref="L317">XLOOKUP(C:C,TSR_Completion!C:C,TSR_Completion!M:M)</f>
        <v/>
      </c>
      <c r="M317" s="4"/>
      <c r="N317" s="4"/>
      <c r="O317" s="4"/>
      <c r="P317" s="4"/>
      <c r="Q317" s="4"/>
      <c r="R317" s="4"/>
      <c r="S317" s="4"/>
      <c r="T317" s="4"/>
      <c r="U317" s="4"/>
      <c r="V317" s="4"/>
      <c r="W317" s="4"/>
      <c r="X317" s="4"/>
      <c r="Y317" s="4"/>
    </row>
    <row r="318">
      <c r="A318" s="6"/>
      <c r="B318" s="6" t="s">
        <v>158</v>
      </c>
      <c r="C318" s="71" t="s">
        <v>12</v>
      </c>
      <c r="D318" s="72" t="str">
        <f t="array" ref="D318">XLOOKUP(C318,'Master Data'!C:C,'Master Data'!D:D)</f>
        <v/>
      </c>
      <c r="E318" s="73"/>
      <c r="F318" s="72" t="str">
        <f t="array" ref="F318">XLOOKUP(C318,'Master Data'!C:C,'Master Data'!E:E)</f>
        <v/>
      </c>
      <c r="G318" s="72" t="str">
        <f t="array" ref="G318">XLOOKUP(C318,'Master Data'!C:C,'Master Data'!F:F)</f>
        <v/>
      </c>
      <c r="H318" s="72" t="str">
        <f t="array" ref="H318">XLOOKUP(C318,'Master Data'!C:C,'Master Data'!G:G)</f>
        <v/>
      </c>
      <c r="I318" s="72" t="str">
        <f t="array" ref="I318">XLOOKUP(C318,'Master Data'!C:C,'Master Data'!H:H)</f>
        <v/>
      </c>
      <c r="J318" s="72" t="str">
        <f t="array" ref="J318">XLOOKUP(C318,'Master Data'!C:C,'Master Data'!I:I)</f>
        <v/>
      </c>
      <c r="K318" s="72" t="str">
        <f t="array" ref="K318">XLOOKUP(C318,'Master Data'!C:C,'Master Data'!J:J)</f>
        <v/>
      </c>
      <c r="L318" s="74" t="str">
        <f t="array" ref="L318">XLOOKUP(C:C,TSR_Completion!C:C,TSR_Completion!M:M)</f>
        <v/>
      </c>
      <c r="M318" s="4"/>
      <c r="N318" s="4"/>
      <c r="O318" s="4"/>
      <c r="P318" s="4"/>
      <c r="Q318" s="4"/>
      <c r="R318" s="4"/>
      <c r="S318" s="4"/>
      <c r="T318" s="4"/>
      <c r="U318" s="4"/>
      <c r="V318" s="4"/>
      <c r="W318" s="4"/>
      <c r="X318" s="4"/>
      <c r="Y318" s="4"/>
    </row>
    <row r="319">
      <c r="A319" s="6"/>
      <c r="B319" s="6" t="s">
        <v>158</v>
      </c>
      <c r="C319" s="71" t="s">
        <v>12</v>
      </c>
      <c r="D319" s="72" t="str">
        <f t="array" ref="D319">XLOOKUP(C319,'Master Data'!C:C,'Master Data'!D:D)</f>
        <v/>
      </c>
      <c r="E319" s="73"/>
      <c r="F319" s="72" t="str">
        <f t="array" ref="F319">XLOOKUP(C319,'Master Data'!C:C,'Master Data'!E:E)</f>
        <v/>
      </c>
      <c r="G319" s="72" t="str">
        <f t="array" ref="G319">XLOOKUP(C319,'Master Data'!C:C,'Master Data'!F:F)</f>
        <v/>
      </c>
      <c r="H319" s="72" t="str">
        <f t="array" ref="H319">XLOOKUP(C319,'Master Data'!C:C,'Master Data'!G:G)</f>
        <v/>
      </c>
      <c r="I319" s="72" t="str">
        <f t="array" ref="I319">XLOOKUP(C319,'Master Data'!C:C,'Master Data'!H:H)</f>
        <v/>
      </c>
      <c r="J319" s="72" t="str">
        <f t="array" ref="J319">XLOOKUP(C319,'Master Data'!C:C,'Master Data'!I:I)</f>
        <v/>
      </c>
      <c r="K319" s="72" t="str">
        <f t="array" ref="K319">XLOOKUP(C319,'Master Data'!C:C,'Master Data'!J:J)</f>
        <v/>
      </c>
      <c r="L319" s="74" t="str">
        <f t="array" ref="L319">XLOOKUP(C:C,TSR_Completion!C:C,TSR_Completion!M:M)</f>
        <v/>
      </c>
      <c r="M319" s="4"/>
      <c r="N319" s="4"/>
      <c r="O319" s="4"/>
      <c r="P319" s="4"/>
      <c r="Q319" s="4"/>
      <c r="R319" s="4"/>
      <c r="S319" s="4"/>
      <c r="T319" s="4"/>
      <c r="U319" s="4"/>
      <c r="V319" s="4"/>
      <c r="W319" s="4"/>
      <c r="X319" s="4"/>
      <c r="Y319" s="4"/>
    </row>
    <row r="320">
      <c r="A320" s="6"/>
      <c r="B320" s="6" t="s">
        <v>158</v>
      </c>
      <c r="C320" s="71" t="s">
        <v>12</v>
      </c>
      <c r="D320" s="72" t="str">
        <f t="array" ref="D320">XLOOKUP(C320,'Master Data'!C:C,'Master Data'!D:D)</f>
        <v/>
      </c>
      <c r="E320" s="73"/>
      <c r="F320" s="72" t="str">
        <f t="array" ref="F320">XLOOKUP(C320,'Master Data'!C:C,'Master Data'!E:E)</f>
        <v/>
      </c>
      <c r="G320" s="72" t="str">
        <f t="array" ref="G320">XLOOKUP(C320,'Master Data'!C:C,'Master Data'!F:F)</f>
        <v/>
      </c>
      <c r="H320" s="72" t="str">
        <f t="array" ref="H320">XLOOKUP(C320,'Master Data'!C:C,'Master Data'!G:G)</f>
        <v/>
      </c>
      <c r="I320" s="72" t="str">
        <f t="array" ref="I320">XLOOKUP(C320,'Master Data'!C:C,'Master Data'!H:H)</f>
        <v/>
      </c>
      <c r="J320" s="72" t="str">
        <f t="array" ref="J320">XLOOKUP(C320,'Master Data'!C:C,'Master Data'!I:I)</f>
        <v/>
      </c>
      <c r="K320" s="72" t="str">
        <f t="array" ref="K320">XLOOKUP(C320,'Master Data'!C:C,'Master Data'!J:J)</f>
        <v/>
      </c>
      <c r="L320" s="74" t="str">
        <f t="array" ref="L320">XLOOKUP(C:C,TSR_Completion!C:C,TSR_Completion!M:M)</f>
        <v/>
      </c>
      <c r="M320" s="4"/>
      <c r="N320" s="4"/>
      <c r="O320" s="4"/>
      <c r="P320" s="4"/>
      <c r="Q320" s="4"/>
      <c r="R320" s="4"/>
      <c r="S320" s="4"/>
      <c r="T320" s="4"/>
      <c r="U320" s="4"/>
      <c r="V320" s="4"/>
      <c r="W320" s="4"/>
      <c r="X320" s="4"/>
      <c r="Y320" s="4"/>
    </row>
    <row r="321">
      <c r="A321" s="6"/>
      <c r="B321" s="6" t="s">
        <v>158</v>
      </c>
      <c r="C321" s="71" t="s">
        <v>12</v>
      </c>
      <c r="D321" s="72" t="str">
        <f t="array" ref="D321">XLOOKUP(C321,'Master Data'!C:C,'Master Data'!D:D)</f>
        <v/>
      </c>
      <c r="E321" s="73"/>
      <c r="F321" s="72" t="str">
        <f t="array" ref="F321">XLOOKUP(C321,'Master Data'!C:C,'Master Data'!E:E)</f>
        <v/>
      </c>
      <c r="G321" s="72" t="str">
        <f t="array" ref="G321">XLOOKUP(C321,'Master Data'!C:C,'Master Data'!F:F)</f>
        <v/>
      </c>
      <c r="H321" s="72" t="str">
        <f t="array" ref="H321">XLOOKUP(C321,'Master Data'!C:C,'Master Data'!G:G)</f>
        <v/>
      </c>
      <c r="I321" s="72" t="str">
        <f t="array" ref="I321">XLOOKUP(C321,'Master Data'!C:C,'Master Data'!H:H)</f>
        <v/>
      </c>
      <c r="J321" s="72" t="str">
        <f t="array" ref="J321">XLOOKUP(C321,'Master Data'!C:C,'Master Data'!I:I)</f>
        <v/>
      </c>
      <c r="K321" s="72" t="str">
        <f t="array" ref="K321">XLOOKUP(C321,'Master Data'!C:C,'Master Data'!J:J)</f>
        <v/>
      </c>
      <c r="L321" s="74" t="str">
        <f t="array" ref="L321">XLOOKUP(C:C,TSR_Completion!C:C,TSR_Completion!M:M)</f>
        <v/>
      </c>
      <c r="M321" s="4"/>
      <c r="N321" s="4"/>
      <c r="O321" s="4"/>
      <c r="P321" s="4"/>
      <c r="Q321" s="4"/>
      <c r="R321" s="4"/>
      <c r="S321" s="4"/>
      <c r="T321" s="4"/>
      <c r="U321" s="4"/>
      <c r="V321" s="4"/>
      <c r="W321" s="4"/>
      <c r="X321" s="4"/>
      <c r="Y321" s="4"/>
    </row>
    <row r="322">
      <c r="A322" s="6"/>
      <c r="B322" s="6" t="s">
        <v>158</v>
      </c>
      <c r="C322" s="71" t="s">
        <v>12</v>
      </c>
      <c r="D322" s="72" t="str">
        <f t="array" ref="D322">XLOOKUP(C322,'Master Data'!C:C,'Master Data'!D:D)</f>
        <v/>
      </c>
      <c r="E322" s="73"/>
      <c r="F322" s="72" t="str">
        <f t="array" ref="F322">XLOOKUP(C322,'Master Data'!C:C,'Master Data'!E:E)</f>
        <v/>
      </c>
      <c r="G322" s="72" t="str">
        <f t="array" ref="G322">XLOOKUP(C322,'Master Data'!C:C,'Master Data'!F:F)</f>
        <v/>
      </c>
      <c r="H322" s="72" t="str">
        <f t="array" ref="H322">XLOOKUP(C322,'Master Data'!C:C,'Master Data'!G:G)</f>
        <v/>
      </c>
      <c r="I322" s="72" t="str">
        <f t="array" ref="I322">XLOOKUP(C322,'Master Data'!C:C,'Master Data'!H:H)</f>
        <v/>
      </c>
      <c r="J322" s="72" t="str">
        <f t="array" ref="J322">XLOOKUP(C322,'Master Data'!C:C,'Master Data'!I:I)</f>
        <v/>
      </c>
      <c r="K322" s="72" t="str">
        <f t="array" ref="K322">XLOOKUP(C322,'Master Data'!C:C,'Master Data'!J:J)</f>
        <v/>
      </c>
      <c r="L322" s="74" t="str">
        <f t="array" ref="L322">XLOOKUP(C:C,TSR_Completion!C:C,TSR_Completion!M:M)</f>
        <v/>
      </c>
      <c r="M322" s="4"/>
      <c r="N322" s="4"/>
      <c r="O322" s="4"/>
      <c r="P322" s="4"/>
      <c r="Q322" s="4"/>
      <c r="R322" s="4"/>
      <c r="S322" s="4"/>
      <c r="T322" s="4"/>
      <c r="U322" s="4"/>
      <c r="V322" s="4"/>
      <c r="W322" s="4"/>
      <c r="X322" s="4"/>
      <c r="Y322" s="4"/>
    </row>
    <row r="323">
      <c r="A323" s="6"/>
      <c r="B323" s="6" t="s">
        <v>158</v>
      </c>
      <c r="C323" s="71" t="s">
        <v>12</v>
      </c>
      <c r="D323" s="72" t="str">
        <f t="array" ref="D323">XLOOKUP(C323,'Master Data'!C:C,'Master Data'!D:D)</f>
        <v/>
      </c>
      <c r="E323" s="73"/>
      <c r="F323" s="72" t="str">
        <f t="array" ref="F323">XLOOKUP(C323,'Master Data'!C:C,'Master Data'!E:E)</f>
        <v/>
      </c>
      <c r="G323" s="72" t="str">
        <f t="array" ref="G323">XLOOKUP(C323,'Master Data'!C:C,'Master Data'!F:F)</f>
        <v/>
      </c>
      <c r="H323" s="72" t="str">
        <f t="array" ref="H323">XLOOKUP(C323,'Master Data'!C:C,'Master Data'!G:G)</f>
        <v/>
      </c>
      <c r="I323" s="72" t="str">
        <f t="array" ref="I323">XLOOKUP(C323,'Master Data'!C:C,'Master Data'!H:H)</f>
        <v/>
      </c>
      <c r="J323" s="72" t="str">
        <f t="array" ref="J323">XLOOKUP(C323,'Master Data'!C:C,'Master Data'!I:I)</f>
        <v/>
      </c>
      <c r="K323" s="72" t="str">
        <f t="array" ref="K323">XLOOKUP(C323,'Master Data'!C:C,'Master Data'!J:J)</f>
        <v/>
      </c>
      <c r="L323" s="74" t="str">
        <f t="array" ref="L323">XLOOKUP(C:C,TSR_Completion!C:C,TSR_Completion!M:M)</f>
        <v/>
      </c>
      <c r="M323" s="4"/>
      <c r="N323" s="4"/>
      <c r="O323" s="4"/>
      <c r="P323" s="4"/>
      <c r="Q323" s="4"/>
      <c r="R323" s="4"/>
      <c r="S323" s="4"/>
      <c r="T323" s="4"/>
      <c r="U323" s="4"/>
      <c r="V323" s="4"/>
      <c r="W323" s="4"/>
      <c r="X323" s="4"/>
      <c r="Y323" s="4"/>
    </row>
    <row r="324">
      <c r="A324" s="6"/>
      <c r="B324" s="6" t="s">
        <v>158</v>
      </c>
      <c r="C324" s="71" t="s">
        <v>12</v>
      </c>
      <c r="D324" s="72" t="str">
        <f t="array" ref="D324">XLOOKUP(C324,'Master Data'!C:C,'Master Data'!D:D)</f>
        <v/>
      </c>
      <c r="E324" s="73"/>
      <c r="F324" s="72" t="str">
        <f t="array" ref="F324">XLOOKUP(C324,'Master Data'!C:C,'Master Data'!E:E)</f>
        <v/>
      </c>
      <c r="G324" s="72" t="str">
        <f t="array" ref="G324">XLOOKUP(C324,'Master Data'!C:C,'Master Data'!F:F)</f>
        <v/>
      </c>
      <c r="H324" s="72" t="str">
        <f t="array" ref="H324">XLOOKUP(C324,'Master Data'!C:C,'Master Data'!G:G)</f>
        <v/>
      </c>
      <c r="I324" s="72" t="str">
        <f t="array" ref="I324">XLOOKUP(C324,'Master Data'!C:C,'Master Data'!H:H)</f>
        <v/>
      </c>
      <c r="J324" s="72" t="str">
        <f t="array" ref="J324">XLOOKUP(C324,'Master Data'!C:C,'Master Data'!I:I)</f>
        <v/>
      </c>
      <c r="K324" s="72" t="str">
        <f t="array" ref="K324">XLOOKUP(C324,'Master Data'!C:C,'Master Data'!J:J)</f>
        <v/>
      </c>
      <c r="L324" s="74" t="str">
        <f t="array" ref="L324">XLOOKUP(C:C,TSR_Completion!C:C,TSR_Completion!M:M)</f>
        <v/>
      </c>
      <c r="M324" s="4"/>
      <c r="N324" s="4"/>
      <c r="O324" s="4"/>
      <c r="P324" s="4"/>
      <c r="Q324" s="4"/>
      <c r="R324" s="4"/>
      <c r="S324" s="4"/>
      <c r="T324" s="4"/>
      <c r="U324" s="4"/>
      <c r="V324" s="4"/>
      <c r="W324" s="4"/>
      <c r="X324" s="4"/>
      <c r="Y324" s="4"/>
    </row>
    <row r="325">
      <c r="A325" s="6"/>
      <c r="B325" s="6" t="s">
        <v>158</v>
      </c>
      <c r="C325" s="71" t="s">
        <v>12</v>
      </c>
      <c r="D325" s="72" t="str">
        <f t="array" ref="D325">XLOOKUP(C325,'Master Data'!C:C,'Master Data'!D:D)</f>
        <v/>
      </c>
      <c r="E325" s="73"/>
      <c r="F325" s="72" t="str">
        <f t="array" ref="F325">XLOOKUP(C325,'Master Data'!C:C,'Master Data'!E:E)</f>
        <v/>
      </c>
      <c r="G325" s="72" t="str">
        <f t="array" ref="G325">XLOOKUP(C325,'Master Data'!C:C,'Master Data'!F:F)</f>
        <v/>
      </c>
      <c r="H325" s="72" t="str">
        <f t="array" ref="H325">XLOOKUP(C325,'Master Data'!C:C,'Master Data'!G:G)</f>
        <v/>
      </c>
      <c r="I325" s="72" t="str">
        <f t="array" ref="I325">XLOOKUP(C325,'Master Data'!C:C,'Master Data'!H:H)</f>
        <v/>
      </c>
      <c r="J325" s="72" t="str">
        <f t="array" ref="J325">XLOOKUP(C325,'Master Data'!C:C,'Master Data'!I:I)</f>
        <v/>
      </c>
      <c r="K325" s="72" t="str">
        <f t="array" ref="K325">XLOOKUP(C325,'Master Data'!C:C,'Master Data'!J:J)</f>
        <v/>
      </c>
      <c r="L325" s="74" t="str">
        <f t="array" ref="L325">XLOOKUP(C:C,TSR_Completion!C:C,TSR_Completion!M:M)</f>
        <v/>
      </c>
      <c r="M325" s="4"/>
      <c r="N325" s="4"/>
      <c r="O325" s="4"/>
      <c r="P325" s="4"/>
      <c r="Q325" s="4"/>
      <c r="R325" s="4"/>
      <c r="S325" s="4"/>
      <c r="T325" s="4"/>
      <c r="U325" s="4"/>
      <c r="V325" s="4"/>
      <c r="W325" s="4"/>
      <c r="X325" s="4"/>
      <c r="Y325" s="4"/>
    </row>
    <row r="326">
      <c r="A326" s="6"/>
      <c r="B326" s="6" t="s">
        <v>158</v>
      </c>
      <c r="C326" s="71" t="s">
        <v>12</v>
      </c>
      <c r="D326" s="72" t="str">
        <f t="array" ref="D326">XLOOKUP(C326,'Master Data'!C:C,'Master Data'!D:D)</f>
        <v/>
      </c>
      <c r="E326" s="73"/>
      <c r="F326" s="72" t="str">
        <f t="array" ref="F326">XLOOKUP(C326,'Master Data'!C:C,'Master Data'!E:E)</f>
        <v/>
      </c>
      <c r="G326" s="72" t="str">
        <f t="array" ref="G326">XLOOKUP(C326,'Master Data'!C:C,'Master Data'!F:F)</f>
        <v/>
      </c>
      <c r="H326" s="72" t="str">
        <f t="array" ref="H326">XLOOKUP(C326,'Master Data'!C:C,'Master Data'!G:G)</f>
        <v/>
      </c>
      <c r="I326" s="72" t="str">
        <f t="array" ref="I326">XLOOKUP(C326,'Master Data'!C:C,'Master Data'!H:H)</f>
        <v/>
      </c>
      <c r="J326" s="72" t="str">
        <f t="array" ref="J326">XLOOKUP(C326,'Master Data'!C:C,'Master Data'!I:I)</f>
        <v/>
      </c>
      <c r="K326" s="72" t="str">
        <f t="array" ref="K326">XLOOKUP(C326,'Master Data'!C:C,'Master Data'!J:J)</f>
        <v/>
      </c>
      <c r="L326" s="74" t="str">
        <f t="array" ref="L326">XLOOKUP(C:C,TSR_Completion!C:C,TSR_Completion!M:M)</f>
        <v/>
      </c>
      <c r="M326" s="4"/>
      <c r="N326" s="4"/>
      <c r="O326" s="4"/>
      <c r="P326" s="4"/>
      <c r="Q326" s="4"/>
      <c r="R326" s="4"/>
      <c r="S326" s="4"/>
      <c r="T326" s="4"/>
      <c r="U326" s="4"/>
      <c r="V326" s="4"/>
      <c r="W326" s="4"/>
      <c r="X326" s="4"/>
      <c r="Y326" s="4"/>
    </row>
    <row r="327">
      <c r="A327" s="6"/>
      <c r="B327" s="6" t="s">
        <v>158</v>
      </c>
      <c r="C327" s="71" t="s">
        <v>12</v>
      </c>
      <c r="D327" s="72" t="str">
        <f t="array" ref="D327">XLOOKUP(C327,'Master Data'!C:C,'Master Data'!D:D)</f>
        <v/>
      </c>
      <c r="E327" s="73"/>
      <c r="F327" s="72" t="str">
        <f t="array" ref="F327">XLOOKUP(C327,'Master Data'!C:C,'Master Data'!E:E)</f>
        <v/>
      </c>
      <c r="G327" s="72" t="str">
        <f t="array" ref="G327">XLOOKUP(C327,'Master Data'!C:C,'Master Data'!F:F)</f>
        <v/>
      </c>
      <c r="H327" s="72" t="str">
        <f t="array" ref="H327">XLOOKUP(C327,'Master Data'!C:C,'Master Data'!G:G)</f>
        <v/>
      </c>
      <c r="I327" s="72" t="str">
        <f t="array" ref="I327">XLOOKUP(C327,'Master Data'!C:C,'Master Data'!H:H)</f>
        <v/>
      </c>
      <c r="J327" s="72" t="str">
        <f t="array" ref="J327">XLOOKUP(C327,'Master Data'!C:C,'Master Data'!I:I)</f>
        <v/>
      </c>
      <c r="K327" s="72" t="str">
        <f t="array" ref="K327">XLOOKUP(C327,'Master Data'!C:C,'Master Data'!J:J)</f>
        <v/>
      </c>
      <c r="L327" s="74" t="str">
        <f t="array" ref="L327">XLOOKUP(C:C,TSR_Completion!C:C,TSR_Completion!M:M)</f>
        <v/>
      </c>
      <c r="M327" s="4"/>
      <c r="N327" s="4"/>
      <c r="O327" s="4"/>
      <c r="P327" s="4"/>
      <c r="Q327" s="4"/>
      <c r="R327" s="4"/>
      <c r="S327" s="4"/>
      <c r="T327" s="4"/>
      <c r="U327" s="4"/>
      <c r="V327" s="4"/>
      <c r="W327" s="4"/>
      <c r="X327" s="4"/>
      <c r="Y327" s="4"/>
    </row>
    <row r="328">
      <c r="A328" s="6"/>
      <c r="B328" s="6" t="s">
        <v>158</v>
      </c>
      <c r="C328" s="71" t="s">
        <v>12</v>
      </c>
      <c r="D328" s="72" t="str">
        <f t="array" ref="D328">XLOOKUP(C328,'Master Data'!C:C,'Master Data'!D:D)</f>
        <v/>
      </c>
      <c r="E328" s="73"/>
      <c r="F328" s="72" t="str">
        <f t="array" ref="F328">XLOOKUP(C328,'Master Data'!C:C,'Master Data'!E:E)</f>
        <v/>
      </c>
      <c r="G328" s="72" t="str">
        <f t="array" ref="G328">XLOOKUP(C328,'Master Data'!C:C,'Master Data'!F:F)</f>
        <v/>
      </c>
      <c r="H328" s="72" t="str">
        <f t="array" ref="H328">XLOOKUP(C328,'Master Data'!C:C,'Master Data'!G:G)</f>
        <v/>
      </c>
      <c r="I328" s="72" t="str">
        <f t="array" ref="I328">XLOOKUP(C328,'Master Data'!C:C,'Master Data'!H:H)</f>
        <v/>
      </c>
      <c r="J328" s="72" t="str">
        <f t="array" ref="J328">XLOOKUP(C328,'Master Data'!C:C,'Master Data'!I:I)</f>
        <v/>
      </c>
      <c r="K328" s="72" t="str">
        <f t="array" ref="K328">XLOOKUP(C328,'Master Data'!C:C,'Master Data'!J:J)</f>
        <v/>
      </c>
      <c r="L328" s="74" t="str">
        <f t="array" ref="L328">XLOOKUP(C:C,TSR_Completion!C:C,TSR_Completion!M:M)</f>
        <v/>
      </c>
      <c r="M328" s="4"/>
      <c r="N328" s="4"/>
      <c r="O328" s="4"/>
      <c r="P328" s="4"/>
      <c r="Q328" s="4"/>
      <c r="R328" s="4"/>
      <c r="S328" s="4"/>
      <c r="T328" s="4"/>
      <c r="U328" s="4"/>
      <c r="V328" s="4"/>
      <c r="W328" s="4"/>
      <c r="X328" s="4"/>
      <c r="Y328" s="4"/>
    </row>
    <row r="329">
      <c r="A329" s="6"/>
      <c r="B329" s="6" t="s">
        <v>158</v>
      </c>
      <c r="C329" s="71" t="s">
        <v>12</v>
      </c>
      <c r="D329" s="72" t="str">
        <f t="array" ref="D329">XLOOKUP(C329,'Master Data'!C:C,'Master Data'!D:D)</f>
        <v/>
      </c>
      <c r="E329" s="73"/>
      <c r="F329" s="72" t="str">
        <f t="array" ref="F329">XLOOKUP(C329,'Master Data'!C:C,'Master Data'!E:E)</f>
        <v/>
      </c>
      <c r="G329" s="72" t="str">
        <f t="array" ref="G329">XLOOKUP(C329,'Master Data'!C:C,'Master Data'!F:F)</f>
        <v/>
      </c>
      <c r="H329" s="72" t="str">
        <f t="array" ref="H329">XLOOKUP(C329,'Master Data'!C:C,'Master Data'!G:G)</f>
        <v/>
      </c>
      <c r="I329" s="72" t="str">
        <f t="array" ref="I329">XLOOKUP(C329,'Master Data'!C:C,'Master Data'!H:H)</f>
        <v/>
      </c>
      <c r="J329" s="72" t="str">
        <f t="array" ref="J329">XLOOKUP(C329,'Master Data'!C:C,'Master Data'!I:I)</f>
        <v/>
      </c>
      <c r="K329" s="72" t="str">
        <f t="array" ref="K329">XLOOKUP(C329,'Master Data'!C:C,'Master Data'!J:J)</f>
        <v/>
      </c>
      <c r="L329" s="74" t="str">
        <f t="array" ref="L329">XLOOKUP(C:C,TSR_Completion!C:C,TSR_Completion!M:M)</f>
        <v/>
      </c>
      <c r="M329" s="4"/>
      <c r="N329" s="4"/>
      <c r="O329" s="4"/>
      <c r="P329" s="4"/>
      <c r="Q329" s="4"/>
      <c r="R329" s="4"/>
      <c r="S329" s="4"/>
      <c r="T329" s="4"/>
      <c r="U329" s="4"/>
      <c r="V329" s="4"/>
      <c r="W329" s="4"/>
      <c r="X329" s="4"/>
      <c r="Y329" s="4"/>
    </row>
    <row r="330">
      <c r="A330" s="6"/>
      <c r="B330" s="6" t="s">
        <v>158</v>
      </c>
      <c r="C330" s="71" t="s">
        <v>12</v>
      </c>
      <c r="D330" s="72" t="str">
        <f t="array" ref="D330">XLOOKUP(C330,'Master Data'!C:C,'Master Data'!D:D)</f>
        <v/>
      </c>
      <c r="E330" s="73"/>
      <c r="F330" s="72" t="str">
        <f t="array" ref="F330">XLOOKUP(C330,'Master Data'!C:C,'Master Data'!E:E)</f>
        <v/>
      </c>
      <c r="G330" s="72" t="str">
        <f t="array" ref="G330">XLOOKUP(C330,'Master Data'!C:C,'Master Data'!F:F)</f>
        <v/>
      </c>
      <c r="H330" s="72" t="str">
        <f t="array" ref="H330">XLOOKUP(C330,'Master Data'!C:C,'Master Data'!G:G)</f>
        <v/>
      </c>
      <c r="I330" s="72" t="str">
        <f t="array" ref="I330">XLOOKUP(C330,'Master Data'!C:C,'Master Data'!H:H)</f>
        <v/>
      </c>
      <c r="J330" s="72" t="str">
        <f t="array" ref="J330">XLOOKUP(C330,'Master Data'!C:C,'Master Data'!I:I)</f>
        <v/>
      </c>
      <c r="K330" s="72" t="str">
        <f t="array" ref="K330">XLOOKUP(C330,'Master Data'!C:C,'Master Data'!J:J)</f>
        <v/>
      </c>
      <c r="L330" s="74" t="str">
        <f t="array" ref="L330">XLOOKUP(C:C,TSR_Completion!C:C,TSR_Completion!M:M)</f>
        <v/>
      </c>
      <c r="M330" s="4"/>
      <c r="N330" s="4"/>
      <c r="O330" s="4"/>
      <c r="P330" s="4"/>
      <c r="Q330" s="4"/>
      <c r="R330" s="4"/>
      <c r="S330" s="4"/>
      <c r="T330" s="4"/>
      <c r="U330" s="4"/>
      <c r="V330" s="4"/>
      <c r="W330" s="4"/>
      <c r="X330" s="4"/>
      <c r="Y330" s="4"/>
    </row>
    <row r="331">
      <c r="A331" s="6"/>
      <c r="B331" s="6" t="s">
        <v>158</v>
      </c>
      <c r="C331" s="71" t="s">
        <v>12</v>
      </c>
      <c r="D331" s="72" t="str">
        <f t="array" ref="D331">XLOOKUP(C331,'Master Data'!C:C,'Master Data'!D:D)</f>
        <v/>
      </c>
      <c r="E331" s="73"/>
      <c r="F331" s="72" t="str">
        <f t="array" ref="F331">XLOOKUP(C331,'Master Data'!C:C,'Master Data'!E:E)</f>
        <v/>
      </c>
      <c r="G331" s="72" t="str">
        <f t="array" ref="G331">XLOOKUP(C331,'Master Data'!C:C,'Master Data'!F:F)</f>
        <v/>
      </c>
      <c r="H331" s="72" t="str">
        <f t="array" ref="H331">XLOOKUP(C331,'Master Data'!C:C,'Master Data'!G:G)</f>
        <v/>
      </c>
      <c r="I331" s="72" t="str">
        <f t="array" ref="I331">XLOOKUP(C331,'Master Data'!C:C,'Master Data'!H:H)</f>
        <v/>
      </c>
      <c r="J331" s="72" t="str">
        <f t="array" ref="J331">XLOOKUP(C331,'Master Data'!C:C,'Master Data'!I:I)</f>
        <v/>
      </c>
      <c r="K331" s="72" t="str">
        <f t="array" ref="K331">XLOOKUP(C331,'Master Data'!C:C,'Master Data'!J:J)</f>
        <v/>
      </c>
      <c r="L331" s="74" t="str">
        <f t="array" ref="L331">XLOOKUP(C:C,TSR_Completion!C:C,TSR_Completion!M:M)</f>
        <v/>
      </c>
      <c r="M331" s="4"/>
      <c r="N331" s="4"/>
      <c r="O331" s="4"/>
      <c r="P331" s="4"/>
      <c r="Q331" s="4"/>
      <c r="R331" s="4"/>
      <c r="S331" s="4"/>
      <c r="T331" s="4"/>
      <c r="U331" s="4"/>
      <c r="V331" s="4"/>
      <c r="W331" s="4"/>
      <c r="X331" s="4"/>
      <c r="Y331" s="4"/>
    </row>
    <row r="332">
      <c r="A332" s="6"/>
      <c r="B332" s="6" t="s">
        <v>158</v>
      </c>
      <c r="C332" s="71" t="s">
        <v>12</v>
      </c>
      <c r="D332" s="72" t="str">
        <f t="array" ref="D332">XLOOKUP(C332,'Master Data'!C:C,'Master Data'!D:D)</f>
        <v/>
      </c>
      <c r="E332" s="73"/>
      <c r="F332" s="72" t="str">
        <f t="array" ref="F332">XLOOKUP(C332,'Master Data'!C:C,'Master Data'!E:E)</f>
        <v/>
      </c>
      <c r="G332" s="72" t="str">
        <f t="array" ref="G332">XLOOKUP(C332,'Master Data'!C:C,'Master Data'!F:F)</f>
        <v/>
      </c>
      <c r="H332" s="72" t="str">
        <f t="array" ref="H332">XLOOKUP(C332,'Master Data'!C:C,'Master Data'!G:G)</f>
        <v/>
      </c>
      <c r="I332" s="72" t="str">
        <f t="array" ref="I332">XLOOKUP(C332,'Master Data'!C:C,'Master Data'!H:H)</f>
        <v/>
      </c>
      <c r="J332" s="72" t="str">
        <f t="array" ref="J332">XLOOKUP(C332,'Master Data'!C:C,'Master Data'!I:I)</f>
        <v/>
      </c>
      <c r="K332" s="72" t="str">
        <f t="array" ref="K332">XLOOKUP(C332,'Master Data'!C:C,'Master Data'!J:J)</f>
        <v/>
      </c>
      <c r="L332" s="74" t="str">
        <f t="array" ref="L332">XLOOKUP(C:C,TSR_Completion!C:C,TSR_Completion!M:M)</f>
        <v/>
      </c>
      <c r="M332" s="4"/>
      <c r="N332" s="4"/>
      <c r="O332" s="4"/>
      <c r="P332" s="4"/>
      <c r="Q332" s="4"/>
      <c r="R332" s="4"/>
      <c r="S332" s="4"/>
      <c r="T332" s="4"/>
      <c r="U332" s="4"/>
      <c r="V332" s="4"/>
      <c r="W332" s="4"/>
      <c r="X332" s="4"/>
      <c r="Y332" s="4"/>
    </row>
    <row r="333">
      <c r="A333" s="6"/>
      <c r="B333" s="6" t="s">
        <v>158</v>
      </c>
      <c r="C333" s="71" t="s">
        <v>12</v>
      </c>
      <c r="D333" s="72" t="str">
        <f t="array" ref="D333">XLOOKUP(C333,'Master Data'!C:C,'Master Data'!D:D)</f>
        <v/>
      </c>
      <c r="E333" s="73"/>
      <c r="F333" s="72" t="str">
        <f t="array" ref="F333">XLOOKUP(C333,'Master Data'!C:C,'Master Data'!E:E)</f>
        <v/>
      </c>
      <c r="G333" s="72" t="str">
        <f t="array" ref="G333">XLOOKUP(C333,'Master Data'!C:C,'Master Data'!F:F)</f>
        <v/>
      </c>
      <c r="H333" s="72" t="str">
        <f t="array" ref="H333">XLOOKUP(C333,'Master Data'!C:C,'Master Data'!G:G)</f>
        <v/>
      </c>
      <c r="I333" s="72" t="str">
        <f t="array" ref="I333">XLOOKUP(C333,'Master Data'!C:C,'Master Data'!H:H)</f>
        <v/>
      </c>
      <c r="J333" s="72" t="str">
        <f t="array" ref="J333">XLOOKUP(C333,'Master Data'!C:C,'Master Data'!I:I)</f>
        <v/>
      </c>
      <c r="K333" s="72" t="str">
        <f t="array" ref="K333">XLOOKUP(C333,'Master Data'!C:C,'Master Data'!J:J)</f>
        <v/>
      </c>
      <c r="L333" s="74" t="str">
        <f t="array" ref="L333">XLOOKUP(C:C,TSR_Completion!C:C,TSR_Completion!M:M)</f>
        <v/>
      </c>
      <c r="M333" s="4"/>
      <c r="N333" s="4"/>
      <c r="O333" s="4"/>
      <c r="P333" s="4"/>
      <c r="Q333" s="4"/>
      <c r="R333" s="4"/>
      <c r="S333" s="4"/>
      <c r="T333" s="4"/>
      <c r="U333" s="4"/>
      <c r="V333" s="4"/>
      <c r="W333" s="4"/>
      <c r="X333" s="4"/>
      <c r="Y333" s="4"/>
    </row>
    <row r="334">
      <c r="A334" s="6"/>
      <c r="B334" s="6" t="s">
        <v>158</v>
      </c>
      <c r="C334" s="71" t="s">
        <v>12</v>
      </c>
      <c r="D334" s="72" t="str">
        <f t="array" ref="D334">XLOOKUP(C334,'Master Data'!C:C,'Master Data'!D:D)</f>
        <v/>
      </c>
      <c r="E334" s="73"/>
      <c r="F334" s="72" t="str">
        <f t="array" ref="F334">XLOOKUP(C334,'Master Data'!C:C,'Master Data'!E:E)</f>
        <v/>
      </c>
      <c r="G334" s="72" t="str">
        <f t="array" ref="G334">XLOOKUP(C334,'Master Data'!C:C,'Master Data'!F:F)</f>
        <v/>
      </c>
      <c r="H334" s="72" t="str">
        <f t="array" ref="H334">XLOOKUP(C334,'Master Data'!C:C,'Master Data'!G:G)</f>
        <v/>
      </c>
      <c r="I334" s="72" t="str">
        <f t="array" ref="I334">XLOOKUP(C334,'Master Data'!C:C,'Master Data'!H:H)</f>
        <v/>
      </c>
      <c r="J334" s="72" t="str">
        <f t="array" ref="J334">XLOOKUP(C334,'Master Data'!C:C,'Master Data'!I:I)</f>
        <v/>
      </c>
      <c r="K334" s="72" t="str">
        <f t="array" ref="K334">XLOOKUP(C334,'Master Data'!C:C,'Master Data'!J:J)</f>
        <v/>
      </c>
      <c r="L334" s="74" t="str">
        <f t="array" ref="L334">XLOOKUP(C:C,TSR_Completion!C:C,TSR_Completion!M:M)</f>
        <v/>
      </c>
      <c r="M334" s="4"/>
      <c r="N334" s="4"/>
      <c r="O334" s="4"/>
      <c r="P334" s="4"/>
      <c r="Q334" s="4"/>
      <c r="R334" s="4"/>
      <c r="S334" s="4"/>
      <c r="T334" s="4"/>
      <c r="U334" s="4"/>
      <c r="V334" s="4"/>
      <c r="W334" s="4"/>
      <c r="X334" s="4"/>
      <c r="Y334" s="4"/>
    </row>
    <row r="335">
      <c r="A335" s="6"/>
      <c r="B335" s="6" t="s">
        <v>158</v>
      </c>
      <c r="C335" s="71" t="s">
        <v>12</v>
      </c>
      <c r="D335" s="72" t="str">
        <f t="array" ref="D335">XLOOKUP(C335,'Master Data'!C:C,'Master Data'!D:D)</f>
        <v/>
      </c>
      <c r="E335" s="73"/>
      <c r="F335" s="72" t="str">
        <f t="array" ref="F335">XLOOKUP(C335,'Master Data'!C:C,'Master Data'!E:E)</f>
        <v/>
      </c>
      <c r="G335" s="72" t="str">
        <f t="array" ref="G335">XLOOKUP(C335,'Master Data'!C:C,'Master Data'!F:F)</f>
        <v/>
      </c>
      <c r="H335" s="72" t="str">
        <f t="array" ref="H335">XLOOKUP(C335,'Master Data'!C:C,'Master Data'!G:G)</f>
        <v/>
      </c>
      <c r="I335" s="72" t="str">
        <f t="array" ref="I335">XLOOKUP(C335,'Master Data'!C:C,'Master Data'!H:H)</f>
        <v/>
      </c>
      <c r="J335" s="72" t="str">
        <f t="array" ref="J335">XLOOKUP(C335,'Master Data'!C:C,'Master Data'!I:I)</f>
        <v/>
      </c>
      <c r="K335" s="72" t="str">
        <f t="array" ref="K335">XLOOKUP(C335,'Master Data'!C:C,'Master Data'!J:J)</f>
        <v/>
      </c>
      <c r="L335" s="74" t="str">
        <f t="array" ref="L335">XLOOKUP(C:C,TSR_Completion!C:C,TSR_Completion!M:M)</f>
        <v/>
      </c>
      <c r="M335" s="4"/>
      <c r="N335" s="4"/>
      <c r="O335" s="4"/>
      <c r="P335" s="4"/>
      <c r="Q335" s="4"/>
      <c r="R335" s="4"/>
      <c r="S335" s="4"/>
      <c r="T335" s="4"/>
      <c r="U335" s="4"/>
      <c r="V335" s="4"/>
      <c r="W335" s="4"/>
      <c r="X335" s="4"/>
      <c r="Y335" s="4"/>
    </row>
    <row r="336">
      <c r="A336" s="6"/>
      <c r="B336" s="6" t="s">
        <v>158</v>
      </c>
      <c r="C336" s="71" t="s">
        <v>12</v>
      </c>
      <c r="D336" s="72" t="str">
        <f t="array" ref="D336">XLOOKUP(C336,'Master Data'!C:C,'Master Data'!D:D)</f>
        <v/>
      </c>
      <c r="E336" s="73"/>
      <c r="F336" s="72" t="str">
        <f t="array" ref="F336">XLOOKUP(C336,'Master Data'!C:C,'Master Data'!E:E)</f>
        <v/>
      </c>
      <c r="G336" s="72" t="str">
        <f t="array" ref="G336">XLOOKUP(C336,'Master Data'!C:C,'Master Data'!F:F)</f>
        <v/>
      </c>
      <c r="H336" s="72" t="str">
        <f t="array" ref="H336">XLOOKUP(C336,'Master Data'!C:C,'Master Data'!G:G)</f>
        <v/>
      </c>
      <c r="I336" s="72" t="str">
        <f t="array" ref="I336">XLOOKUP(C336,'Master Data'!C:C,'Master Data'!H:H)</f>
        <v/>
      </c>
      <c r="J336" s="72" t="str">
        <f t="array" ref="J336">XLOOKUP(C336,'Master Data'!C:C,'Master Data'!I:I)</f>
        <v/>
      </c>
      <c r="K336" s="72" t="str">
        <f t="array" ref="K336">XLOOKUP(C336,'Master Data'!C:C,'Master Data'!J:J)</f>
        <v/>
      </c>
      <c r="L336" s="74" t="str">
        <f t="array" ref="L336">XLOOKUP(C:C,TSR_Completion!C:C,TSR_Completion!M:M)</f>
        <v/>
      </c>
      <c r="M336" s="4"/>
      <c r="N336" s="4"/>
      <c r="O336" s="4"/>
      <c r="P336" s="4"/>
      <c r="Q336" s="4"/>
      <c r="R336" s="4"/>
      <c r="S336" s="4"/>
      <c r="T336" s="4"/>
      <c r="U336" s="4"/>
      <c r="V336" s="4"/>
      <c r="W336" s="4"/>
      <c r="X336" s="4"/>
      <c r="Y336" s="4"/>
    </row>
    <row r="337">
      <c r="A337" s="6"/>
      <c r="B337" s="6" t="s">
        <v>158</v>
      </c>
      <c r="C337" s="71" t="s">
        <v>12</v>
      </c>
      <c r="D337" s="72" t="str">
        <f t="array" ref="D337">XLOOKUP(C337,'Master Data'!C:C,'Master Data'!D:D)</f>
        <v/>
      </c>
      <c r="E337" s="73"/>
      <c r="F337" s="72" t="str">
        <f t="array" ref="F337">XLOOKUP(C337,'Master Data'!C:C,'Master Data'!E:E)</f>
        <v/>
      </c>
      <c r="G337" s="72" t="str">
        <f t="array" ref="G337">XLOOKUP(C337,'Master Data'!C:C,'Master Data'!F:F)</f>
        <v/>
      </c>
      <c r="H337" s="72" t="str">
        <f t="array" ref="H337">XLOOKUP(C337,'Master Data'!C:C,'Master Data'!G:G)</f>
        <v/>
      </c>
      <c r="I337" s="72" t="str">
        <f t="array" ref="I337">XLOOKUP(C337,'Master Data'!C:C,'Master Data'!H:H)</f>
        <v/>
      </c>
      <c r="J337" s="72" t="str">
        <f t="array" ref="J337">XLOOKUP(C337,'Master Data'!C:C,'Master Data'!I:I)</f>
        <v/>
      </c>
      <c r="K337" s="72" t="str">
        <f t="array" ref="K337">XLOOKUP(C337,'Master Data'!C:C,'Master Data'!J:J)</f>
        <v/>
      </c>
      <c r="L337" s="74" t="str">
        <f t="array" ref="L337">XLOOKUP(C:C,TSR_Completion!C:C,TSR_Completion!M:M)</f>
        <v/>
      </c>
      <c r="M337" s="4"/>
      <c r="N337" s="4"/>
      <c r="O337" s="4"/>
      <c r="P337" s="4"/>
      <c r="Q337" s="4"/>
      <c r="R337" s="4"/>
      <c r="S337" s="4"/>
      <c r="T337" s="4"/>
      <c r="U337" s="4"/>
      <c r="V337" s="4"/>
      <c r="W337" s="4"/>
      <c r="X337" s="4"/>
      <c r="Y337" s="4"/>
    </row>
    <row r="338">
      <c r="A338" s="6"/>
      <c r="B338" s="6" t="s">
        <v>158</v>
      </c>
      <c r="C338" s="71" t="s">
        <v>12</v>
      </c>
      <c r="D338" s="72" t="str">
        <f t="array" ref="D338">XLOOKUP(C338,'Master Data'!C:C,'Master Data'!D:D)</f>
        <v/>
      </c>
      <c r="E338" s="73"/>
      <c r="F338" s="72" t="str">
        <f t="array" ref="F338">XLOOKUP(C338,'Master Data'!C:C,'Master Data'!E:E)</f>
        <v/>
      </c>
      <c r="G338" s="72" t="str">
        <f t="array" ref="G338">XLOOKUP(C338,'Master Data'!C:C,'Master Data'!F:F)</f>
        <v/>
      </c>
      <c r="H338" s="72" t="str">
        <f t="array" ref="H338">XLOOKUP(C338,'Master Data'!C:C,'Master Data'!G:G)</f>
        <v/>
      </c>
      <c r="I338" s="72" t="str">
        <f t="array" ref="I338">XLOOKUP(C338,'Master Data'!C:C,'Master Data'!H:H)</f>
        <v/>
      </c>
      <c r="J338" s="72" t="str">
        <f t="array" ref="J338">XLOOKUP(C338,'Master Data'!C:C,'Master Data'!I:I)</f>
        <v/>
      </c>
      <c r="K338" s="72" t="str">
        <f t="array" ref="K338">XLOOKUP(C338,'Master Data'!C:C,'Master Data'!J:J)</f>
        <v/>
      </c>
      <c r="L338" s="74" t="str">
        <f t="array" ref="L338">XLOOKUP(C:C,TSR_Completion!C:C,TSR_Completion!M:M)</f>
        <v/>
      </c>
      <c r="M338" s="4"/>
      <c r="N338" s="4"/>
      <c r="O338" s="4"/>
      <c r="P338" s="4"/>
      <c r="Q338" s="4"/>
      <c r="R338" s="4"/>
      <c r="S338" s="4"/>
      <c r="T338" s="4"/>
      <c r="U338" s="4"/>
      <c r="V338" s="4"/>
      <c r="W338" s="4"/>
      <c r="X338" s="4"/>
      <c r="Y338" s="4"/>
    </row>
    <row r="339">
      <c r="A339" s="6"/>
      <c r="B339" s="6" t="s">
        <v>158</v>
      </c>
      <c r="C339" s="71" t="s">
        <v>12</v>
      </c>
      <c r="D339" s="72" t="str">
        <f t="array" ref="D339">XLOOKUP(C339,'Master Data'!C:C,'Master Data'!D:D)</f>
        <v/>
      </c>
      <c r="E339" s="73"/>
      <c r="F339" s="72" t="str">
        <f t="array" ref="F339">XLOOKUP(C339,'Master Data'!C:C,'Master Data'!E:E)</f>
        <v/>
      </c>
      <c r="G339" s="72" t="str">
        <f t="array" ref="G339">XLOOKUP(C339,'Master Data'!C:C,'Master Data'!F:F)</f>
        <v/>
      </c>
      <c r="H339" s="72" t="str">
        <f t="array" ref="H339">XLOOKUP(C339,'Master Data'!C:C,'Master Data'!G:G)</f>
        <v/>
      </c>
      <c r="I339" s="72" t="str">
        <f t="array" ref="I339">XLOOKUP(C339,'Master Data'!C:C,'Master Data'!H:H)</f>
        <v/>
      </c>
      <c r="J339" s="72" t="str">
        <f t="array" ref="J339">XLOOKUP(C339,'Master Data'!C:C,'Master Data'!I:I)</f>
        <v/>
      </c>
      <c r="K339" s="72" t="str">
        <f t="array" ref="K339">XLOOKUP(C339,'Master Data'!C:C,'Master Data'!J:J)</f>
        <v/>
      </c>
      <c r="L339" s="74" t="str">
        <f t="array" ref="L339">XLOOKUP(C:C,TSR_Completion!C:C,TSR_Completion!M:M)</f>
        <v/>
      </c>
      <c r="M339" s="4"/>
      <c r="N339" s="4"/>
      <c r="O339" s="4"/>
      <c r="P339" s="4"/>
      <c r="Q339" s="4"/>
      <c r="R339" s="4"/>
      <c r="S339" s="4"/>
      <c r="T339" s="4"/>
      <c r="U339" s="4"/>
      <c r="V339" s="4"/>
      <c r="W339" s="4"/>
      <c r="X339" s="4"/>
      <c r="Y339" s="4"/>
    </row>
    <row r="340">
      <c r="A340" s="6"/>
      <c r="B340" s="6" t="s">
        <v>158</v>
      </c>
      <c r="C340" s="71" t="s">
        <v>12</v>
      </c>
      <c r="D340" s="72" t="str">
        <f t="array" ref="D340">XLOOKUP(C340,'Master Data'!C:C,'Master Data'!D:D)</f>
        <v/>
      </c>
      <c r="E340" s="73"/>
      <c r="F340" s="72" t="str">
        <f t="array" ref="F340">XLOOKUP(C340,'Master Data'!C:C,'Master Data'!E:E)</f>
        <v/>
      </c>
      <c r="G340" s="72" t="str">
        <f t="array" ref="G340">XLOOKUP(C340,'Master Data'!C:C,'Master Data'!F:F)</f>
        <v/>
      </c>
      <c r="H340" s="72" t="str">
        <f t="array" ref="H340">XLOOKUP(C340,'Master Data'!C:C,'Master Data'!G:G)</f>
        <v/>
      </c>
      <c r="I340" s="72" t="str">
        <f t="array" ref="I340">XLOOKUP(C340,'Master Data'!C:C,'Master Data'!H:H)</f>
        <v/>
      </c>
      <c r="J340" s="72" t="str">
        <f t="array" ref="J340">XLOOKUP(C340,'Master Data'!C:C,'Master Data'!I:I)</f>
        <v/>
      </c>
      <c r="K340" s="72" t="str">
        <f t="array" ref="K340">XLOOKUP(C340,'Master Data'!C:C,'Master Data'!J:J)</f>
        <v/>
      </c>
      <c r="L340" s="74" t="str">
        <f t="array" ref="L340">XLOOKUP(C:C,TSR_Completion!C:C,TSR_Completion!M:M)</f>
        <v/>
      </c>
      <c r="M340" s="4"/>
      <c r="N340" s="4"/>
      <c r="O340" s="4"/>
      <c r="P340" s="4"/>
      <c r="Q340" s="4"/>
      <c r="R340" s="4"/>
      <c r="S340" s="4"/>
      <c r="T340" s="4"/>
      <c r="U340" s="4"/>
      <c r="V340" s="4"/>
      <c r="W340" s="4"/>
      <c r="X340" s="4"/>
      <c r="Y340" s="4"/>
    </row>
    <row r="341">
      <c r="A341" s="6"/>
      <c r="B341" s="6" t="s">
        <v>158</v>
      </c>
      <c r="C341" s="71" t="s">
        <v>12</v>
      </c>
      <c r="D341" s="72" t="str">
        <f t="array" ref="D341">XLOOKUP(C341,'Master Data'!C:C,'Master Data'!D:D)</f>
        <v/>
      </c>
      <c r="E341" s="73"/>
      <c r="F341" s="72" t="str">
        <f t="array" ref="F341">XLOOKUP(C341,'Master Data'!C:C,'Master Data'!E:E)</f>
        <v/>
      </c>
      <c r="G341" s="72" t="str">
        <f t="array" ref="G341">XLOOKUP(C341,'Master Data'!C:C,'Master Data'!F:F)</f>
        <v/>
      </c>
      <c r="H341" s="72" t="str">
        <f t="array" ref="H341">XLOOKUP(C341,'Master Data'!C:C,'Master Data'!G:G)</f>
        <v/>
      </c>
      <c r="I341" s="72" t="str">
        <f t="array" ref="I341">XLOOKUP(C341,'Master Data'!C:C,'Master Data'!H:H)</f>
        <v/>
      </c>
      <c r="J341" s="72" t="str">
        <f t="array" ref="J341">XLOOKUP(C341,'Master Data'!C:C,'Master Data'!I:I)</f>
        <v/>
      </c>
      <c r="K341" s="72" t="str">
        <f t="array" ref="K341">XLOOKUP(C341,'Master Data'!C:C,'Master Data'!J:J)</f>
        <v/>
      </c>
      <c r="L341" s="74" t="str">
        <f t="array" ref="L341">XLOOKUP(C:C,TSR_Completion!C:C,TSR_Completion!M:M)</f>
        <v/>
      </c>
      <c r="M341" s="4"/>
      <c r="N341" s="4"/>
      <c r="O341" s="4"/>
      <c r="P341" s="4"/>
      <c r="Q341" s="4"/>
      <c r="R341" s="4"/>
      <c r="S341" s="4"/>
      <c r="T341" s="4"/>
      <c r="U341" s="4"/>
      <c r="V341" s="4"/>
      <c r="W341" s="4"/>
      <c r="X341" s="4"/>
      <c r="Y341" s="4"/>
    </row>
    <row r="342">
      <c r="A342" s="6"/>
      <c r="B342" s="6" t="s">
        <v>158</v>
      </c>
      <c r="C342" s="71" t="s">
        <v>12</v>
      </c>
      <c r="D342" s="72" t="str">
        <f t="array" ref="D342">XLOOKUP(C342,'Master Data'!C:C,'Master Data'!D:D)</f>
        <v/>
      </c>
      <c r="E342" s="73"/>
      <c r="F342" s="72" t="str">
        <f t="array" ref="F342">XLOOKUP(C342,'Master Data'!C:C,'Master Data'!E:E)</f>
        <v/>
      </c>
      <c r="G342" s="72" t="str">
        <f t="array" ref="G342">XLOOKUP(C342,'Master Data'!C:C,'Master Data'!F:F)</f>
        <v/>
      </c>
      <c r="H342" s="72" t="str">
        <f t="array" ref="H342">XLOOKUP(C342,'Master Data'!C:C,'Master Data'!G:G)</f>
        <v/>
      </c>
      <c r="I342" s="72" t="str">
        <f t="array" ref="I342">XLOOKUP(C342,'Master Data'!C:C,'Master Data'!H:H)</f>
        <v/>
      </c>
      <c r="J342" s="72" t="str">
        <f t="array" ref="J342">XLOOKUP(C342,'Master Data'!C:C,'Master Data'!I:I)</f>
        <v/>
      </c>
      <c r="K342" s="72" t="str">
        <f t="array" ref="K342">XLOOKUP(C342,'Master Data'!C:C,'Master Data'!J:J)</f>
        <v/>
      </c>
      <c r="L342" s="74" t="str">
        <f t="array" ref="L342">XLOOKUP(C:C,TSR_Completion!C:C,TSR_Completion!M:M)</f>
        <v/>
      </c>
      <c r="M342" s="4"/>
      <c r="N342" s="4"/>
      <c r="O342" s="4"/>
      <c r="P342" s="4"/>
      <c r="Q342" s="4"/>
      <c r="R342" s="4"/>
      <c r="S342" s="4"/>
      <c r="T342" s="4"/>
      <c r="U342" s="4"/>
      <c r="V342" s="4"/>
      <c r="W342" s="4"/>
      <c r="X342" s="4"/>
      <c r="Y342" s="4"/>
    </row>
    <row r="343">
      <c r="A343" s="6"/>
      <c r="B343" s="6" t="s">
        <v>158</v>
      </c>
      <c r="C343" s="71" t="s">
        <v>12</v>
      </c>
      <c r="D343" s="72" t="str">
        <f t="array" ref="D343">XLOOKUP(C343,'Master Data'!C:C,'Master Data'!D:D)</f>
        <v/>
      </c>
      <c r="E343" s="73"/>
      <c r="F343" s="72" t="str">
        <f t="array" ref="F343">XLOOKUP(C343,'Master Data'!C:C,'Master Data'!E:E)</f>
        <v/>
      </c>
      <c r="G343" s="72" t="str">
        <f t="array" ref="G343">XLOOKUP(C343,'Master Data'!C:C,'Master Data'!F:F)</f>
        <v/>
      </c>
      <c r="H343" s="72" t="str">
        <f t="array" ref="H343">XLOOKUP(C343,'Master Data'!C:C,'Master Data'!G:G)</f>
        <v/>
      </c>
      <c r="I343" s="72" t="str">
        <f t="array" ref="I343">XLOOKUP(C343,'Master Data'!C:C,'Master Data'!H:H)</f>
        <v/>
      </c>
      <c r="J343" s="72" t="str">
        <f t="array" ref="J343">XLOOKUP(C343,'Master Data'!C:C,'Master Data'!I:I)</f>
        <v/>
      </c>
      <c r="K343" s="72" t="str">
        <f t="array" ref="K343">XLOOKUP(C343,'Master Data'!C:C,'Master Data'!J:J)</f>
        <v/>
      </c>
      <c r="L343" s="74" t="str">
        <f t="array" ref="L343">XLOOKUP(C:C,TSR_Completion!C:C,TSR_Completion!M:M)</f>
        <v/>
      </c>
      <c r="M343" s="4"/>
      <c r="N343" s="4"/>
      <c r="O343" s="4"/>
      <c r="P343" s="4"/>
      <c r="Q343" s="4"/>
      <c r="R343" s="4"/>
      <c r="S343" s="4"/>
      <c r="T343" s="4"/>
      <c r="U343" s="4"/>
      <c r="V343" s="4"/>
      <c r="W343" s="4"/>
      <c r="X343" s="4"/>
      <c r="Y343" s="4"/>
    </row>
    <row r="344">
      <c r="A344" s="6"/>
      <c r="B344" s="6" t="s">
        <v>158</v>
      </c>
      <c r="C344" s="71" t="s">
        <v>12</v>
      </c>
      <c r="D344" s="72" t="str">
        <f t="array" ref="D344">XLOOKUP(C344,'Master Data'!C:C,'Master Data'!D:D)</f>
        <v/>
      </c>
      <c r="E344" s="73"/>
      <c r="F344" s="72" t="str">
        <f t="array" ref="F344">XLOOKUP(C344,'Master Data'!C:C,'Master Data'!E:E)</f>
        <v/>
      </c>
      <c r="G344" s="72" t="str">
        <f t="array" ref="G344">XLOOKUP(C344,'Master Data'!C:C,'Master Data'!F:F)</f>
        <v/>
      </c>
      <c r="H344" s="72" t="str">
        <f t="array" ref="H344">XLOOKUP(C344,'Master Data'!C:C,'Master Data'!G:G)</f>
        <v/>
      </c>
      <c r="I344" s="72" t="str">
        <f t="array" ref="I344">XLOOKUP(C344,'Master Data'!C:C,'Master Data'!H:H)</f>
        <v/>
      </c>
      <c r="J344" s="72" t="str">
        <f t="array" ref="J344">XLOOKUP(C344,'Master Data'!C:C,'Master Data'!I:I)</f>
        <v/>
      </c>
      <c r="K344" s="72" t="str">
        <f t="array" ref="K344">XLOOKUP(C344,'Master Data'!C:C,'Master Data'!J:J)</f>
        <v/>
      </c>
      <c r="L344" s="74" t="str">
        <f t="array" ref="L344">XLOOKUP(C:C,TSR_Completion!C:C,TSR_Completion!M:M)</f>
        <v/>
      </c>
      <c r="M344" s="4"/>
      <c r="N344" s="4"/>
      <c r="O344" s="4"/>
      <c r="P344" s="4"/>
      <c r="Q344" s="4"/>
      <c r="R344" s="4"/>
      <c r="S344" s="4"/>
      <c r="T344" s="4"/>
      <c r="U344" s="4"/>
      <c r="V344" s="4"/>
      <c r="W344" s="4"/>
      <c r="X344" s="4"/>
      <c r="Y344" s="4"/>
    </row>
    <row r="345">
      <c r="A345" s="6"/>
      <c r="B345" s="6" t="s">
        <v>158</v>
      </c>
      <c r="C345" s="71" t="s">
        <v>12</v>
      </c>
      <c r="D345" s="72" t="str">
        <f t="array" ref="D345">XLOOKUP(C345,'Master Data'!C:C,'Master Data'!D:D)</f>
        <v/>
      </c>
      <c r="E345" s="73"/>
      <c r="F345" s="72" t="str">
        <f t="array" ref="F345">XLOOKUP(C345,'Master Data'!C:C,'Master Data'!E:E)</f>
        <v/>
      </c>
      <c r="G345" s="72" t="str">
        <f t="array" ref="G345">XLOOKUP(C345,'Master Data'!C:C,'Master Data'!F:F)</f>
        <v/>
      </c>
      <c r="H345" s="72" t="str">
        <f t="array" ref="H345">XLOOKUP(C345,'Master Data'!C:C,'Master Data'!G:G)</f>
        <v/>
      </c>
      <c r="I345" s="72" t="str">
        <f t="array" ref="I345">XLOOKUP(C345,'Master Data'!C:C,'Master Data'!H:H)</f>
        <v/>
      </c>
      <c r="J345" s="72" t="str">
        <f t="array" ref="J345">XLOOKUP(C345,'Master Data'!C:C,'Master Data'!I:I)</f>
        <v/>
      </c>
      <c r="K345" s="72" t="str">
        <f t="array" ref="K345">XLOOKUP(C345,'Master Data'!C:C,'Master Data'!J:J)</f>
        <v/>
      </c>
      <c r="L345" s="74" t="str">
        <f t="array" ref="L345">XLOOKUP(C:C,TSR_Completion!C:C,TSR_Completion!M:M)</f>
        <v/>
      </c>
      <c r="M345" s="4"/>
      <c r="N345" s="4"/>
      <c r="O345" s="4"/>
      <c r="P345" s="4"/>
      <c r="Q345" s="4"/>
      <c r="R345" s="4"/>
      <c r="S345" s="4"/>
      <c r="T345" s="4"/>
      <c r="U345" s="4"/>
      <c r="V345" s="4"/>
      <c r="W345" s="4"/>
      <c r="X345" s="4"/>
      <c r="Y345" s="4"/>
    </row>
    <row r="346">
      <c r="A346" s="6"/>
      <c r="B346" s="6" t="s">
        <v>158</v>
      </c>
      <c r="C346" s="71" t="s">
        <v>12</v>
      </c>
      <c r="D346" s="72" t="str">
        <f t="array" ref="D346">XLOOKUP(C346,'Master Data'!C:C,'Master Data'!D:D)</f>
        <v/>
      </c>
      <c r="E346" s="73"/>
      <c r="F346" s="72" t="str">
        <f t="array" ref="F346">XLOOKUP(C346,'Master Data'!C:C,'Master Data'!E:E)</f>
        <v/>
      </c>
      <c r="G346" s="72" t="str">
        <f t="array" ref="G346">XLOOKUP(C346,'Master Data'!C:C,'Master Data'!F:F)</f>
        <v/>
      </c>
      <c r="H346" s="72" t="str">
        <f t="array" ref="H346">XLOOKUP(C346,'Master Data'!C:C,'Master Data'!G:G)</f>
        <v/>
      </c>
      <c r="I346" s="72" t="str">
        <f t="array" ref="I346">XLOOKUP(C346,'Master Data'!C:C,'Master Data'!H:H)</f>
        <v/>
      </c>
      <c r="J346" s="72" t="str">
        <f t="array" ref="J346">XLOOKUP(C346,'Master Data'!C:C,'Master Data'!I:I)</f>
        <v/>
      </c>
      <c r="K346" s="72" t="str">
        <f t="array" ref="K346">XLOOKUP(C346,'Master Data'!C:C,'Master Data'!J:J)</f>
        <v/>
      </c>
      <c r="L346" s="74" t="str">
        <f t="array" ref="L346">XLOOKUP(C:C,TSR_Completion!C:C,TSR_Completion!M:M)</f>
        <v/>
      </c>
      <c r="M346" s="4"/>
      <c r="N346" s="4"/>
      <c r="O346" s="4"/>
      <c r="P346" s="4"/>
      <c r="Q346" s="4"/>
      <c r="R346" s="4"/>
      <c r="S346" s="4"/>
      <c r="T346" s="4"/>
      <c r="U346" s="4"/>
      <c r="V346" s="4"/>
      <c r="W346" s="4"/>
      <c r="X346" s="4"/>
      <c r="Y346" s="4"/>
    </row>
    <row r="347">
      <c r="A347" s="6"/>
      <c r="B347" s="6" t="s">
        <v>158</v>
      </c>
      <c r="C347" s="71" t="s">
        <v>12</v>
      </c>
      <c r="D347" s="72" t="str">
        <f t="array" ref="D347">XLOOKUP(C347,'Master Data'!C:C,'Master Data'!D:D)</f>
        <v/>
      </c>
      <c r="E347" s="73"/>
      <c r="F347" s="72" t="str">
        <f t="array" ref="F347">XLOOKUP(C347,'Master Data'!C:C,'Master Data'!E:E)</f>
        <v/>
      </c>
      <c r="G347" s="72" t="str">
        <f t="array" ref="G347">XLOOKUP(C347,'Master Data'!C:C,'Master Data'!F:F)</f>
        <v/>
      </c>
      <c r="H347" s="72" t="str">
        <f t="array" ref="H347">XLOOKUP(C347,'Master Data'!C:C,'Master Data'!G:G)</f>
        <v/>
      </c>
      <c r="I347" s="72" t="str">
        <f t="array" ref="I347">XLOOKUP(C347,'Master Data'!C:C,'Master Data'!H:H)</f>
        <v/>
      </c>
      <c r="J347" s="72" t="str">
        <f t="array" ref="J347">XLOOKUP(C347,'Master Data'!C:C,'Master Data'!I:I)</f>
        <v/>
      </c>
      <c r="K347" s="72" t="str">
        <f t="array" ref="K347">XLOOKUP(C347,'Master Data'!C:C,'Master Data'!J:J)</f>
        <v/>
      </c>
      <c r="L347" s="74" t="str">
        <f t="array" ref="L347">XLOOKUP(C:C,TSR_Completion!C:C,TSR_Completion!M:M)</f>
        <v/>
      </c>
      <c r="M347" s="4"/>
      <c r="N347" s="4"/>
      <c r="O347" s="4"/>
      <c r="P347" s="4"/>
      <c r="Q347" s="4"/>
      <c r="R347" s="4"/>
      <c r="S347" s="4"/>
      <c r="T347" s="4"/>
      <c r="U347" s="4"/>
      <c r="V347" s="4"/>
      <c r="W347" s="4"/>
      <c r="X347" s="4"/>
      <c r="Y347" s="4"/>
    </row>
    <row r="348">
      <c r="A348" s="6"/>
      <c r="B348" s="6" t="s">
        <v>158</v>
      </c>
      <c r="C348" s="71" t="s">
        <v>12</v>
      </c>
      <c r="D348" s="72" t="str">
        <f t="array" ref="D348">XLOOKUP(C348,'Master Data'!C:C,'Master Data'!D:D)</f>
        <v/>
      </c>
      <c r="E348" s="73"/>
      <c r="F348" s="72" t="str">
        <f t="array" ref="F348">XLOOKUP(C348,'Master Data'!C:C,'Master Data'!E:E)</f>
        <v/>
      </c>
      <c r="G348" s="72" t="str">
        <f t="array" ref="G348">XLOOKUP(C348,'Master Data'!C:C,'Master Data'!F:F)</f>
        <v/>
      </c>
      <c r="H348" s="72" t="str">
        <f t="array" ref="H348">XLOOKUP(C348,'Master Data'!C:C,'Master Data'!G:G)</f>
        <v/>
      </c>
      <c r="I348" s="72" t="str">
        <f t="array" ref="I348">XLOOKUP(C348,'Master Data'!C:C,'Master Data'!H:H)</f>
        <v/>
      </c>
      <c r="J348" s="72" t="str">
        <f t="array" ref="J348">XLOOKUP(C348,'Master Data'!C:C,'Master Data'!I:I)</f>
        <v/>
      </c>
      <c r="K348" s="72" t="str">
        <f t="array" ref="K348">XLOOKUP(C348,'Master Data'!C:C,'Master Data'!J:J)</f>
        <v/>
      </c>
      <c r="L348" s="74" t="str">
        <f t="array" ref="L348">XLOOKUP(C:C,TSR_Completion!C:C,TSR_Completion!M:M)</f>
        <v/>
      </c>
      <c r="M348" s="4"/>
      <c r="N348" s="4"/>
      <c r="O348" s="4"/>
      <c r="P348" s="4"/>
      <c r="Q348" s="4"/>
      <c r="R348" s="4"/>
      <c r="S348" s="4"/>
      <c r="T348" s="4"/>
      <c r="U348" s="4"/>
      <c r="V348" s="4"/>
      <c r="W348" s="4"/>
      <c r="X348" s="4"/>
      <c r="Y348" s="4"/>
    </row>
    <row r="349">
      <c r="A349" s="6"/>
      <c r="B349" s="6" t="s">
        <v>158</v>
      </c>
      <c r="C349" s="71" t="s">
        <v>12</v>
      </c>
      <c r="D349" s="72" t="str">
        <f t="array" ref="D349">XLOOKUP(C349,'Master Data'!C:C,'Master Data'!D:D)</f>
        <v/>
      </c>
      <c r="E349" s="73"/>
      <c r="F349" s="72" t="str">
        <f t="array" ref="F349">XLOOKUP(C349,'Master Data'!C:C,'Master Data'!E:E)</f>
        <v/>
      </c>
      <c r="G349" s="72" t="str">
        <f t="array" ref="G349">XLOOKUP(C349,'Master Data'!C:C,'Master Data'!F:F)</f>
        <v/>
      </c>
      <c r="H349" s="72" t="str">
        <f t="array" ref="H349">XLOOKUP(C349,'Master Data'!C:C,'Master Data'!G:G)</f>
        <v/>
      </c>
      <c r="I349" s="72" t="str">
        <f t="array" ref="I349">XLOOKUP(C349,'Master Data'!C:C,'Master Data'!H:H)</f>
        <v/>
      </c>
      <c r="J349" s="72" t="str">
        <f t="array" ref="J349">XLOOKUP(C349,'Master Data'!C:C,'Master Data'!I:I)</f>
        <v/>
      </c>
      <c r="K349" s="72" t="str">
        <f t="array" ref="K349">XLOOKUP(C349,'Master Data'!C:C,'Master Data'!J:J)</f>
        <v/>
      </c>
      <c r="L349" s="74" t="str">
        <f t="array" ref="L349">XLOOKUP(C:C,TSR_Completion!C:C,TSR_Completion!M:M)</f>
        <v/>
      </c>
      <c r="M349" s="4"/>
      <c r="N349" s="4"/>
      <c r="O349" s="4"/>
      <c r="P349" s="4"/>
      <c r="Q349" s="4"/>
      <c r="R349" s="4"/>
      <c r="S349" s="4"/>
      <c r="T349" s="4"/>
      <c r="U349" s="4"/>
      <c r="V349" s="4"/>
      <c r="W349" s="4"/>
      <c r="X349" s="4"/>
      <c r="Y349" s="4"/>
    </row>
    <row r="350">
      <c r="A350" s="6"/>
      <c r="B350" s="6" t="s">
        <v>158</v>
      </c>
      <c r="C350" s="71" t="s">
        <v>12</v>
      </c>
      <c r="D350" s="72" t="str">
        <f t="array" ref="D350">XLOOKUP(C350,'Master Data'!C:C,'Master Data'!D:D)</f>
        <v/>
      </c>
      <c r="E350" s="73"/>
      <c r="F350" s="72" t="str">
        <f t="array" ref="F350">XLOOKUP(C350,'Master Data'!C:C,'Master Data'!E:E)</f>
        <v/>
      </c>
      <c r="G350" s="72" t="str">
        <f t="array" ref="G350">XLOOKUP(C350,'Master Data'!C:C,'Master Data'!F:F)</f>
        <v/>
      </c>
      <c r="H350" s="72" t="str">
        <f t="array" ref="H350">XLOOKUP(C350,'Master Data'!C:C,'Master Data'!G:G)</f>
        <v/>
      </c>
      <c r="I350" s="72" t="str">
        <f t="array" ref="I350">XLOOKUP(C350,'Master Data'!C:C,'Master Data'!H:H)</f>
        <v/>
      </c>
      <c r="J350" s="72" t="str">
        <f t="array" ref="J350">XLOOKUP(C350,'Master Data'!C:C,'Master Data'!I:I)</f>
        <v/>
      </c>
      <c r="K350" s="72" t="str">
        <f t="array" ref="K350">XLOOKUP(C350,'Master Data'!C:C,'Master Data'!J:J)</f>
        <v/>
      </c>
      <c r="L350" s="74" t="str">
        <f t="array" ref="L350">XLOOKUP(C:C,TSR_Completion!C:C,TSR_Completion!M:M)</f>
        <v/>
      </c>
      <c r="M350" s="4"/>
      <c r="N350" s="4"/>
      <c r="O350" s="4"/>
      <c r="P350" s="4"/>
      <c r="Q350" s="4"/>
      <c r="R350" s="4"/>
      <c r="S350" s="4"/>
      <c r="T350" s="4"/>
      <c r="U350" s="4"/>
      <c r="V350" s="4"/>
      <c r="W350" s="4"/>
      <c r="X350" s="4"/>
      <c r="Y350" s="4"/>
    </row>
    <row r="351">
      <c r="A351" s="6"/>
      <c r="B351" s="6" t="s">
        <v>158</v>
      </c>
      <c r="C351" s="71" t="s">
        <v>12</v>
      </c>
      <c r="D351" s="72" t="str">
        <f t="array" ref="D351">XLOOKUP(C351,'Master Data'!C:C,'Master Data'!D:D)</f>
        <v/>
      </c>
      <c r="E351" s="73"/>
      <c r="F351" s="72" t="str">
        <f t="array" ref="F351">XLOOKUP(C351,'Master Data'!C:C,'Master Data'!E:E)</f>
        <v/>
      </c>
      <c r="G351" s="72" t="str">
        <f t="array" ref="G351">XLOOKUP(C351,'Master Data'!C:C,'Master Data'!F:F)</f>
        <v/>
      </c>
      <c r="H351" s="72" t="str">
        <f t="array" ref="H351">XLOOKUP(C351,'Master Data'!C:C,'Master Data'!G:G)</f>
        <v/>
      </c>
      <c r="I351" s="72" t="str">
        <f t="array" ref="I351">XLOOKUP(C351,'Master Data'!C:C,'Master Data'!H:H)</f>
        <v/>
      </c>
      <c r="J351" s="72" t="str">
        <f t="array" ref="J351">XLOOKUP(C351,'Master Data'!C:C,'Master Data'!I:I)</f>
        <v/>
      </c>
      <c r="K351" s="72" t="str">
        <f t="array" ref="K351">XLOOKUP(C351,'Master Data'!C:C,'Master Data'!J:J)</f>
        <v/>
      </c>
      <c r="L351" s="74" t="str">
        <f t="array" ref="L351">XLOOKUP(C:C,TSR_Completion!C:C,TSR_Completion!M:M)</f>
        <v/>
      </c>
      <c r="M351" s="4"/>
      <c r="N351" s="4"/>
      <c r="O351" s="4"/>
      <c r="P351" s="4"/>
      <c r="Q351" s="4"/>
      <c r="R351" s="4"/>
      <c r="S351" s="4"/>
      <c r="T351" s="4"/>
      <c r="U351" s="4"/>
      <c r="V351" s="4"/>
      <c r="W351" s="4"/>
      <c r="X351" s="4"/>
      <c r="Y351" s="4"/>
    </row>
    <row r="352">
      <c r="A352" s="6"/>
      <c r="B352" s="6" t="s">
        <v>158</v>
      </c>
      <c r="C352" s="71" t="s">
        <v>12</v>
      </c>
      <c r="D352" s="72" t="str">
        <f t="array" ref="D352">XLOOKUP(C352,'Master Data'!C:C,'Master Data'!D:D)</f>
        <v/>
      </c>
      <c r="E352" s="73"/>
      <c r="F352" s="72" t="str">
        <f t="array" ref="F352">XLOOKUP(C352,'Master Data'!C:C,'Master Data'!E:E)</f>
        <v/>
      </c>
      <c r="G352" s="72" t="str">
        <f t="array" ref="G352">XLOOKUP(C352,'Master Data'!C:C,'Master Data'!F:F)</f>
        <v/>
      </c>
      <c r="H352" s="72" t="str">
        <f t="array" ref="H352">XLOOKUP(C352,'Master Data'!C:C,'Master Data'!G:G)</f>
        <v/>
      </c>
      <c r="I352" s="72" t="str">
        <f t="array" ref="I352">XLOOKUP(C352,'Master Data'!C:C,'Master Data'!H:H)</f>
        <v/>
      </c>
      <c r="J352" s="72" t="str">
        <f t="array" ref="J352">XLOOKUP(C352,'Master Data'!C:C,'Master Data'!I:I)</f>
        <v/>
      </c>
      <c r="K352" s="72" t="str">
        <f t="array" ref="K352">XLOOKUP(C352,'Master Data'!C:C,'Master Data'!J:J)</f>
        <v/>
      </c>
      <c r="L352" s="74" t="str">
        <f t="array" ref="L352">XLOOKUP(C:C,TSR_Completion!C:C,TSR_Completion!M:M)</f>
        <v/>
      </c>
      <c r="M352" s="4"/>
      <c r="N352" s="4"/>
      <c r="O352" s="4"/>
      <c r="P352" s="4"/>
      <c r="Q352" s="4"/>
      <c r="R352" s="4"/>
      <c r="S352" s="4"/>
      <c r="T352" s="4"/>
      <c r="U352" s="4"/>
      <c r="V352" s="4"/>
      <c r="W352" s="4"/>
      <c r="X352" s="4"/>
      <c r="Y352" s="4"/>
    </row>
    <row r="353">
      <c r="A353" s="6"/>
      <c r="B353" s="6" t="s">
        <v>158</v>
      </c>
      <c r="C353" s="71" t="s">
        <v>12</v>
      </c>
      <c r="D353" s="72" t="str">
        <f t="array" ref="D353">XLOOKUP(C353,'Master Data'!C:C,'Master Data'!D:D)</f>
        <v/>
      </c>
      <c r="E353" s="73"/>
      <c r="F353" s="72" t="str">
        <f t="array" ref="F353">XLOOKUP(C353,'Master Data'!C:C,'Master Data'!E:E)</f>
        <v/>
      </c>
      <c r="G353" s="72" t="str">
        <f t="array" ref="G353">XLOOKUP(C353,'Master Data'!C:C,'Master Data'!F:F)</f>
        <v/>
      </c>
      <c r="H353" s="72" t="str">
        <f t="array" ref="H353">XLOOKUP(C353,'Master Data'!C:C,'Master Data'!G:G)</f>
        <v/>
      </c>
      <c r="I353" s="72" t="str">
        <f t="array" ref="I353">XLOOKUP(C353,'Master Data'!C:C,'Master Data'!H:H)</f>
        <v/>
      </c>
      <c r="J353" s="72" t="str">
        <f t="array" ref="J353">XLOOKUP(C353,'Master Data'!C:C,'Master Data'!I:I)</f>
        <v/>
      </c>
      <c r="K353" s="72" t="str">
        <f t="array" ref="K353">XLOOKUP(C353,'Master Data'!C:C,'Master Data'!J:J)</f>
        <v/>
      </c>
      <c r="L353" s="74" t="str">
        <f t="array" ref="L353">XLOOKUP(C:C,TSR_Completion!C:C,TSR_Completion!M:M)</f>
        <v/>
      </c>
      <c r="M353" s="4"/>
      <c r="N353" s="4"/>
      <c r="O353" s="4"/>
      <c r="P353" s="4"/>
      <c r="Q353" s="4"/>
      <c r="R353" s="4"/>
      <c r="S353" s="4"/>
      <c r="T353" s="4"/>
      <c r="U353" s="4"/>
      <c r="V353" s="4"/>
      <c r="W353" s="4"/>
      <c r="X353" s="4"/>
      <c r="Y353" s="4"/>
    </row>
    <row r="354">
      <c r="A354" s="6"/>
      <c r="B354" s="6" t="s">
        <v>158</v>
      </c>
      <c r="C354" s="71" t="s">
        <v>12</v>
      </c>
      <c r="D354" s="72" t="str">
        <f t="array" ref="D354">XLOOKUP(C354,'Master Data'!C:C,'Master Data'!D:D)</f>
        <v/>
      </c>
      <c r="E354" s="73"/>
      <c r="F354" s="72" t="str">
        <f t="array" ref="F354">XLOOKUP(C354,'Master Data'!C:C,'Master Data'!E:E)</f>
        <v/>
      </c>
      <c r="G354" s="72" t="str">
        <f t="array" ref="G354">XLOOKUP(C354,'Master Data'!C:C,'Master Data'!F:F)</f>
        <v/>
      </c>
      <c r="H354" s="72" t="str">
        <f t="array" ref="H354">XLOOKUP(C354,'Master Data'!C:C,'Master Data'!G:G)</f>
        <v/>
      </c>
      <c r="I354" s="72" t="str">
        <f t="array" ref="I354">XLOOKUP(C354,'Master Data'!C:C,'Master Data'!H:H)</f>
        <v/>
      </c>
      <c r="J354" s="72" t="str">
        <f t="array" ref="J354">XLOOKUP(C354,'Master Data'!C:C,'Master Data'!I:I)</f>
        <v/>
      </c>
      <c r="K354" s="72" t="str">
        <f t="array" ref="K354">XLOOKUP(C354,'Master Data'!C:C,'Master Data'!J:J)</f>
        <v/>
      </c>
      <c r="L354" s="74" t="str">
        <f t="array" ref="L354">XLOOKUP(C:C,TSR_Completion!C:C,TSR_Completion!M:M)</f>
        <v/>
      </c>
      <c r="M354" s="4"/>
      <c r="N354" s="4"/>
      <c r="O354" s="4"/>
      <c r="P354" s="4"/>
      <c r="Q354" s="4"/>
      <c r="R354" s="4"/>
      <c r="S354" s="4"/>
      <c r="T354" s="4"/>
      <c r="U354" s="4"/>
      <c r="V354" s="4"/>
      <c r="W354" s="4"/>
      <c r="X354" s="4"/>
      <c r="Y354" s="4"/>
    </row>
    <row r="355">
      <c r="A355" s="6"/>
      <c r="B355" s="6" t="s">
        <v>158</v>
      </c>
      <c r="C355" s="71" t="s">
        <v>12</v>
      </c>
      <c r="D355" s="72" t="str">
        <f t="array" ref="D355">XLOOKUP(C355,'Master Data'!C:C,'Master Data'!D:D)</f>
        <v/>
      </c>
      <c r="E355" s="73"/>
      <c r="F355" s="72" t="str">
        <f t="array" ref="F355">XLOOKUP(C355,'Master Data'!C:C,'Master Data'!E:E)</f>
        <v/>
      </c>
      <c r="G355" s="72" t="str">
        <f t="array" ref="G355">XLOOKUP(C355,'Master Data'!C:C,'Master Data'!F:F)</f>
        <v/>
      </c>
      <c r="H355" s="72" t="str">
        <f t="array" ref="H355">XLOOKUP(C355,'Master Data'!C:C,'Master Data'!G:G)</f>
        <v/>
      </c>
      <c r="I355" s="72" t="str">
        <f t="array" ref="I355">XLOOKUP(C355,'Master Data'!C:C,'Master Data'!H:H)</f>
        <v/>
      </c>
      <c r="J355" s="72" t="str">
        <f t="array" ref="J355">XLOOKUP(C355,'Master Data'!C:C,'Master Data'!I:I)</f>
        <v/>
      </c>
      <c r="K355" s="72" t="str">
        <f t="array" ref="K355">XLOOKUP(C355,'Master Data'!C:C,'Master Data'!J:J)</f>
        <v/>
      </c>
      <c r="L355" s="74" t="str">
        <f t="array" ref="L355">XLOOKUP(C:C,TSR_Completion!C:C,TSR_Completion!M:M)</f>
        <v/>
      </c>
      <c r="M355" s="4"/>
      <c r="N355" s="4"/>
      <c r="O355" s="4"/>
      <c r="P355" s="4"/>
      <c r="Q355" s="4"/>
      <c r="R355" s="4"/>
      <c r="S355" s="4"/>
      <c r="T355" s="4"/>
      <c r="U355" s="4"/>
      <c r="V355" s="4"/>
      <c r="W355" s="4"/>
      <c r="X355" s="4"/>
      <c r="Y355" s="4"/>
    </row>
    <row r="356">
      <c r="A356" s="6"/>
      <c r="B356" s="6" t="s">
        <v>158</v>
      </c>
      <c r="C356" s="71" t="s">
        <v>12</v>
      </c>
      <c r="D356" s="72" t="str">
        <f t="array" ref="D356">XLOOKUP(C356,'Master Data'!C:C,'Master Data'!D:D)</f>
        <v/>
      </c>
      <c r="E356" s="73"/>
      <c r="F356" s="72" t="str">
        <f t="array" ref="F356">XLOOKUP(C356,'Master Data'!C:C,'Master Data'!E:E)</f>
        <v/>
      </c>
      <c r="G356" s="72" t="str">
        <f t="array" ref="G356">XLOOKUP(C356,'Master Data'!C:C,'Master Data'!F:F)</f>
        <v/>
      </c>
      <c r="H356" s="72" t="str">
        <f t="array" ref="H356">XLOOKUP(C356,'Master Data'!C:C,'Master Data'!G:G)</f>
        <v/>
      </c>
      <c r="I356" s="72" t="str">
        <f t="array" ref="I356">XLOOKUP(C356,'Master Data'!C:C,'Master Data'!H:H)</f>
        <v/>
      </c>
      <c r="J356" s="72" t="str">
        <f t="array" ref="J356">XLOOKUP(C356,'Master Data'!C:C,'Master Data'!I:I)</f>
        <v/>
      </c>
      <c r="K356" s="72" t="str">
        <f t="array" ref="K356">XLOOKUP(C356,'Master Data'!C:C,'Master Data'!J:J)</f>
        <v/>
      </c>
      <c r="L356" s="74" t="str">
        <f t="array" ref="L356">XLOOKUP(C:C,TSR_Completion!C:C,TSR_Completion!M:M)</f>
        <v/>
      </c>
      <c r="M356" s="4"/>
      <c r="N356" s="4"/>
      <c r="O356" s="4"/>
      <c r="P356" s="4"/>
      <c r="Q356" s="4"/>
      <c r="R356" s="4"/>
      <c r="S356" s="4"/>
      <c r="T356" s="4"/>
      <c r="U356" s="4"/>
      <c r="V356" s="4"/>
      <c r="W356" s="4"/>
      <c r="X356" s="4"/>
      <c r="Y356" s="4"/>
    </row>
    <row r="357">
      <c r="A357" s="6"/>
      <c r="B357" s="6" t="s">
        <v>158</v>
      </c>
      <c r="C357" s="71" t="s">
        <v>12</v>
      </c>
      <c r="D357" s="72" t="str">
        <f t="array" ref="D357">XLOOKUP(C357,'Master Data'!C:C,'Master Data'!D:D)</f>
        <v/>
      </c>
      <c r="E357" s="73"/>
      <c r="F357" s="72" t="str">
        <f t="array" ref="F357">XLOOKUP(C357,'Master Data'!C:C,'Master Data'!E:E)</f>
        <v/>
      </c>
      <c r="G357" s="72" t="str">
        <f t="array" ref="G357">XLOOKUP(C357,'Master Data'!C:C,'Master Data'!F:F)</f>
        <v/>
      </c>
      <c r="H357" s="72" t="str">
        <f t="array" ref="H357">XLOOKUP(C357,'Master Data'!C:C,'Master Data'!G:G)</f>
        <v/>
      </c>
      <c r="I357" s="72" t="str">
        <f t="array" ref="I357">XLOOKUP(C357,'Master Data'!C:C,'Master Data'!H:H)</f>
        <v/>
      </c>
      <c r="J357" s="72" t="str">
        <f t="array" ref="J357">XLOOKUP(C357,'Master Data'!C:C,'Master Data'!I:I)</f>
        <v/>
      </c>
      <c r="K357" s="72" t="str">
        <f t="array" ref="K357">XLOOKUP(C357,'Master Data'!C:C,'Master Data'!J:J)</f>
        <v/>
      </c>
      <c r="L357" s="74" t="str">
        <f t="array" ref="L357">XLOOKUP(C:C,TSR_Completion!C:C,TSR_Completion!M:M)</f>
        <v/>
      </c>
      <c r="M357" s="4"/>
      <c r="N357" s="4"/>
      <c r="O357" s="4"/>
      <c r="P357" s="4"/>
      <c r="Q357" s="4"/>
      <c r="R357" s="4"/>
      <c r="S357" s="4"/>
      <c r="T357" s="4"/>
      <c r="U357" s="4"/>
      <c r="V357" s="4"/>
      <c r="W357" s="4"/>
      <c r="X357" s="4"/>
      <c r="Y357" s="4"/>
    </row>
    <row r="358">
      <c r="A358" s="6"/>
      <c r="B358" s="6" t="s">
        <v>158</v>
      </c>
      <c r="C358" s="71" t="s">
        <v>12</v>
      </c>
      <c r="D358" s="72" t="str">
        <f t="array" ref="D358">XLOOKUP(C358,'Master Data'!C:C,'Master Data'!D:D)</f>
        <v/>
      </c>
      <c r="E358" s="73"/>
      <c r="F358" s="72" t="str">
        <f t="array" ref="F358">XLOOKUP(C358,'Master Data'!C:C,'Master Data'!E:E)</f>
        <v/>
      </c>
      <c r="G358" s="72" t="str">
        <f t="array" ref="G358">XLOOKUP(C358,'Master Data'!C:C,'Master Data'!F:F)</f>
        <v/>
      </c>
      <c r="H358" s="72" t="str">
        <f t="array" ref="H358">XLOOKUP(C358,'Master Data'!C:C,'Master Data'!G:G)</f>
        <v/>
      </c>
      <c r="I358" s="72" t="str">
        <f t="array" ref="I358">XLOOKUP(C358,'Master Data'!C:C,'Master Data'!H:H)</f>
        <v/>
      </c>
      <c r="J358" s="72" t="str">
        <f t="array" ref="J358">XLOOKUP(C358,'Master Data'!C:C,'Master Data'!I:I)</f>
        <v/>
      </c>
      <c r="K358" s="72" t="str">
        <f t="array" ref="K358">XLOOKUP(C358,'Master Data'!C:C,'Master Data'!J:J)</f>
        <v/>
      </c>
      <c r="L358" s="74" t="str">
        <f t="array" ref="L358">XLOOKUP(C:C,TSR_Completion!C:C,TSR_Completion!M:M)</f>
        <v/>
      </c>
      <c r="M358" s="4"/>
      <c r="N358" s="4"/>
      <c r="O358" s="4"/>
      <c r="P358" s="4"/>
      <c r="Q358" s="4"/>
      <c r="R358" s="4"/>
      <c r="S358" s="4"/>
      <c r="T358" s="4"/>
      <c r="U358" s="4"/>
      <c r="V358" s="4"/>
      <c r="W358" s="4"/>
      <c r="X358" s="4"/>
      <c r="Y358" s="4"/>
    </row>
    <row r="359">
      <c r="A359" s="6"/>
      <c r="B359" s="6" t="s">
        <v>158</v>
      </c>
      <c r="C359" s="71" t="s">
        <v>12</v>
      </c>
      <c r="D359" s="72" t="str">
        <f t="array" ref="D359">XLOOKUP(C359,'Master Data'!C:C,'Master Data'!D:D)</f>
        <v/>
      </c>
      <c r="E359" s="73"/>
      <c r="F359" s="72" t="str">
        <f t="array" ref="F359">XLOOKUP(C359,'Master Data'!C:C,'Master Data'!E:E)</f>
        <v/>
      </c>
      <c r="G359" s="72" t="str">
        <f t="array" ref="G359">XLOOKUP(C359,'Master Data'!C:C,'Master Data'!F:F)</f>
        <v/>
      </c>
      <c r="H359" s="72" t="str">
        <f t="array" ref="H359">XLOOKUP(C359,'Master Data'!C:C,'Master Data'!G:G)</f>
        <v/>
      </c>
      <c r="I359" s="72" t="str">
        <f t="array" ref="I359">XLOOKUP(C359,'Master Data'!C:C,'Master Data'!H:H)</f>
        <v/>
      </c>
      <c r="J359" s="72" t="str">
        <f t="array" ref="J359">XLOOKUP(C359,'Master Data'!C:C,'Master Data'!I:I)</f>
        <v/>
      </c>
      <c r="K359" s="72" t="str">
        <f t="array" ref="K359">XLOOKUP(C359,'Master Data'!C:C,'Master Data'!J:J)</f>
        <v/>
      </c>
      <c r="L359" s="74" t="str">
        <f t="array" ref="L359">XLOOKUP(C:C,TSR_Completion!C:C,TSR_Completion!M:M)</f>
        <v/>
      </c>
      <c r="M359" s="4"/>
      <c r="N359" s="4"/>
      <c r="O359" s="4"/>
      <c r="P359" s="4"/>
      <c r="Q359" s="4"/>
      <c r="R359" s="4"/>
      <c r="S359" s="4"/>
      <c r="T359" s="4"/>
      <c r="U359" s="4"/>
      <c r="V359" s="4"/>
      <c r="W359" s="4"/>
      <c r="X359" s="4"/>
      <c r="Y359" s="4"/>
    </row>
    <row r="360">
      <c r="A360" s="6"/>
      <c r="B360" s="6" t="s">
        <v>158</v>
      </c>
      <c r="C360" s="71" t="s">
        <v>12</v>
      </c>
      <c r="D360" s="72" t="str">
        <f t="array" ref="D360">XLOOKUP(C360,'Master Data'!C:C,'Master Data'!D:D)</f>
        <v/>
      </c>
      <c r="E360" s="73"/>
      <c r="F360" s="72" t="str">
        <f t="array" ref="F360">XLOOKUP(C360,'Master Data'!C:C,'Master Data'!E:E)</f>
        <v/>
      </c>
      <c r="G360" s="72" t="str">
        <f t="array" ref="G360">XLOOKUP(C360,'Master Data'!C:C,'Master Data'!F:F)</f>
        <v/>
      </c>
      <c r="H360" s="72" t="str">
        <f t="array" ref="H360">XLOOKUP(C360,'Master Data'!C:C,'Master Data'!G:G)</f>
        <v/>
      </c>
      <c r="I360" s="72" t="str">
        <f t="array" ref="I360">XLOOKUP(C360,'Master Data'!C:C,'Master Data'!H:H)</f>
        <v/>
      </c>
      <c r="J360" s="72" t="str">
        <f t="array" ref="J360">XLOOKUP(C360,'Master Data'!C:C,'Master Data'!I:I)</f>
        <v/>
      </c>
      <c r="K360" s="72" t="str">
        <f t="array" ref="K360">XLOOKUP(C360,'Master Data'!C:C,'Master Data'!J:J)</f>
        <v/>
      </c>
      <c r="L360" s="74" t="str">
        <f t="array" ref="L360">XLOOKUP(C:C,TSR_Completion!C:C,TSR_Completion!M:M)</f>
        <v/>
      </c>
      <c r="M360" s="4"/>
      <c r="N360" s="4"/>
      <c r="O360" s="4"/>
      <c r="P360" s="4"/>
      <c r="Q360" s="4"/>
      <c r="R360" s="4"/>
      <c r="S360" s="4"/>
      <c r="T360" s="4"/>
      <c r="U360" s="4"/>
      <c r="V360" s="4"/>
      <c r="W360" s="4"/>
      <c r="X360" s="4"/>
      <c r="Y360" s="4"/>
    </row>
    <row r="361">
      <c r="A361" s="6"/>
      <c r="B361" s="6" t="s">
        <v>158</v>
      </c>
      <c r="C361" s="71" t="s">
        <v>12</v>
      </c>
      <c r="D361" s="72" t="str">
        <f t="array" ref="D361">XLOOKUP(C361,'Master Data'!C:C,'Master Data'!D:D)</f>
        <v/>
      </c>
      <c r="E361" s="73"/>
      <c r="F361" s="72" t="str">
        <f t="array" ref="F361">XLOOKUP(C361,'Master Data'!C:C,'Master Data'!E:E)</f>
        <v/>
      </c>
      <c r="G361" s="72" t="str">
        <f t="array" ref="G361">XLOOKUP(C361,'Master Data'!C:C,'Master Data'!F:F)</f>
        <v/>
      </c>
      <c r="H361" s="72" t="str">
        <f t="array" ref="H361">XLOOKUP(C361,'Master Data'!C:C,'Master Data'!G:G)</f>
        <v/>
      </c>
      <c r="I361" s="72" t="str">
        <f t="array" ref="I361">XLOOKUP(C361,'Master Data'!C:C,'Master Data'!H:H)</f>
        <v/>
      </c>
      <c r="J361" s="72" t="str">
        <f t="array" ref="J361">XLOOKUP(C361,'Master Data'!C:C,'Master Data'!I:I)</f>
        <v/>
      </c>
      <c r="K361" s="72" t="str">
        <f t="array" ref="K361">XLOOKUP(C361,'Master Data'!C:C,'Master Data'!J:J)</f>
        <v/>
      </c>
      <c r="L361" s="74" t="str">
        <f t="array" ref="L361">XLOOKUP(C:C,TSR_Completion!C:C,TSR_Completion!M:M)</f>
        <v/>
      </c>
      <c r="M361" s="4"/>
      <c r="N361" s="4"/>
      <c r="O361" s="4"/>
      <c r="P361" s="4"/>
      <c r="Q361" s="4"/>
      <c r="R361" s="4"/>
      <c r="S361" s="4"/>
      <c r="T361" s="4"/>
      <c r="U361" s="4"/>
      <c r="V361" s="4"/>
      <c r="W361" s="4"/>
      <c r="X361" s="4"/>
      <c r="Y361" s="4"/>
    </row>
    <row r="362">
      <c r="A362" s="6"/>
      <c r="B362" s="6" t="s">
        <v>158</v>
      </c>
      <c r="C362" s="71" t="s">
        <v>12</v>
      </c>
      <c r="D362" s="72" t="str">
        <f t="array" ref="D362">XLOOKUP(C362,'Master Data'!C:C,'Master Data'!D:D)</f>
        <v/>
      </c>
      <c r="E362" s="73"/>
      <c r="F362" s="72" t="str">
        <f t="array" ref="F362">XLOOKUP(C362,'Master Data'!C:C,'Master Data'!E:E)</f>
        <v/>
      </c>
      <c r="G362" s="72" t="str">
        <f t="array" ref="G362">XLOOKUP(C362,'Master Data'!C:C,'Master Data'!F:F)</f>
        <v/>
      </c>
      <c r="H362" s="72" t="str">
        <f t="array" ref="H362">XLOOKUP(C362,'Master Data'!C:C,'Master Data'!G:G)</f>
        <v/>
      </c>
      <c r="I362" s="72" t="str">
        <f t="array" ref="I362">XLOOKUP(C362,'Master Data'!C:C,'Master Data'!H:H)</f>
        <v/>
      </c>
      <c r="J362" s="72" t="str">
        <f t="array" ref="J362">XLOOKUP(C362,'Master Data'!C:C,'Master Data'!I:I)</f>
        <v/>
      </c>
      <c r="K362" s="72" t="str">
        <f t="array" ref="K362">XLOOKUP(C362,'Master Data'!C:C,'Master Data'!J:J)</f>
        <v/>
      </c>
      <c r="L362" s="74" t="str">
        <f t="array" ref="L362">XLOOKUP(C:C,TSR_Completion!C:C,TSR_Completion!M:M)</f>
        <v/>
      </c>
      <c r="M362" s="4"/>
      <c r="N362" s="4"/>
      <c r="O362" s="4"/>
      <c r="P362" s="4"/>
      <c r="Q362" s="4"/>
      <c r="R362" s="4"/>
      <c r="S362" s="4"/>
      <c r="T362" s="4"/>
      <c r="U362" s="4"/>
      <c r="V362" s="4"/>
      <c r="W362" s="4"/>
      <c r="X362" s="4"/>
      <c r="Y362" s="4"/>
    </row>
    <row r="363">
      <c r="A363" s="6"/>
      <c r="B363" s="6" t="s">
        <v>158</v>
      </c>
      <c r="C363" s="71" t="s">
        <v>12</v>
      </c>
      <c r="D363" s="72" t="str">
        <f t="array" ref="D363">XLOOKUP(C363,'Master Data'!C:C,'Master Data'!D:D)</f>
        <v/>
      </c>
      <c r="E363" s="73"/>
      <c r="F363" s="72" t="str">
        <f t="array" ref="F363">XLOOKUP(C363,'Master Data'!C:C,'Master Data'!E:E)</f>
        <v/>
      </c>
      <c r="G363" s="72" t="str">
        <f t="array" ref="G363">XLOOKUP(C363,'Master Data'!C:C,'Master Data'!F:F)</f>
        <v/>
      </c>
      <c r="H363" s="72" t="str">
        <f t="array" ref="H363">XLOOKUP(C363,'Master Data'!C:C,'Master Data'!G:G)</f>
        <v/>
      </c>
      <c r="I363" s="72" t="str">
        <f t="array" ref="I363">XLOOKUP(C363,'Master Data'!C:C,'Master Data'!H:H)</f>
        <v/>
      </c>
      <c r="J363" s="72" t="str">
        <f t="array" ref="J363">XLOOKUP(C363,'Master Data'!C:C,'Master Data'!I:I)</f>
        <v/>
      </c>
      <c r="K363" s="72" t="str">
        <f t="array" ref="K363">XLOOKUP(C363,'Master Data'!C:C,'Master Data'!J:J)</f>
        <v/>
      </c>
      <c r="L363" s="74" t="str">
        <f t="array" ref="L363">XLOOKUP(C:C,TSR_Completion!C:C,TSR_Completion!M:M)</f>
        <v/>
      </c>
      <c r="M363" s="4"/>
      <c r="N363" s="4"/>
      <c r="O363" s="4"/>
      <c r="P363" s="4"/>
      <c r="Q363" s="4"/>
      <c r="R363" s="4"/>
      <c r="S363" s="4"/>
      <c r="T363" s="4"/>
      <c r="U363" s="4"/>
      <c r="V363" s="4"/>
      <c r="W363" s="4"/>
      <c r="X363" s="4"/>
      <c r="Y363" s="4"/>
    </row>
    <row r="364">
      <c r="A364" s="6"/>
      <c r="B364" s="6" t="s">
        <v>158</v>
      </c>
      <c r="C364" s="71" t="s">
        <v>12</v>
      </c>
      <c r="D364" s="72" t="str">
        <f t="array" ref="D364">XLOOKUP(C364,'Master Data'!C:C,'Master Data'!D:D)</f>
        <v/>
      </c>
      <c r="E364" s="73"/>
      <c r="F364" s="72" t="str">
        <f t="array" ref="F364">XLOOKUP(C364,'Master Data'!C:C,'Master Data'!E:E)</f>
        <v/>
      </c>
      <c r="G364" s="72" t="str">
        <f t="array" ref="G364">XLOOKUP(C364,'Master Data'!C:C,'Master Data'!F:F)</f>
        <v/>
      </c>
      <c r="H364" s="72" t="str">
        <f t="array" ref="H364">XLOOKUP(C364,'Master Data'!C:C,'Master Data'!G:G)</f>
        <v/>
      </c>
      <c r="I364" s="72" t="str">
        <f t="array" ref="I364">XLOOKUP(C364,'Master Data'!C:C,'Master Data'!H:H)</f>
        <v/>
      </c>
      <c r="J364" s="72" t="str">
        <f t="array" ref="J364">XLOOKUP(C364,'Master Data'!C:C,'Master Data'!I:I)</f>
        <v/>
      </c>
      <c r="K364" s="72" t="str">
        <f t="array" ref="K364">XLOOKUP(C364,'Master Data'!C:C,'Master Data'!J:J)</f>
        <v/>
      </c>
      <c r="L364" s="74" t="str">
        <f t="array" ref="L364">XLOOKUP(C:C,TSR_Completion!C:C,TSR_Completion!M:M)</f>
        <v/>
      </c>
      <c r="M364" s="4"/>
      <c r="N364" s="4"/>
      <c r="O364" s="4"/>
      <c r="P364" s="4"/>
      <c r="Q364" s="4"/>
      <c r="R364" s="4"/>
      <c r="S364" s="4"/>
      <c r="T364" s="4"/>
      <c r="U364" s="4"/>
      <c r="V364" s="4"/>
      <c r="W364" s="4"/>
      <c r="X364" s="4"/>
      <c r="Y364" s="4"/>
    </row>
    <row r="365">
      <c r="A365" s="6"/>
      <c r="B365" s="6" t="s">
        <v>158</v>
      </c>
      <c r="C365" s="71" t="s">
        <v>12</v>
      </c>
      <c r="D365" s="72" t="str">
        <f t="array" ref="D365">XLOOKUP(C365,'Master Data'!C:C,'Master Data'!D:D)</f>
        <v/>
      </c>
      <c r="E365" s="73"/>
      <c r="F365" s="72" t="str">
        <f t="array" ref="F365">XLOOKUP(C365,'Master Data'!C:C,'Master Data'!E:E)</f>
        <v/>
      </c>
      <c r="G365" s="72" t="str">
        <f t="array" ref="G365">XLOOKUP(C365,'Master Data'!C:C,'Master Data'!F:F)</f>
        <v/>
      </c>
      <c r="H365" s="72" t="str">
        <f t="array" ref="H365">XLOOKUP(C365,'Master Data'!C:C,'Master Data'!G:G)</f>
        <v/>
      </c>
      <c r="I365" s="72" t="str">
        <f t="array" ref="I365">XLOOKUP(C365,'Master Data'!C:C,'Master Data'!H:H)</f>
        <v/>
      </c>
      <c r="J365" s="72" t="str">
        <f t="array" ref="J365">XLOOKUP(C365,'Master Data'!C:C,'Master Data'!I:I)</f>
        <v/>
      </c>
      <c r="K365" s="72" t="str">
        <f t="array" ref="K365">XLOOKUP(C365,'Master Data'!C:C,'Master Data'!J:J)</f>
        <v/>
      </c>
      <c r="L365" s="74" t="str">
        <f t="array" ref="L365">XLOOKUP(C:C,TSR_Completion!C:C,TSR_Completion!M:M)</f>
        <v/>
      </c>
      <c r="M365" s="4"/>
      <c r="N365" s="4"/>
      <c r="O365" s="4"/>
      <c r="P365" s="4"/>
      <c r="Q365" s="4"/>
      <c r="R365" s="4"/>
      <c r="S365" s="4"/>
      <c r="T365" s="4"/>
      <c r="U365" s="4"/>
      <c r="V365" s="4"/>
      <c r="W365" s="4"/>
      <c r="X365" s="4"/>
      <c r="Y365" s="4"/>
    </row>
    <row r="366">
      <c r="A366" s="6"/>
      <c r="B366" s="6" t="s">
        <v>158</v>
      </c>
      <c r="C366" s="71" t="s">
        <v>12</v>
      </c>
      <c r="D366" s="72" t="str">
        <f t="array" ref="D366">XLOOKUP(C366,'Master Data'!C:C,'Master Data'!D:D)</f>
        <v/>
      </c>
      <c r="E366" s="73"/>
      <c r="F366" s="72" t="str">
        <f t="array" ref="F366">XLOOKUP(C366,'Master Data'!C:C,'Master Data'!E:E)</f>
        <v/>
      </c>
      <c r="G366" s="72" t="str">
        <f t="array" ref="G366">XLOOKUP(C366,'Master Data'!C:C,'Master Data'!F:F)</f>
        <v/>
      </c>
      <c r="H366" s="72" t="str">
        <f t="array" ref="H366">XLOOKUP(C366,'Master Data'!C:C,'Master Data'!G:G)</f>
        <v/>
      </c>
      <c r="I366" s="72" t="str">
        <f t="array" ref="I366">XLOOKUP(C366,'Master Data'!C:C,'Master Data'!H:H)</f>
        <v/>
      </c>
      <c r="J366" s="72" t="str">
        <f t="array" ref="J366">XLOOKUP(C366,'Master Data'!C:C,'Master Data'!I:I)</f>
        <v/>
      </c>
      <c r="K366" s="72" t="str">
        <f t="array" ref="K366">XLOOKUP(C366,'Master Data'!C:C,'Master Data'!J:J)</f>
        <v/>
      </c>
      <c r="L366" s="74" t="str">
        <f t="array" ref="L366">XLOOKUP(C:C,TSR_Completion!C:C,TSR_Completion!M:M)</f>
        <v/>
      </c>
      <c r="M366" s="4"/>
      <c r="N366" s="4"/>
      <c r="O366" s="4"/>
      <c r="P366" s="4"/>
      <c r="Q366" s="4"/>
      <c r="R366" s="4"/>
      <c r="S366" s="4"/>
      <c r="T366" s="4"/>
      <c r="U366" s="4"/>
      <c r="V366" s="4"/>
      <c r="W366" s="4"/>
      <c r="X366" s="4"/>
      <c r="Y366" s="4"/>
    </row>
    <row r="367">
      <c r="A367" s="6"/>
      <c r="B367" s="6" t="s">
        <v>158</v>
      </c>
      <c r="C367" s="71" t="s">
        <v>12</v>
      </c>
      <c r="D367" s="72" t="str">
        <f t="array" ref="D367">XLOOKUP(C367,'Master Data'!C:C,'Master Data'!D:D)</f>
        <v/>
      </c>
      <c r="E367" s="73"/>
      <c r="F367" s="72" t="str">
        <f t="array" ref="F367">XLOOKUP(C367,'Master Data'!C:C,'Master Data'!E:E)</f>
        <v/>
      </c>
      <c r="G367" s="72" t="str">
        <f t="array" ref="G367">XLOOKUP(C367,'Master Data'!C:C,'Master Data'!F:F)</f>
        <v/>
      </c>
      <c r="H367" s="72" t="str">
        <f t="array" ref="H367">XLOOKUP(C367,'Master Data'!C:C,'Master Data'!G:G)</f>
        <v/>
      </c>
      <c r="I367" s="72" t="str">
        <f t="array" ref="I367">XLOOKUP(C367,'Master Data'!C:C,'Master Data'!H:H)</f>
        <v/>
      </c>
      <c r="J367" s="72" t="str">
        <f t="array" ref="J367">XLOOKUP(C367,'Master Data'!C:C,'Master Data'!I:I)</f>
        <v/>
      </c>
      <c r="K367" s="72" t="str">
        <f t="array" ref="K367">XLOOKUP(C367,'Master Data'!C:C,'Master Data'!J:J)</f>
        <v/>
      </c>
      <c r="L367" s="74" t="str">
        <f t="array" ref="L367">XLOOKUP(C:C,TSR_Completion!C:C,TSR_Completion!M:M)</f>
        <v/>
      </c>
      <c r="M367" s="4"/>
      <c r="N367" s="4"/>
      <c r="O367" s="4"/>
      <c r="P367" s="4"/>
      <c r="Q367" s="4"/>
      <c r="R367" s="4"/>
      <c r="S367" s="4"/>
      <c r="T367" s="4"/>
      <c r="U367" s="4"/>
      <c r="V367" s="4"/>
      <c r="W367" s="4"/>
      <c r="X367" s="4"/>
      <c r="Y367" s="4"/>
    </row>
    <row r="368">
      <c r="A368" s="6"/>
      <c r="B368" s="6" t="s">
        <v>158</v>
      </c>
      <c r="C368" s="71" t="s">
        <v>12</v>
      </c>
      <c r="D368" s="72" t="str">
        <f t="array" ref="D368">XLOOKUP(C368,'Master Data'!C:C,'Master Data'!D:D)</f>
        <v/>
      </c>
      <c r="E368" s="73"/>
      <c r="F368" s="72" t="str">
        <f t="array" ref="F368">XLOOKUP(C368,'Master Data'!C:C,'Master Data'!E:E)</f>
        <v/>
      </c>
      <c r="G368" s="72" t="str">
        <f t="array" ref="G368">XLOOKUP(C368,'Master Data'!C:C,'Master Data'!F:F)</f>
        <v/>
      </c>
      <c r="H368" s="72" t="str">
        <f t="array" ref="H368">XLOOKUP(C368,'Master Data'!C:C,'Master Data'!G:G)</f>
        <v/>
      </c>
      <c r="I368" s="72" t="str">
        <f t="array" ref="I368">XLOOKUP(C368,'Master Data'!C:C,'Master Data'!H:H)</f>
        <v/>
      </c>
      <c r="J368" s="72" t="str">
        <f t="array" ref="J368">XLOOKUP(C368,'Master Data'!C:C,'Master Data'!I:I)</f>
        <v/>
      </c>
      <c r="K368" s="72" t="str">
        <f t="array" ref="K368">XLOOKUP(C368,'Master Data'!C:C,'Master Data'!J:J)</f>
        <v/>
      </c>
      <c r="L368" s="74" t="str">
        <f t="array" ref="L368">XLOOKUP(C:C,TSR_Completion!C:C,TSR_Completion!M:M)</f>
        <v/>
      </c>
      <c r="M368" s="4"/>
      <c r="N368" s="4"/>
      <c r="O368" s="4"/>
      <c r="P368" s="4"/>
      <c r="Q368" s="4"/>
      <c r="R368" s="4"/>
      <c r="S368" s="4"/>
      <c r="T368" s="4"/>
      <c r="U368" s="4"/>
      <c r="V368" s="4"/>
      <c r="W368" s="4"/>
      <c r="X368" s="4"/>
      <c r="Y368" s="4"/>
    </row>
    <row r="369">
      <c r="A369" s="6"/>
      <c r="B369" s="6" t="s">
        <v>158</v>
      </c>
      <c r="C369" s="71" t="s">
        <v>12</v>
      </c>
      <c r="D369" s="72" t="str">
        <f t="array" ref="D369">XLOOKUP(C369,'Master Data'!C:C,'Master Data'!D:D)</f>
        <v/>
      </c>
      <c r="E369" s="73"/>
      <c r="F369" s="72" t="str">
        <f t="array" ref="F369">XLOOKUP(C369,'Master Data'!C:C,'Master Data'!E:E)</f>
        <v/>
      </c>
      <c r="G369" s="72" t="str">
        <f t="array" ref="G369">XLOOKUP(C369,'Master Data'!C:C,'Master Data'!F:F)</f>
        <v/>
      </c>
      <c r="H369" s="72" t="str">
        <f t="array" ref="H369">XLOOKUP(C369,'Master Data'!C:C,'Master Data'!G:G)</f>
        <v/>
      </c>
      <c r="I369" s="72" t="str">
        <f t="array" ref="I369">XLOOKUP(C369,'Master Data'!C:C,'Master Data'!H:H)</f>
        <v/>
      </c>
      <c r="J369" s="72" t="str">
        <f t="array" ref="J369">XLOOKUP(C369,'Master Data'!C:C,'Master Data'!I:I)</f>
        <v/>
      </c>
      <c r="K369" s="72" t="str">
        <f t="array" ref="K369">XLOOKUP(C369,'Master Data'!C:C,'Master Data'!J:J)</f>
        <v/>
      </c>
      <c r="L369" s="74" t="str">
        <f t="array" ref="L369">XLOOKUP(C:C,TSR_Completion!C:C,TSR_Completion!M:M)</f>
        <v/>
      </c>
      <c r="M369" s="4"/>
      <c r="N369" s="4"/>
      <c r="O369" s="4"/>
      <c r="P369" s="4"/>
      <c r="Q369" s="4"/>
      <c r="R369" s="4"/>
      <c r="S369" s="4"/>
      <c r="T369" s="4"/>
      <c r="U369" s="4"/>
      <c r="V369" s="4"/>
      <c r="W369" s="4"/>
      <c r="X369" s="4"/>
      <c r="Y369" s="4"/>
    </row>
    <row r="370">
      <c r="A370" s="6"/>
      <c r="B370" s="6" t="s">
        <v>158</v>
      </c>
      <c r="C370" s="71" t="s">
        <v>12</v>
      </c>
      <c r="D370" s="72" t="str">
        <f t="array" ref="D370">XLOOKUP(C370,'Master Data'!C:C,'Master Data'!D:D)</f>
        <v/>
      </c>
      <c r="E370" s="73"/>
      <c r="F370" s="72" t="str">
        <f t="array" ref="F370">XLOOKUP(C370,'Master Data'!C:C,'Master Data'!E:E)</f>
        <v/>
      </c>
      <c r="G370" s="72" t="str">
        <f t="array" ref="G370">XLOOKUP(C370,'Master Data'!C:C,'Master Data'!F:F)</f>
        <v/>
      </c>
      <c r="H370" s="72" t="str">
        <f t="array" ref="H370">XLOOKUP(C370,'Master Data'!C:C,'Master Data'!G:G)</f>
        <v/>
      </c>
      <c r="I370" s="72" t="str">
        <f t="array" ref="I370">XLOOKUP(C370,'Master Data'!C:C,'Master Data'!H:H)</f>
        <v/>
      </c>
      <c r="J370" s="72" t="str">
        <f t="array" ref="J370">XLOOKUP(C370,'Master Data'!C:C,'Master Data'!I:I)</f>
        <v/>
      </c>
      <c r="K370" s="72" t="str">
        <f t="array" ref="K370">XLOOKUP(C370,'Master Data'!C:C,'Master Data'!J:J)</f>
        <v/>
      </c>
      <c r="L370" s="74" t="str">
        <f t="array" ref="L370">XLOOKUP(C:C,TSR_Completion!C:C,TSR_Completion!M:M)</f>
        <v/>
      </c>
      <c r="M370" s="4"/>
      <c r="N370" s="4"/>
      <c r="O370" s="4"/>
      <c r="P370" s="4"/>
      <c r="Q370" s="4"/>
      <c r="R370" s="4"/>
      <c r="S370" s="4"/>
      <c r="T370" s="4"/>
      <c r="U370" s="4"/>
      <c r="V370" s="4"/>
      <c r="W370" s="4"/>
      <c r="X370" s="4"/>
      <c r="Y370" s="4"/>
    </row>
    <row r="371">
      <c r="A371" s="6"/>
      <c r="B371" s="6" t="s">
        <v>158</v>
      </c>
      <c r="C371" s="71" t="s">
        <v>12</v>
      </c>
      <c r="D371" s="72" t="str">
        <f t="array" ref="D371">XLOOKUP(C371,'Master Data'!C:C,'Master Data'!D:D)</f>
        <v/>
      </c>
      <c r="E371" s="73"/>
      <c r="F371" s="72" t="str">
        <f t="array" ref="F371">XLOOKUP(C371,'Master Data'!C:C,'Master Data'!E:E)</f>
        <v/>
      </c>
      <c r="G371" s="72" t="str">
        <f t="array" ref="G371">XLOOKUP(C371,'Master Data'!C:C,'Master Data'!F:F)</f>
        <v/>
      </c>
      <c r="H371" s="72" t="str">
        <f t="array" ref="H371">XLOOKUP(C371,'Master Data'!C:C,'Master Data'!G:G)</f>
        <v/>
      </c>
      <c r="I371" s="72" t="str">
        <f t="array" ref="I371">XLOOKUP(C371,'Master Data'!C:C,'Master Data'!H:H)</f>
        <v/>
      </c>
      <c r="J371" s="72" t="str">
        <f t="array" ref="J371">XLOOKUP(C371,'Master Data'!C:C,'Master Data'!I:I)</f>
        <v/>
      </c>
      <c r="K371" s="72" t="str">
        <f t="array" ref="K371">XLOOKUP(C371,'Master Data'!C:C,'Master Data'!J:J)</f>
        <v/>
      </c>
      <c r="L371" s="74" t="str">
        <f t="array" ref="L371">XLOOKUP(C:C,TSR_Completion!C:C,TSR_Completion!M:M)</f>
        <v/>
      </c>
      <c r="M371" s="4"/>
      <c r="N371" s="4"/>
      <c r="O371" s="4"/>
      <c r="P371" s="4"/>
      <c r="Q371" s="4"/>
      <c r="R371" s="4"/>
      <c r="S371" s="4"/>
      <c r="T371" s="4"/>
      <c r="U371" s="4"/>
      <c r="V371" s="4"/>
      <c r="W371" s="4"/>
      <c r="X371" s="4"/>
      <c r="Y371" s="4"/>
    </row>
    <row r="372">
      <c r="A372" s="6"/>
      <c r="B372" s="6" t="s">
        <v>158</v>
      </c>
      <c r="C372" s="71" t="s">
        <v>12</v>
      </c>
      <c r="D372" s="72" t="str">
        <f t="array" ref="D372">XLOOKUP(C372,'Master Data'!C:C,'Master Data'!D:D)</f>
        <v/>
      </c>
      <c r="E372" s="73"/>
      <c r="F372" s="72" t="str">
        <f t="array" ref="F372">XLOOKUP(C372,'Master Data'!C:C,'Master Data'!E:E)</f>
        <v/>
      </c>
      <c r="G372" s="72" t="str">
        <f t="array" ref="G372">XLOOKUP(C372,'Master Data'!C:C,'Master Data'!F:F)</f>
        <v/>
      </c>
      <c r="H372" s="72" t="str">
        <f t="array" ref="H372">XLOOKUP(C372,'Master Data'!C:C,'Master Data'!G:G)</f>
        <v/>
      </c>
      <c r="I372" s="72" t="str">
        <f t="array" ref="I372">XLOOKUP(C372,'Master Data'!C:C,'Master Data'!H:H)</f>
        <v/>
      </c>
      <c r="J372" s="72" t="str">
        <f t="array" ref="J372">XLOOKUP(C372,'Master Data'!C:C,'Master Data'!I:I)</f>
        <v/>
      </c>
      <c r="K372" s="72" t="str">
        <f t="array" ref="K372">XLOOKUP(C372,'Master Data'!C:C,'Master Data'!J:J)</f>
        <v/>
      </c>
      <c r="L372" s="74" t="str">
        <f t="array" ref="L372">XLOOKUP(C:C,TSR_Completion!C:C,TSR_Completion!M:M)</f>
        <v/>
      </c>
      <c r="M372" s="4"/>
      <c r="N372" s="4"/>
      <c r="O372" s="4"/>
      <c r="P372" s="4"/>
      <c r="Q372" s="4"/>
      <c r="R372" s="4"/>
      <c r="S372" s="4"/>
      <c r="T372" s="4"/>
      <c r="U372" s="4"/>
      <c r="V372" s="4"/>
      <c r="W372" s="4"/>
      <c r="X372" s="4"/>
      <c r="Y372" s="4"/>
    </row>
    <row r="373">
      <c r="A373" s="6"/>
      <c r="B373" s="6" t="s">
        <v>158</v>
      </c>
      <c r="C373" s="71" t="s">
        <v>12</v>
      </c>
      <c r="D373" s="72" t="str">
        <f t="array" ref="D373">XLOOKUP(C373,'Master Data'!C:C,'Master Data'!D:D)</f>
        <v/>
      </c>
      <c r="E373" s="73"/>
      <c r="F373" s="72" t="str">
        <f t="array" ref="F373">XLOOKUP(C373,'Master Data'!C:C,'Master Data'!E:E)</f>
        <v/>
      </c>
      <c r="G373" s="72" t="str">
        <f t="array" ref="G373">XLOOKUP(C373,'Master Data'!C:C,'Master Data'!F:F)</f>
        <v/>
      </c>
      <c r="H373" s="72" t="str">
        <f t="array" ref="H373">XLOOKUP(C373,'Master Data'!C:C,'Master Data'!G:G)</f>
        <v/>
      </c>
      <c r="I373" s="72" t="str">
        <f t="array" ref="I373">XLOOKUP(C373,'Master Data'!C:C,'Master Data'!H:H)</f>
        <v/>
      </c>
      <c r="J373" s="72" t="str">
        <f t="array" ref="J373">XLOOKUP(C373,'Master Data'!C:C,'Master Data'!I:I)</f>
        <v/>
      </c>
      <c r="K373" s="72" t="str">
        <f t="array" ref="K373">XLOOKUP(C373,'Master Data'!C:C,'Master Data'!J:J)</f>
        <v/>
      </c>
      <c r="L373" s="74" t="str">
        <f t="array" ref="L373">XLOOKUP(C:C,TSR_Completion!C:C,TSR_Completion!M:M)</f>
        <v/>
      </c>
      <c r="M373" s="4"/>
      <c r="N373" s="4"/>
      <c r="O373" s="4"/>
      <c r="P373" s="4"/>
      <c r="Q373" s="4"/>
      <c r="R373" s="4"/>
      <c r="S373" s="4"/>
      <c r="T373" s="4"/>
      <c r="U373" s="4"/>
      <c r="V373" s="4"/>
      <c r="W373" s="4"/>
      <c r="X373" s="4"/>
      <c r="Y373" s="4"/>
    </row>
    <row r="374">
      <c r="A374" s="6"/>
      <c r="B374" s="6" t="s">
        <v>158</v>
      </c>
      <c r="C374" s="71" t="s">
        <v>12</v>
      </c>
      <c r="D374" s="72" t="str">
        <f t="array" ref="D374">XLOOKUP(C374,'Master Data'!C:C,'Master Data'!D:D)</f>
        <v/>
      </c>
      <c r="E374" s="73"/>
      <c r="F374" s="72" t="str">
        <f t="array" ref="F374">XLOOKUP(C374,'Master Data'!C:C,'Master Data'!E:E)</f>
        <v/>
      </c>
      <c r="G374" s="72" t="str">
        <f t="array" ref="G374">XLOOKUP(C374,'Master Data'!C:C,'Master Data'!F:F)</f>
        <v/>
      </c>
      <c r="H374" s="72" t="str">
        <f t="array" ref="H374">XLOOKUP(C374,'Master Data'!C:C,'Master Data'!G:G)</f>
        <v/>
      </c>
      <c r="I374" s="72" t="str">
        <f t="array" ref="I374">XLOOKUP(C374,'Master Data'!C:C,'Master Data'!H:H)</f>
        <v/>
      </c>
      <c r="J374" s="72" t="str">
        <f t="array" ref="J374">XLOOKUP(C374,'Master Data'!C:C,'Master Data'!I:I)</f>
        <v/>
      </c>
      <c r="K374" s="72" t="str">
        <f t="array" ref="K374">XLOOKUP(C374,'Master Data'!C:C,'Master Data'!J:J)</f>
        <v/>
      </c>
      <c r="L374" s="74" t="str">
        <f t="array" ref="L374">XLOOKUP(C:C,TSR_Completion!C:C,TSR_Completion!M:M)</f>
        <v/>
      </c>
      <c r="M374" s="4"/>
      <c r="N374" s="4"/>
      <c r="O374" s="4"/>
      <c r="P374" s="4"/>
      <c r="Q374" s="4"/>
      <c r="R374" s="4"/>
      <c r="S374" s="4"/>
      <c r="T374" s="4"/>
      <c r="U374" s="4"/>
      <c r="V374" s="4"/>
      <c r="W374" s="4"/>
      <c r="X374" s="4"/>
      <c r="Y374" s="4"/>
    </row>
    <row r="375">
      <c r="A375" s="6"/>
      <c r="B375" s="6" t="s">
        <v>158</v>
      </c>
      <c r="C375" s="71" t="s">
        <v>12</v>
      </c>
      <c r="D375" s="72" t="str">
        <f t="array" ref="D375">XLOOKUP(C375,'Master Data'!C:C,'Master Data'!D:D)</f>
        <v/>
      </c>
      <c r="E375" s="73"/>
      <c r="F375" s="72" t="str">
        <f t="array" ref="F375">XLOOKUP(C375,'Master Data'!C:C,'Master Data'!E:E)</f>
        <v/>
      </c>
      <c r="G375" s="72" t="str">
        <f t="array" ref="G375">XLOOKUP(C375,'Master Data'!C:C,'Master Data'!F:F)</f>
        <v/>
      </c>
      <c r="H375" s="72" t="str">
        <f t="array" ref="H375">XLOOKUP(C375,'Master Data'!C:C,'Master Data'!G:G)</f>
        <v/>
      </c>
      <c r="I375" s="72" t="str">
        <f t="array" ref="I375">XLOOKUP(C375,'Master Data'!C:C,'Master Data'!H:H)</f>
        <v/>
      </c>
      <c r="J375" s="72" t="str">
        <f t="array" ref="J375">XLOOKUP(C375,'Master Data'!C:C,'Master Data'!I:I)</f>
        <v/>
      </c>
      <c r="K375" s="72" t="str">
        <f t="array" ref="K375">XLOOKUP(C375,'Master Data'!C:C,'Master Data'!J:J)</f>
        <v/>
      </c>
      <c r="L375" s="74" t="str">
        <f t="array" ref="L375">XLOOKUP(C:C,TSR_Completion!C:C,TSR_Completion!M:M)</f>
        <v/>
      </c>
      <c r="M375" s="4"/>
      <c r="N375" s="4"/>
      <c r="O375" s="4"/>
      <c r="P375" s="4"/>
      <c r="Q375" s="4"/>
      <c r="R375" s="4"/>
      <c r="S375" s="4"/>
      <c r="T375" s="4"/>
      <c r="U375" s="4"/>
      <c r="V375" s="4"/>
      <c r="W375" s="4"/>
      <c r="X375" s="4"/>
      <c r="Y375" s="4"/>
    </row>
    <row r="376">
      <c r="A376" s="6"/>
      <c r="B376" s="6" t="s">
        <v>158</v>
      </c>
      <c r="C376" s="71" t="s">
        <v>12</v>
      </c>
      <c r="D376" s="72" t="str">
        <f t="array" ref="D376">XLOOKUP(C376,'Master Data'!C:C,'Master Data'!D:D)</f>
        <v/>
      </c>
      <c r="E376" s="73"/>
      <c r="F376" s="72" t="str">
        <f t="array" ref="F376">XLOOKUP(C376,'Master Data'!C:C,'Master Data'!E:E)</f>
        <v/>
      </c>
      <c r="G376" s="72" t="str">
        <f t="array" ref="G376">XLOOKUP(C376,'Master Data'!C:C,'Master Data'!F:F)</f>
        <v/>
      </c>
      <c r="H376" s="72" t="str">
        <f t="array" ref="H376">XLOOKUP(C376,'Master Data'!C:C,'Master Data'!G:G)</f>
        <v/>
      </c>
      <c r="I376" s="72" t="str">
        <f t="array" ref="I376">XLOOKUP(C376,'Master Data'!C:C,'Master Data'!H:H)</f>
        <v/>
      </c>
      <c r="J376" s="72" t="str">
        <f t="array" ref="J376">XLOOKUP(C376,'Master Data'!C:C,'Master Data'!I:I)</f>
        <v/>
      </c>
      <c r="K376" s="72" t="str">
        <f t="array" ref="K376">XLOOKUP(C376,'Master Data'!C:C,'Master Data'!J:J)</f>
        <v/>
      </c>
      <c r="L376" s="74" t="str">
        <f t="array" ref="L376">XLOOKUP(C:C,TSR_Completion!C:C,TSR_Completion!M:M)</f>
        <v/>
      </c>
      <c r="M376" s="4"/>
      <c r="N376" s="4"/>
      <c r="O376" s="4"/>
      <c r="P376" s="4"/>
      <c r="Q376" s="4"/>
      <c r="R376" s="4"/>
      <c r="S376" s="4"/>
      <c r="T376" s="4"/>
      <c r="U376" s="4"/>
      <c r="V376" s="4"/>
      <c r="W376" s="4"/>
      <c r="X376" s="4"/>
      <c r="Y376" s="4"/>
    </row>
    <row r="377">
      <c r="A377" s="6"/>
      <c r="B377" s="6" t="s">
        <v>158</v>
      </c>
      <c r="C377" s="71" t="s">
        <v>12</v>
      </c>
      <c r="D377" s="72" t="str">
        <f t="array" ref="D377">XLOOKUP(C377,'Master Data'!C:C,'Master Data'!D:D)</f>
        <v/>
      </c>
      <c r="E377" s="73"/>
      <c r="F377" s="72" t="str">
        <f t="array" ref="F377">XLOOKUP(C377,'Master Data'!C:C,'Master Data'!E:E)</f>
        <v/>
      </c>
      <c r="G377" s="72" t="str">
        <f t="array" ref="G377">XLOOKUP(C377,'Master Data'!C:C,'Master Data'!F:F)</f>
        <v/>
      </c>
      <c r="H377" s="72" t="str">
        <f t="array" ref="H377">XLOOKUP(C377,'Master Data'!C:C,'Master Data'!G:G)</f>
        <v/>
      </c>
      <c r="I377" s="72" t="str">
        <f t="array" ref="I377">XLOOKUP(C377,'Master Data'!C:C,'Master Data'!H:H)</f>
        <v/>
      </c>
      <c r="J377" s="72" t="str">
        <f t="array" ref="J377">XLOOKUP(C377,'Master Data'!C:C,'Master Data'!I:I)</f>
        <v/>
      </c>
      <c r="K377" s="72" t="str">
        <f t="array" ref="K377">XLOOKUP(C377,'Master Data'!C:C,'Master Data'!J:J)</f>
        <v/>
      </c>
      <c r="L377" s="74" t="str">
        <f t="array" ref="L377">XLOOKUP(C:C,TSR_Completion!C:C,TSR_Completion!M:M)</f>
        <v/>
      </c>
      <c r="M377" s="4"/>
      <c r="N377" s="4"/>
      <c r="O377" s="4"/>
      <c r="P377" s="4"/>
      <c r="Q377" s="4"/>
      <c r="R377" s="4"/>
      <c r="S377" s="4"/>
      <c r="T377" s="4"/>
      <c r="U377" s="4"/>
      <c r="V377" s="4"/>
      <c r="W377" s="4"/>
      <c r="X377" s="4"/>
      <c r="Y377" s="4"/>
    </row>
    <row r="378">
      <c r="A378" s="6"/>
      <c r="B378" s="6" t="s">
        <v>158</v>
      </c>
      <c r="C378" s="71" t="s">
        <v>12</v>
      </c>
      <c r="D378" s="72" t="str">
        <f t="array" ref="D378">XLOOKUP(C378,'Master Data'!C:C,'Master Data'!D:D)</f>
        <v/>
      </c>
      <c r="E378" s="73"/>
      <c r="F378" s="72" t="str">
        <f t="array" ref="F378">XLOOKUP(C378,'Master Data'!C:C,'Master Data'!E:E)</f>
        <v/>
      </c>
      <c r="G378" s="72" t="str">
        <f t="array" ref="G378">XLOOKUP(C378,'Master Data'!C:C,'Master Data'!F:F)</f>
        <v/>
      </c>
      <c r="H378" s="72" t="str">
        <f t="array" ref="H378">XLOOKUP(C378,'Master Data'!C:C,'Master Data'!G:G)</f>
        <v/>
      </c>
      <c r="I378" s="72" t="str">
        <f t="array" ref="I378">XLOOKUP(C378,'Master Data'!C:C,'Master Data'!H:H)</f>
        <v/>
      </c>
      <c r="J378" s="72" t="str">
        <f t="array" ref="J378">XLOOKUP(C378,'Master Data'!C:C,'Master Data'!I:I)</f>
        <v/>
      </c>
      <c r="K378" s="72" t="str">
        <f t="array" ref="K378">XLOOKUP(C378,'Master Data'!C:C,'Master Data'!J:J)</f>
        <v/>
      </c>
      <c r="L378" s="74" t="str">
        <f t="array" ref="L378">XLOOKUP(C:C,TSR_Completion!C:C,TSR_Completion!M:M)</f>
        <v/>
      </c>
      <c r="M378" s="4"/>
      <c r="N378" s="4"/>
      <c r="O378" s="4"/>
      <c r="P378" s="4"/>
      <c r="Q378" s="4"/>
      <c r="R378" s="4"/>
      <c r="S378" s="4"/>
      <c r="T378" s="4"/>
      <c r="U378" s="4"/>
      <c r="V378" s="4"/>
      <c r="W378" s="4"/>
      <c r="X378" s="4"/>
      <c r="Y378" s="4"/>
    </row>
    <row r="379">
      <c r="A379" s="6"/>
      <c r="B379" s="6" t="s">
        <v>158</v>
      </c>
      <c r="C379" s="71" t="s">
        <v>12</v>
      </c>
      <c r="D379" s="72" t="str">
        <f t="array" ref="D379">XLOOKUP(C379,'Master Data'!C:C,'Master Data'!D:D)</f>
        <v/>
      </c>
      <c r="E379" s="73"/>
      <c r="F379" s="72" t="str">
        <f t="array" ref="F379">XLOOKUP(C379,'Master Data'!C:C,'Master Data'!E:E)</f>
        <v/>
      </c>
      <c r="G379" s="72" t="str">
        <f t="array" ref="G379">XLOOKUP(C379,'Master Data'!C:C,'Master Data'!F:F)</f>
        <v/>
      </c>
      <c r="H379" s="72" t="str">
        <f t="array" ref="H379">XLOOKUP(C379,'Master Data'!C:C,'Master Data'!G:G)</f>
        <v/>
      </c>
      <c r="I379" s="72" t="str">
        <f t="array" ref="I379">XLOOKUP(C379,'Master Data'!C:C,'Master Data'!H:H)</f>
        <v/>
      </c>
      <c r="J379" s="72" t="str">
        <f t="array" ref="J379">XLOOKUP(C379,'Master Data'!C:C,'Master Data'!I:I)</f>
        <v/>
      </c>
      <c r="K379" s="72" t="str">
        <f t="array" ref="K379">XLOOKUP(C379,'Master Data'!C:C,'Master Data'!J:J)</f>
        <v/>
      </c>
      <c r="L379" s="74" t="str">
        <f t="array" ref="L379">XLOOKUP(C:C,TSR_Completion!C:C,TSR_Completion!M:M)</f>
        <v/>
      </c>
      <c r="M379" s="4"/>
      <c r="N379" s="4"/>
      <c r="O379" s="4"/>
      <c r="P379" s="4"/>
      <c r="Q379" s="4"/>
      <c r="R379" s="4"/>
      <c r="S379" s="4"/>
      <c r="T379" s="4"/>
      <c r="U379" s="4"/>
      <c r="V379" s="4"/>
      <c r="W379" s="4"/>
      <c r="X379" s="4"/>
      <c r="Y379" s="4"/>
    </row>
    <row r="380">
      <c r="A380" s="6"/>
      <c r="B380" s="6" t="s">
        <v>158</v>
      </c>
      <c r="C380" s="71" t="s">
        <v>12</v>
      </c>
      <c r="D380" s="72" t="str">
        <f t="array" ref="D380">XLOOKUP(C380,'Master Data'!C:C,'Master Data'!D:D)</f>
        <v/>
      </c>
      <c r="E380" s="73"/>
      <c r="F380" s="72" t="str">
        <f t="array" ref="F380">XLOOKUP(C380,'Master Data'!C:C,'Master Data'!E:E)</f>
        <v/>
      </c>
      <c r="G380" s="72" t="str">
        <f t="array" ref="G380">XLOOKUP(C380,'Master Data'!C:C,'Master Data'!F:F)</f>
        <v/>
      </c>
      <c r="H380" s="72" t="str">
        <f t="array" ref="H380">XLOOKUP(C380,'Master Data'!C:C,'Master Data'!G:G)</f>
        <v/>
      </c>
      <c r="I380" s="72" t="str">
        <f t="array" ref="I380">XLOOKUP(C380,'Master Data'!C:C,'Master Data'!H:H)</f>
        <v/>
      </c>
      <c r="J380" s="72" t="str">
        <f t="array" ref="J380">XLOOKUP(C380,'Master Data'!C:C,'Master Data'!I:I)</f>
        <v/>
      </c>
      <c r="K380" s="72" t="str">
        <f t="array" ref="K380">XLOOKUP(C380,'Master Data'!C:C,'Master Data'!J:J)</f>
        <v/>
      </c>
      <c r="L380" s="74" t="str">
        <f t="array" ref="L380">XLOOKUP(C:C,TSR_Completion!C:C,TSR_Completion!M:M)</f>
        <v/>
      </c>
      <c r="M380" s="4"/>
      <c r="N380" s="4"/>
      <c r="O380" s="4"/>
      <c r="P380" s="4"/>
      <c r="Q380" s="4"/>
      <c r="R380" s="4"/>
      <c r="S380" s="4"/>
      <c r="T380" s="4"/>
      <c r="U380" s="4"/>
      <c r="V380" s="4"/>
      <c r="W380" s="4"/>
      <c r="X380" s="4"/>
      <c r="Y380" s="4"/>
    </row>
    <row r="381">
      <c r="A381" s="6"/>
      <c r="B381" s="6" t="s">
        <v>158</v>
      </c>
      <c r="C381" s="71" t="s">
        <v>12</v>
      </c>
      <c r="D381" s="72" t="str">
        <f t="array" ref="D381">XLOOKUP(C381,'Master Data'!C:C,'Master Data'!D:D)</f>
        <v/>
      </c>
      <c r="E381" s="73"/>
      <c r="F381" s="72" t="str">
        <f t="array" ref="F381">XLOOKUP(C381,'Master Data'!C:C,'Master Data'!E:E)</f>
        <v/>
      </c>
      <c r="G381" s="72" t="str">
        <f t="array" ref="G381">XLOOKUP(C381,'Master Data'!C:C,'Master Data'!F:F)</f>
        <v/>
      </c>
      <c r="H381" s="72" t="str">
        <f t="array" ref="H381">XLOOKUP(C381,'Master Data'!C:C,'Master Data'!G:G)</f>
        <v/>
      </c>
      <c r="I381" s="72" t="str">
        <f t="array" ref="I381">XLOOKUP(C381,'Master Data'!C:C,'Master Data'!H:H)</f>
        <v/>
      </c>
      <c r="J381" s="72" t="str">
        <f t="array" ref="J381">XLOOKUP(C381,'Master Data'!C:C,'Master Data'!I:I)</f>
        <v/>
      </c>
      <c r="K381" s="72" t="str">
        <f t="array" ref="K381">XLOOKUP(C381,'Master Data'!C:C,'Master Data'!J:J)</f>
        <v/>
      </c>
      <c r="L381" s="74" t="str">
        <f t="array" ref="L381">XLOOKUP(C:C,TSR_Completion!C:C,TSR_Completion!M:M)</f>
        <v/>
      </c>
      <c r="M381" s="4"/>
      <c r="N381" s="4"/>
      <c r="O381" s="4"/>
      <c r="P381" s="4"/>
      <c r="Q381" s="4"/>
      <c r="R381" s="4"/>
      <c r="S381" s="4"/>
      <c r="T381" s="4"/>
      <c r="U381" s="4"/>
      <c r="V381" s="4"/>
      <c r="W381" s="4"/>
      <c r="X381" s="4"/>
      <c r="Y381" s="4"/>
    </row>
    <row r="382">
      <c r="A382" s="6"/>
      <c r="B382" s="6" t="s">
        <v>158</v>
      </c>
      <c r="C382" s="71" t="s">
        <v>12</v>
      </c>
      <c r="D382" s="72" t="str">
        <f t="array" ref="D382">XLOOKUP(C382,'Master Data'!C:C,'Master Data'!D:D)</f>
        <v/>
      </c>
      <c r="E382" s="73"/>
      <c r="F382" s="72" t="str">
        <f t="array" ref="F382">XLOOKUP(C382,'Master Data'!C:C,'Master Data'!E:E)</f>
        <v/>
      </c>
      <c r="G382" s="72" t="str">
        <f t="array" ref="G382">XLOOKUP(C382,'Master Data'!C:C,'Master Data'!F:F)</f>
        <v/>
      </c>
      <c r="H382" s="72" t="str">
        <f t="array" ref="H382">XLOOKUP(C382,'Master Data'!C:C,'Master Data'!G:G)</f>
        <v/>
      </c>
      <c r="I382" s="72" t="str">
        <f t="array" ref="I382">XLOOKUP(C382,'Master Data'!C:C,'Master Data'!H:H)</f>
        <v/>
      </c>
      <c r="J382" s="72" t="str">
        <f t="array" ref="J382">XLOOKUP(C382,'Master Data'!C:C,'Master Data'!I:I)</f>
        <v/>
      </c>
      <c r="K382" s="72" t="str">
        <f t="array" ref="K382">XLOOKUP(C382,'Master Data'!C:C,'Master Data'!J:J)</f>
        <v/>
      </c>
      <c r="L382" s="74" t="str">
        <f t="array" ref="L382">XLOOKUP(C:C,TSR_Completion!C:C,TSR_Completion!M:M)</f>
        <v/>
      </c>
      <c r="M382" s="4"/>
      <c r="N382" s="4"/>
      <c r="O382" s="4"/>
      <c r="P382" s="4"/>
      <c r="Q382" s="4"/>
      <c r="R382" s="4"/>
      <c r="S382" s="4"/>
      <c r="T382" s="4"/>
      <c r="U382" s="4"/>
      <c r="V382" s="4"/>
      <c r="W382" s="4"/>
      <c r="X382" s="4"/>
      <c r="Y382" s="4"/>
    </row>
    <row r="383">
      <c r="A383" s="6"/>
      <c r="B383" s="6" t="s">
        <v>158</v>
      </c>
      <c r="C383" s="71" t="s">
        <v>12</v>
      </c>
      <c r="D383" s="72" t="str">
        <f t="array" ref="D383">XLOOKUP(C383,'Master Data'!C:C,'Master Data'!D:D)</f>
        <v/>
      </c>
      <c r="E383" s="73"/>
      <c r="F383" s="72" t="str">
        <f t="array" ref="F383">XLOOKUP(C383,'Master Data'!C:C,'Master Data'!E:E)</f>
        <v/>
      </c>
      <c r="G383" s="72" t="str">
        <f t="array" ref="G383">XLOOKUP(C383,'Master Data'!C:C,'Master Data'!F:F)</f>
        <v/>
      </c>
      <c r="H383" s="72" t="str">
        <f t="array" ref="H383">XLOOKUP(C383,'Master Data'!C:C,'Master Data'!G:G)</f>
        <v/>
      </c>
      <c r="I383" s="72" t="str">
        <f t="array" ref="I383">XLOOKUP(C383,'Master Data'!C:C,'Master Data'!H:H)</f>
        <v/>
      </c>
      <c r="J383" s="72" t="str">
        <f t="array" ref="J383">XLOOKUP(C383,'Master Data'!C:C,'Master Data'!I:I)</f>
        <v/>
      </c>
      <c r="K383" s="72" t="str">
        <f t="array" ref="K383">XLOOKUP(C383,'Master Data'!C:C,'Master Data'!J:J)</f>
        <v/>
      </c>
      <c r="L383" s="74" t="str">
        <f t="array" ref="L383">XLOOKUP(C:C,TSR_Completion!C:C,TSR_Completion!M:M)</f>
        <v/>
      </c>
      <c r="M383" s="4"/>
      <c r="N383" s="4"/>
      <c r="O383" s="4"/>
      <c r="P383" s="4"/>
      <c r="Q383" s="4"/>
      <c r="R383" s="4"/>
      <c r="S383" s="4"/>
      <c r="T383" s="4"/>
      <c r="U383" s="4"/>
      <c r="V383" s="4"/>
      <c r="W383" s="4"/>
      <c r="X383" s="4"/>
      <c r="Y383" s="4"/>
    </row>
    <row r="384">
      <c r="A384" s="6"/>
      <c r="B384" s="6" t="s">
        <v>158</v>
      </c>
      <c r="C384" s="71" t="s">
        <v>12</v>
      </c>
      <c r="D384" s="72" t="str">
        <f t="array" ref="D384">XLOOKUP(C384,'Master Data'!C:C,'Master Data'!D:D)</f>
        <v/>
      </c>
      <c r="E384" s="73"/>
      <c r="F384" s="72" t="str">
        <f t="array" ref="F384">XLOOKUP(C384,'Master Data'!C:C,'Master Data'!E:E)</f>
        <v/>
      </c>
      <c r="G384" s="72" t="str">
        <f t="array" ref="G384">XLOOKUP(C384,'Master Data'!C:C,'Master Data'!F:F)</f>
        <v/>
      </c>
      <c r="H384" s="72" t="str">
        <f t="array" ref="H384">XLOOKUP(C384,'Master Data'!C:C,'Master Data'!G:G)</f>
        <v/>
      </c>
      <c r="I384" s="72" t="str">
        <f t="array" ref="I384">XLOOKUP(C384,'Master Data'!C:C,'Master Data'!H:H)</f>
        <v/>
      </c>
      <c r="J384" s="72" t="str">
        <f t="array" ref="J384">XLOOKUP(C384,'Master Data'!C:C,'Master Data'!I:I)</f>
        <v/>
      </c>
      <c r="K384" s="72" t="str">
        <f t="array" ref="K384">XLOOKUP(C384,'Master Data'!C:C,'Master Data'!J:J)</f>
        <v/>
      </c>
      <c r="L384" s="74" t="str">
        <f t="array" ref="L384">XLOOKUP(C:C,TSR_Completion!C:C,TSR_Completion!M:M)</f>
        <v/>
      </c>
      <c r="M384" s="4"/>
      <c r="N384" s="4"/>
      <c r="O384" s="4"/>
      <c r="P384" s="4"/>
      <c r="Q384" s="4"/>
      <c r="R384" s="4"/>
      <c r="S384" s="4"/>
      <c r="T384" s="4"/>
      <c r="U384" s="4"/>
      <c r="V384" s="4"/>
      <c r="W384" s="4"/>
      <c r="X384" s="4"/>
      <c r="Y384" s="4"/>
    </row>
    <row r="385">
      <c r="A385" s="6"/>
      <c r="B385" s="6" t="s">
        <v>158</v>
      </c>
      <c r="C385" s="71" t="s">
        <v>12</v>
      </c>
      <c r="D385" s="72" t="str">
        <f t="array" ref="D385">XLOOKUP(C385,'Master Data'!C:C,'Master Data'!D:D)</f>
        <v/>
      </c>
      <c r="E385" s="73"/>
      <c r="F385" s="72" t="str">
        <f t="array" ref="F385">XLOOKUP(C385,'Master Data'!C:C,'Master Data'!E:E)</f>
        <v/>
      </c>
      <c r="G385" s="72" t="str">
        <f t="array" ref="G385">XLOOKUP(C385,'Master Data'!C:C,'Master Data'!F:F)</f>
        <v/>
      </c>
      <c r="H385" s="72" t="str">
        <f t="array" ref="H385">XLOOKUP(C385,'Master Data'!C:C,'Master Data'!G:G)</f>
        <v/>
      </c>
      <c r="I385" s="72" t="str">
        <f t="array" ref="I385">XLOOKUP(C385,'Master Data'!C:C,'Master Data'!H:H)</f>
        <v/>
      </c>
      <c r="J385" s="72" t="str">
        <f t="array" ref="J385">XLOOKUP(C385,'Master Data'!C:C,'Master Data'!I:I)</f>
        <v/>
      </c>
      <c r="K385" s="72" t="str">
        <f t="array" ref="K385">XLOOKUP(C385,'Master Data'!C:C,'Master Data'!J:J)</f>
        <v/>
      </c>
      <c r="L385" s="74" t="str">
        <f t="array" ref="L385">XLOOKUP(C:C,TSR_Completion!C:C,TSR_Completion!M:M)</f>
        <v/>
      </c>
      <c r="M385" s="4"/>
      <c r="N385" s="4"/>
      <c r="O385" s="4"/>
      <c r="P385" s="4"/>
      <c r="Q385" s="4"/>
      <c r="R385" s="4"/>
      <c r="S385" s="4"/>
      <c r="T385" s="4"/>
      <c r="U385" s="4"/>
      <c r="V385" s="4"/>
      <c r="W385" s="4"/>
      <c r="X385" s="4"/>
      <c r="Y385" s="4"/>
    </row>
    <row r="386">
      <c r="A386" s="6"/>
      <c r="B386" s="6" t="s">
        <v>158</v>
      </c>
      <c r="C386" s="71" t="s">
        <v>12</v>
      </c>
      <c r="D386" s="72" t="str">
        <f t="array" ref="D386">XLOOKUP(C386,'Master Data'!C:C,'Master Data'!D:D)</f>
        <v/>
      </c>
      <c r="E386" s="73"/>
      <c r="F386" s="72" t="str">
        <f t="array" ref="F386">XLOOKUP(C386,'Master Data'!C:C,'Master Data'!E:E)</f>
        <v/>
      </c>
      <c r="G386" s="72" t="str">
        <f t="array" ref="G386">XLOOKUP(C386,'Master Data'!C:C,'Master Data'!F:F)</f>
        <v/>
      </c>
      <c r="H386" s="72" t="str">
        <f t="array" ref="H386">XLOOKUP(C386,'Master Data'!C:C,'Master Data'!G:G)</f>
        <v/>
      </c>
      <c r="I386" s="72" t="str">
        <f t="array" ref="I386">XLOOKUP(C386,'Master Data'!C:C,'Master Data'!H:H)</f>
        <v/>
      </c>
      <c r="J386" s="72" t="str">
        <f t="array" ref="J386">XLOOKUP(C386,'Master Data'!C:C,'Master Data'!I:I)</f>
        <v/>
      </c>
      <c r="K386" s="72" t="str">
        <f t="array" ref="K386">XLOOKUP(C386,'Master Data'!C:C,'Master Data'!J:J)</f>
        <v/>
      </c>
      <c r="L386" s="74" t="str">
        <f t="array" ref="L386">XLOOKUP(C:C,TSR_Completion!C:C,TSR_Completion!M:M)</f>
        <v/>
      </c>
      <c r="M386" s="4"/>
      <c r="N386" s="4"/>
      <c r="O386" s="4"/>
      <c r="P386" s="4"/>
      <c r="Q386" s="4"/>
      <c r="R386" s="4"/>
      <c r="S386" s="4"/>
      <c r="T386" s="4"/>
      <c r="U386" s="4"/>
      <c r="V386" s="4"/>
      <c r="W386" s="4"/>
      <c r="X386" s="4"/>
      <c r="Y386" s="4"/>
    </row>
    <row r="387">
      <c r="A387" s="6"/>
      <c r="B387" s="6" t="s">
        <v>158</v>
      </c>
      <c r="C387" s="71" t="s">
        <v>12</v>
      </c>
      <c r="D387" s="72" t="str">
        <f t="array" ref="D387">XLOOKUP(C387,'Master Data'!C:C,'Master Data'!D:D)</f>
        <v/>
      </c>
      <c r="E387" s="73"/>
      <c r="F387" s="72" t="str">
        <f t="array" ref="F387">XLOOKUP(C387,'Master Data'!C:C,'Master Data'!E:E)</f>
        <v/>
      </c>
      <c r="G387" s="72" t="str">
        <f t="array" ref="G387">XLOOKUP(C387,'Master Data'!C:C,'Master Data'!F:F)</f>
        <v/>
      </c>
      <c r="H387" s="72" t="str">
        <f t="array" ref="H387">XLOOKUP(C387,'Master Data'!C:C,'Master Data'!G:G)</f>
        <v/>
      </c>
      <c r="I387" s="72" t="str">
        <f t="array" ref="I387">XLOOKUP(C387,'Master Data'!C:C,'Master Data'!H:H)</f>
        <v/>
      </c>
      <c r="J387" s="72" t="str">
        <f t="array" ref="J387">XLOOKUP(C387,'Master Data'!C:C,'Master Data'!I:I)</f>
        <v/>
      </c>
      <c r="K387" s="72" t="str">
        <f t="array" ref="K387">XLOOKUP(C387,'Master Data'!C:C,'Master Data'!J:J)</f>
        <v/>
      </c>
      <c r="L387" s="74" t="str">
        <f t="array" ref="L387">XLOOKUP(C:C,TSR_Completion!C:C,TSR_Completion!M:M)</f>
        <v/>
      </c>
      <c r="M387" s="4"/>
      <c r="N387" s="4"/>
      <c r="O387" s="4"/>
      <c r="P387" s="4"/>
      <c r="Q387" s="4"/>
      <c r="R387" s="4"/>
      <c r="S387" s="4"/>
      <c r="T387" s="4"/>
      <c r="U387" s="4"/>
      <c r="V387" s="4"/>
      <c r="W387" s="4"/>
      <c r="X387" s="4"/>
      <c r="Y387" s="4"/>
    </row>
    <row r="388">
      <c r="A388" s="6"/>
      <c r="B388" s="6" t="s">
        <v>158</v>
      </c>
      <c r="C388" s="71" t="s">
        <v>12</v>
      </c>
      <c r="D388" s="72" t="str">
        <f t="array" ref="D388">XLOOKUP(C388,'Master Data'!C:C,'Master Data'!D:D)</f>
        <v/>
      </c>
      <c r="E388" s="73"/>
      <c r="F388" s="72" t="str">
        <f t="array" ref="F388">XLOOKUP(C388,'Master Data'!C:C,'Master Data'!E:E)</f>
        <v/>
      </c>
      <c r="G388" s="72" t="str">
        <f t="array" ref="G388">XLOOKUP(C388,'Master Data'!C:C,'Master Data'!F:F)</f>
        <v/>
      </c>
      <c r="H388" s="72" t="str">
        <f t="array" ref="H388">XLOOKUP(C388,'Master Data'!C:C,'Master Data'!G:G)</f>
        <v/>
      </c>
      <c r="I388" s="72" t="str">
        <f t="array" ref="I388">XLOOKUP(C388,'Master Data'!C:C,'Master Data'!H:H)</f>
        <v/>
      </c>
      <c r="J388" s="72" t="str">
        <f t="array" ref="J388">XLOOKUP(C388,'Master Data'!C:C,'Master Data'!I:I)</f>
        <v/>
      </c>
      <c r="K388" s="72" t="str">
        <f t="array" ref="K388">XLOOKUP(C388,'Master Data'!C:C,'Master Data'!J:J)</f>
        <v/>
      </c>
      <c r="L388" s="74" t="str">
        <f t="array" ref="L388">XLOOKUP(C:C,TSR_Completion!C:C,TSR_Completion!M:M)</f>
        <v/>
      </c>
      <c r="M388" s="4"/>
      <c r="N388" s="4"/>
      <c r="O388" s="4"/>
      <c r="P388" s="4"/>
      <c r="Q388" s="4"/>
      <c r="R388" s="4"/>
      <c r="S388" s="4"/>
      <c r="T388" s="4"/>
      <c r="U388" s="4"/>
      <c r="V388" s="4"/>
      <c r="W388" s="4"/>
      <c r="X388" s="4"/>
      <c r="Y388" s="4"/>
    </row>
    <row r="389">
      <c r="A389" s="6"/>
      <c r="B389" s="6" t="s">
        <v>158</v>
      </c>
      <c r="C389" s="71" t="s">
        <v>12</v>
      </c>
      <c r="D389" s="72" t="str">
        <f t="array" ref="D389">XLOOKUP(C389,'Master Data'!C:C,'Master Data'!D:D)</f>
        <v/>
      </c>
      <c r="E389" s="73"/>
      <c r="F389" s="72" t="str">
        <f t="array" ref="F389">XLOOKUP(C389,'Master Data'!C:C,'Master Data'!E:E)</f>
        <v/>
      </c>
      <c r="G389" s="72" t="str">
        <f t="array" ref="G389">XLOOKUP(C389,'Master Data'!C:C,'Master Data'!F:F)</f>
        <v/>
      </c>
      <c r="H389" s="72" t="str">
        <f t="array" ref="H389">XLOOKUP(C389,'Master Data'!C:C,'Master Data'!G:G)</f>
        <v/>
      </c>
      <c r="I389" s="72" t="str">
        <f t="array" ref="I389">XLOOKUP(C389,'Master Data'!C:C,'Master Data'!H:H)</f>
        <v/>
      </c>
      <c r="J389" s="72" t="str">
        <f t="array" ref="J389">XLOOKUP(C389,'Master Data'!C:C,'Master Data'!I:I)</f>
        <v/>
      </c>
      <c r="K389" s="72" t="str">
        <f t="array" ref="K389">XLOOKUP(C389,'Master Data'!C:C,'Master Data'!J:J)</f>
        <v/>
      </c>
      <c r="L389" s="74" t="str">
        <f t="array" ref="L389">XLOOKUP(C:C,TSR_Completion!C:C,TSR_Completion!M:M)</f>
        <v/>
      </c>
      <c r="M389" s="4"/>
      <c r="N389" s="4"/>
      <c r="O389" s="4"/>
      <c r="P389" s="4"/>
      <c r="Q389" s="4"/>
      <c r="R389" s="4"/>
      <c r="S389" s="4"/>
      <c r="T389" s="4"/>
      <c r="U389" s="4"/>
      <c r="V389" s="4"/>
      <c r="W389" s="4"/>
      <c r="X389" s="4"/>
      <c r="Y389" s="4"/>
    </row>
    <row r="390">
      <c r="A390" s="6"/>
      <c r="B390" s="6" t="s">
        <v>158</v>
      </c>
      <c r="C390" s="71" t="s">
        <v>12</v>
      </c>
      <c r="D390" s="72" t="str">
        <f t="array" ref="D390">XLOOKUP(C390,'Master Data'!C:C,'Master Data'!D:D)</f>
        <v/>
      </c>
      <c r="E390" s="73"/>
      <c r="F390" s="72" t="str">
        <f t="array" ref="F390">XLOOKUP(C390,'Master Data'!C:C,'Master Data'!E:E)</f>
        <v/>
      </c>
      <c r="G390" s="72" t="str">
        <f t="array" ref="G390">XLOOKUP(C390,'Master Data'!C:C,'Master Data'!F:F)</f>
        <v/>
      </c>
      <c r="H390" s="72" t="str">
        <f t="array" ref="H390">XLOOKUP(C390,'Master Data'!C:C,'Master Data'!G:G)</f>
        <v/>
      </c>
      <c r="I390" s="72" t="str">
        <f t="array" ref="I390">XLOOKUP(C390,'Master Data'!C:C,'Master Data'!H:H)</f>
        <v/>
      </c>
      <c r="J390" s="72" t="str">
        <f t="array" ref="J390">XLOOKUP(C390,'Master Data'!C:C,'Master Data'!I:I)</f>
        <v/>
      </c>
      <c r="K390" s="72" t="str">
        <f t="array" ref="K390">XLOOKUP(C390,'Master Data'!C:C,'Master Data'!J:J)</f>
        <v/>
      </c>
      <c r="L390" s="74" t="str">
        <f t="array" ref="L390">XLOOKUP(C:C,TSR_Completion!C:C,TSR_Completion!M:M)</f>
        <v/>
      </c>
      <c r="M390" s="4"/>
      <c r="N390" s="4"/>
      <c r="O390" s="4"/>
      <c r="P390" s="4"/>
      <c r="Q390" s="4"/>
      <c r="R390" s="4"/>
      <c r="S390" s="4"/>
      <c r="T390" s="4"/>
      <c r="U390" s="4"/>
      <c r="V390" s="4"/>
      <c r="W390" s="4"/>
      <c r="X390" s="4"/>
      <c r="Y390" s="4"/>
    </row>
    <row r="391">
      <c r="A391" s="6"/>
      <c r="B391" s="6" t="s">
        <v>158</v>
      </c>
      <c r="C391" s="71" t="s">
        <v>12</v>
      </c>
      <c r="D391" s="72" t="str">
        <f t="array" ref="D391">XLOOKUP(C391,'Master Data'!C:C,'Master Data'!D:D)</f>
        <v/>
      </c>
      <c r="E391" s="73"/>
      <c r="F391" s="72" t="str">
        <f t="array" ref="F391">XLOOKUP(C391,'Master Data'!C:C,'Master Data'!E:E)</f>
        <v/>
      </c>
      <c r="G391" s="72" t="str">
        <f t="array" ref="G391">XLOOKUP(C391,'Master Data'!C:C,'Master Data'!F:F)</f>
        <v/>
      </c>
      <c r="H391" s="72" t="str">
        <f t="array" ref="H391">XLOOKUP(C391,'Master Data'!C:C,'Master Data'!G:G)</f>
        <v/>
      </c>
      <c r="I391" s="72" t="str">
        <f t="array" ref="I391">XLOOKUP(C391,'Master Data'!C:C,'Master Data'!H:H)</f>
        <v/>
      </c>
      <c r="J391" s="72" t="str">
        <f t="array" ref="J391">XLOOKUP(C391,'Master Data'!C:C,'Master Data'!I:I)</f>
        <v/>
      </c>
      <c r="K391" s="72" t="str">
        <f t="array" ref="K391">XLOOKUP(C391,'Master Data'!C:C,'Master Data'!J:J)</f>
        <v/>
      </c>
      <c r="L391" s="74" t="str">
        <f t="array" ref="L391">XLOOKUP(C:C,TSR_Completion!C:C,TSR_Completion!M:M)</f>
        <v/>
      </c>
      <c r="M391" s="4"/>
      <c r="N391" s="4"/>
      <c r="O391" s="4"/>
      <c r="P391" s="4"/>
      <c r="Q391" s="4"/>
      <c r="R391" s="4"/>
      <c r="S391" s="4"/>
      <c r="T391" s="4"/>
      <c r="U391" s="4"/>
      <c r="V391" s="4"/>
      <c r="W391" s="4"/>
      <c r="X391" s="4"/>
      <c r="Y391" s="4"/>
    </row>
    <row r="392">
      <c r="A392" s="6"/>
      <c r="B392" s="6" t="s">
        <v>158</v>
      </c>
      <c r="C392" s="71" t="s">
        <v>12</v>
      </c>
      <c r="D392" s="72" t="str">
        <f t="array" ref="D392">XLOOKUP(C392,'Master Data'!C:C,'Master Data'!D:D)</f>
        <v/>
      </c>
      <c r="E392" s="73"/>
      <c r="F392" s="72" t="str">
        <f t="array" ref="F392">XLOOKUP(C392,'Master Data'!C:C,'Master Data'!E:E)</f>
        <v/>
      </c>
      <c r="G392" s="72" t="str">
        <f t="array" ref="G392">XLOOKUP(C392,'Master Data'!C:C,'Master Data'!F:F)</f>
        <v/>
      </c>
      <c r="H392" s="72" t="str">
        <f t="array" ref="H392">XLOOKUP(C392,'Master Data'!C:C,'Master Data'!G:G)</f>
        <v/>
      </c>
      <c r="I392" s="72" t="str">
        <f t="array" ref="I392">XLOOKUP(C392,'Master Data'!C:C,'Master Data'!H:H)</f>
        <v/>
      </c>
      <c r="J392" s="72" t="str">
        <f t="array" ref="J392">XLOOKUP(C392,'Master Data'!C:C,'Master Data'!I:I)</f>
        <v/>
      </c>
      <c r="K392" s="72" t="str">
        <f t="array" ref="K392">XLOOKUP(C392,'Master Data'!C:C,'Master Data'!J:J)</f>
        <v/>
      </c>
      <c r="L392" s="74" t="str">
        <f t="array" ref="L392">XLOOKUP(C:C,TSR_Completion!C:C,TSR_Completion!M:M)</f>
        <v/>
      </c>
      <c r="M392" s="4"/>
      <c r="N392" s="4"/>
      <c r="O392" s="4"/>
      <c r="P392" s="4"/>
      <c r="Q392" s="4"/>
      <c r="R392" s="4"/>
      <c r="S392" s="4"/>
      <c r="T392" s="4"/>
      <c r="U392" s="4"/>
      <c r="V392" s="4"/>
      <c r="W392" s="4"/>
      <c r="X392" s="4"/>
      <c r="Y392" s="4"/>
    </row>
    <row r="393">
      <c r="A393" s="6"/>
      <c r="B393" s="6" t="s">
        <v>158</v>
      </c>
      <c r="C393" s="71" t="s">
        <v>12</v>
      </c>
      <c r="D393" s="72" t="str">
        <f t="array" ref="D393">XLOOKUP(C393,'Master Data'!C:C,'Master Data'!D:D)</f>
        <v/>
      </c>
      <c r="E393" s="73"/>
      <c r="F393" s="72" t="str">
        <f t="array" ref="F393">XLOOKUP(C393,'Master Data'!C:C,'Master Data'!E:E)</f>
        <v/>
      </c>
      <c r="G393" s="72" t="str">
        <f t="array" ref="G393">XLOOKUP(C393,'Master Data'!C:C,'Master Data'!F:F)</f>
        <v/>
      </c>
      <c r="H393" s="72" t="str">
        <f t="array" ref="H393">XLOOKUP(C393,'Master Data'!C:C,'Master Data'!G:G)</f>
        <v/>
      </c>
      <c r="I393" s="72" t="str">
        <f t="array" ref="I393">XLOOKUP(C393,'Master Data'!C:C,'Master Data'!H:H)</f>
        <v/>
      </c>
      <c r="J393" s="72" t="str">
        <f t="array" ref="J393">XLOOKUP(C393,'Master Data'!C:C,'Master Data'!I:I)</f>
        <v/>
      </c>
      <c r="K393" s="72" t="str">
        <f t="array" ref="K393">XLOOKUP(C393,'Master Data'!C:C,'Master Data'!J:J)</f>
        <v/>
      </c>
      <c r="L393" s="74" t="str">
        <f t="array" ref="L393">XLOOKUP(C:C,TSR_Completion!C:C,TSR_Completion!M:M)</f>
        <v/>
      </c>
      <c r="M393" s="4"/>
      <c r="N393" s="4"/>
      <c r="O393" s="4"/>
      <c r="P393" s="4"/>
      <c r="Q393" s="4"/>
      <c r="R393" s="4"/>
      <c r="S393" s="4"/>
      <c r="T393" s="4"/>
      <c r="U393" s="4"/>
      <c r="V393" s="4"/>
      <c r="W393" s="4"/>
      <c r="X393" s="4"/>
      <c r="Y393" s="4"/>
    </row>
    <row r="394">
      <c r="A394" s="6"/>
      <c r="B394" s="6" t="s">
        <v>158</v>
      </c>
      <c r="C394" s="71" t="s">
        <v>12</v>
      </c>
      <c r="D394" s="72" t="str">
        <f t="array" ref="D394">XLOOKUP(C394,'Master Data'!C:C,'Master Data'!D:D)</f>
        <v/>
      </c>
      <c r="E394" s="73"/>
      <c r="F394" s="72" t="str">
        <f t="array" ref="F394">XLOOKUP(C394,'Master Data'!C:C,'Master Data'!E:E)</f>
        <v/>
      </c>
      <c r="G394" s="72" t="str">
        <f t="array" ref="G394">XLOOKUP(C394,'Master Data'!C:C,'Master Data'!F:F)</f>
        <v/>
      </c>
      <c r="H394" s="72" t="str">
        <f t="array" ref="H394">XLOOKUP(C394,'Master Data'!C:C,'Master Data'!G:G)</f>
        <v/>
      </c>
      <c r="I394" s="72" t="str">
        <f t="array" ref="I394">XLOOKUP(C394,'Master Data'!C:C,'Master Data'!H:H)</f>
        <v/>
      </c>
      <c r="J394" s="72" t="str">
        <f t="array" ref="J394">XLOOKUP(C394,'Master Data'!C:C,'Master Data'!I:I)</f>
        <v/>
      </c>
      <c r="K394" s="72" t="str">
        <f t="array" ref="K394">XLOOKUP(C394,'Master Data'!C:C,'Master Data'!J:J)</f>
        <v/>
      </c>
      <c r="L394" s="74" t="str">
        <f t="array" ref="L394">XLOOKUP(C:C,TSR_Completion!C:C,TSR_Completion!M:M)</f>
        <v/>
      </c>
      <c r="M394" s="4"/>
      <c r="N394" s="4"/>
      <c r="O394" s="4"/>
      <c r="P394" s="4"/>
      <c r="Q394" s="4"/>
      <c r="R394" s="4"/>
      <c r="S394" s="4"/>
      <c r="T394" s="4"/>
      <c r="U394" s="4"/>
      <c r="V394" s="4"/>
      <c r="W394" s="4"/>
      <c r="X394" s="4"/>
      <c r="Y394" s="4"/>
    </row>
    <row r="395">
      <c r="A395" s="6"/>
      <c r="B395" s="6" t="s">
        <v>158</v>
      </c>
      <c r="C395" s="71" t="s">
        <v>12</v>
      </c>
      <c r="D395" s="72" t="str">
        <f t="array" ref="D395">XLOOKUP(C395,'Master Data'!C:C,'Master Data'!D:D)</f>
        <v/>
      </c>
      <c r="E395" s="73"/>
      <c r="F395" s="72" t="str">
        <f t="array" ref="F395">XLOOKUP(C395,'Master Data'!C:C,'Master Data'!E:E)</f>
        <v/>
      </c>
      <c r="G395" s="72" t="str">
        <f t="array" ref="G395">XLOOKUP(C395,'Master Data'!C:C,'Master Data'!F:F)</f>
        <v/>
      </c>
      <c r="H395" s="72" t="str">
        <f t="array" ref="H395">XLOOKUP(C395,'Master Data'!C:C,'Master Data'!G:G)</f>
        <v/>
      </c>
      <c r="I395" s="72" t="str">
        <f t="array" ref="I395">XLOOKUP(C395,'Master Data'!C:C,'Master Data'!H:H)</f>
        <v/>
      </c>
      <c r="J395" s="72" t="str">
        <f t="array" ref="J395">XLOOKUP(C395,'Master Data'!C:C,'Master Data'!I:I)</f>
        <v/>
      </c>
      <c r="K395" s="72" t="str">
        <f t="array" ref="K395">XLOOKUP(C395,'Master Data'!C:C,'Master Data'!J:J)</f>
        <v/>
      </c>
      <c r="L395" s="74" t="str">
        <f t="array" ref="L395">XLOOKUP(C:C,TSR_Completion!C:C,TSR_Completion!M:M)</f>
        <v/>
      </c>
      <c r="M395" s="4"/>
      <c r="N395" s="4"/>
      <c r="O395" s="4"/>
      <c r="P395" s="4"/>
      <c r="Q395" s="4"/>
      <c r="R395" s="4"/>
      <c r="S395" s="4"/>
      <c r="T395" s="4"/>
      <c r="U395" s="4"/>
      <c r="V395" s="4"/>
      <c r="W395" s="4"/>
      <c r="X395" s="4"/>
      <c r="Y395" s="4"/>
    </row>
    <row r="396">
      <c r="A396" s="6"/>
      <c r="B396" s="6" t="s">
        <v>158</v>
      </c>
      <c r="C396" s="71" t="s">
        <v>12</v>
      </c>
      <c r="D396" s="72" t="str">
        <f t="array" ref="D396">XLOOKUP(C396,'Master Data'!C:C,'Master Data'!D:D)</f>
        <v/>
      </c>
      <c r="E396" s="73"/>
      <c r="F396" s="72" t="str">
        <f t="array" ref="F396">XLOOKUP(C396,'Master Data'!C:C,'Master Data'!E:E)</f>
        <v/>
      </c>
      <c r="G396" s="72" t="str">
        <f t="array" ref="G396">XLOOKUP(C396,'Master Data'!C:C,'Master Data'!F:F)</f>
        <v/>
      </c>
      <c r="H396" s="72" t="str">
        <f t="array" ref="H396">XLOOKUP(C396,'Master Data'!C:C,'Master Data'!G:G)</f>
        <v/>
      </c>
      <c r="I396" s="72" t="str">
        <f t="array" ref="I396">XLOOKUP(C396,'Master Data'!C:C,'Master Data'!H:H)</f>
        <v/>
      </c>
      <c r="J396" s="72" t="str">
        <f t="array" ref="J396">XLOOKUP(C396,'Master Data'!C:C,'Master Data'!I:I)</f>
        <v/>
      </c>
      <c r="K396" s="72" t="str">
        <f t="array" ref="K396">XLOOKUP(C396,'Master Data'!C:C,'Master Data'!J:J)</f>
        <v/>
      </c>
      <c r="L396" s="74" t="str">
        <f t="array" ref="L396">XLOOKUP(C:C,TSR_Completion!C:C,TSR_Completion!M:M)</f>
        <v/>
      </c>
      <c r="M396" s="4"/>
      <c r="N396" s="4"/>
      <c r="O396" s="4"/>
      <c r="P396" s="4"/>
      <c r="Q396" s="4"/>
      <c r="R396" s="4"/>
      <c r="S396" s="4"/>
      <c r="T396" s="4"/>
      <c r="U396" s="4"/>
      <c r="V396" s="4"/>
      <c r="W396" s="4"/>
      <c r="X396" s="4"/>
      <c r="Y396" s="4"/>
    </row>
    <row r="397">
      <c r="A397" s="6"/>
      <c r="B397" s="6" t="s">
        <v>158</v>
      </c>
      <c r="C397" s="71" t="s">
        <v>12</v>
      </c>
      <c r="D397" s="72" t="str">
        <f t="array" ref="D397">XLOOKUP(C397,'Master Data'!C:C,'Master Data'!D:D)</f>
        <v/>
      </c>
      <c r="E397" s="73"/>
      <c r="F397" s="72" t="str">
        <f t="array" ref="F397">XLOOKUP(C397,'Master Data'!C:C,'Master Data'!E:E)</f>
        <v/>
      </c>
      <c r="G397" s="72" t="str">
        <f t="array" ref="G397">XLOOKUP(C397,'Master Data'!C:C,'Master Data'!F:F)</f>
        <v/>
      </c>
      <c r="H397" s="72" t="str">
        <f t="array" ref="H397">XLOOKUP(C397,'Master Data'!C:C,'Master Data'!G:G)</f>
        <v/>
      </c>
      <c r="I397" s="72" t="str">
        <f t="array" ref="I397">XLOOKUP(C397,'Master Data'!C:C,'Master Data'!H:H)</f>
        <v/>
      </c>
      <c r="J397" s="72" t="str">
        <f t="array" ref="J397">XLOOKUP(C397,'Master Data'!C:C,'Master Data'!I:I)</f>
        <v/>
      </c>
      <c r="K397" s="72" t="str">
        <f t="array" ref="K397">XLOOKUP(C397,'Master Data'!C:C,'Master Data'!J:J)</f>
        <v/>
      </c>
      <c r="L397" s="74" t="str">
        <f t="array" ref="L397">XLOOKUP(C:C,TSR_Completion!C:C,TSR_Completion!M:M)</f>
        <v/>
      </c>
      <c r="M397" s="4"/>
      <c r="N397" s="4"/>
      <c r="O397" s="4"/>
      <c r="P397" s="4"/>
      <c r="Q397" s="4"/>
      <c r="R397" s="4"/>
      <c r="S397" s="4"/>
      <c r="T397" s="4"/>
      <c r="U397" s="4"/>
      <c r="V397" s="4"/>
      <c r="W397" s="4"/>
      <c r="X397" s="4"/>
      <c r="Y397" s="4"/>
    </row>
    <row r="398">
      <c r="A398" s="6"/>
      <c r="B398" s="6" t="s">
        <v>158</v>
      </c>
      <c r="C398" s="71" t="s">
        <v>12</v>
      </c>
      <c r="D398" s="72" t="str">
        <f t="array" ref="D398">XLOOKUP(C398,'Master Data'!C:C,'Master Data'!D:D)</f>
        <v/>
      </c>
      <c r="E398" s="73"/>
      <c r="F398" s="72" t="str">
        <f t="array" ref="F398">XLOOKUP(C398,'Master Data'!C:C,'Master Data'!E:E)</f>
        <v/>
      </c>
      <c r="G398" s="72" t="str">
        <f t="array" ref="G398">XLOOKUP(C398,'Master Data'!C:C,'Master Data'!F:F)</f>
        <v/>
      </c>
      <c r="H398" s="72" t="str">
        <f t="array" ref="H398">XLOOKUP(C398,'Master Data'!C:C,'Master Data'!G:G)</f>
        <v/>
      </c>
      <c r="I398" s="72" t="str">
        <f t="array" ref="I398">XLOOKUP(C398,'Master Data'!C:C,'Master Data'!H:H)</f>
        <v/>
      </c>
      <c r="J398" s="72" t="str">
        <f t="array" ref="J398">XLOOKUP(C398,'Master Data'!C:C,'Master Data'!I:I)</f>
        <v/>
      </c>
      <c r="K398" s="72" t="str">
        <f t="array" ref="K398">XLOOKUP(C398,'Master Data'!C:C,'Master Data'!J:J)</f>
        <v/>
      </c>
      <c r="L398" s="74" t="str">
        <f t="array" ref="L398">XLOOKUP(C:C,TSR_Completion!C:C,TSR_Completion!M:M)</f>
        <v/>
      </c>
      <c r="M398" s="4"/>
      <c r="N398" s="4"/>
      <c r="O398" s="4"/>
      <c r="P398" s="4"/>
      <c r="Q398" s="4"/>
      <c r="R398" s="4"/>
      <c r="S398" s="4"/>
      <c r="T398" s="4"/>
      <c r="U398" s="4"/>
      <c r="V398" s="4"/>
      <c r="W398" s="4"/>
      <c r="X398" s="4"/>
      <c r="Y398" s="4"/>
    </row>
    <row r="399">
      <c r="A399" s="6"/>
      <c r="B399" s="6" t="s">
        <v>158</v>
      </c>
      <c r="C399" s="71" t="s">
        <v>12</v>
      </c>
      <c r="D399" s="72" t="str">
        <f t="array" ref="D399">XLOOKUP(C399,'Master Data'!C:C,'Master Data'!D:D)</f>
        <v/>
      </c>
      <c r="E399" s="73"/>
      <c r="F399" s="72" t="str">
        <f t="array" ref="F399">XLOOKUP(C399,'Master Data'!C:C,'Master Data'!E:E)</f>
        <v/>
      </c>
      <c r="G399" s="72" t="str">
        <f t="array" ref="G399">XLOOKUP(C399,'Master Data'!C:C,'Master Data'!F:F)</f>
        <v/>
      </c>
      <c r="H399" s="72" t="str">
        <f t="array" ref="H399">XLOOKUP(C399,'Master Data'!C:C,'Master Data'!G:G)</f>
        <v/>
      </c>
      <c r="I399" s="72" t="str">
        <f t="array" ref="I399">XLOOKUP(C399,'Master Data'!C:C,'Master Data'!H:H)</f>
        <v/>
      </c>
      <c r="J399" s="72" t="str">
        <f t="array" ref="J399">XLOOKUP(C399,'Master Data'!C:C,'Master Data'!I:I)</f>
        <v/>
      </c>
      <c r="K399" s="72" t="str">
        <f t="array" ref="K399">XLOOKUP(C399,'Master Data'!C:C,'Master Data'!J:J)</f>
        <v/>
      </c>
      <c r="L399" s="74" t="str">
        <f t="array" ref="L399">XLOOKUP(C:C,TSR_Completion!C:C,TSR_Completion!M:M)</f>
        <v/>
      </c>
      <c r="M399" s="4"/>
      <c r="N399" s="4"/>
      <c r="O399" s="4"/>
      <c r="P399" s="4"/>
      <c r="Q399" s="4"/>
      <c r="R399" s="4"/>
      <c r="S399" s="4"/>
      <c r="T399" s="4"/>
      <c r="U399" s="4"/>
      <c r="V399" s="4"/>
      <c r="W399" s="4"/>
      <c r="X399" s="4"/>
      <c r="Y399" s="4"/>
    </row>
    <row r="400">
      <c r="A400" s="6"/>
      <c r="B400" s="6" t="s">
        <v>158</v>
      </c>
      <c r="C400" s="71" t="s">
        <v>12</v>
      </c>
      <c r="D400" s="72" t="str">
        <f t="array" ref="D400">XLOOKUP(C400,'Master Data'!C:C,'Master Data'!D:D)</f>
        <v/>
      </c>
      <c r="E400" s="73"/>
      <c r="F400" s="72" t="str">
        <f t="array" ref="F400">XLOOKUP(C400,'Master Data'!C:C,'Master Data'!E:E)</f>
        <v/>
      </c>
      <c r="G400" s="72" t="str">
        <f t="array" ref="G400">XLOOKUP(C400,'Master Data'!C:C,'Master Data'!F:F)</f>
        <v/>
      </c>
      <c r="H400" s="72" t="str">
        <f t="array" ref="H400">XLOOKUP(C400,'Master Data'!C:C,'Master Data'!G:G)</f>
        <v/>
      </c>
      <c r="I400" s="72" t="str">
        <f t="array" ref="I400">XLOOKUP(C400,'Master Data'!C:C,'Master Data'!H:H)</f>
        <v/>
      </c>
      <c r="J400" s="72" t="str">
        <f t="array" ref="J400">XLOOKUP(C400,'Master Data'!C:C,'Master Data'!I:I)</f>
        <v/>
      </c>
      <c r="K400" s="72" t="str">
        <f t="array" ref="K400">XLOOKUP(C400,'Master Data'!C:C,'Master Data'!J:J)</f>
        <v/>
      </c>
      <c r="L400" s="74" t="str">
        <f t="array" ref="L400">XLOOKUP(C:C,TSR_Completion!C:C,TSR_Completion!M:M)</f>
        <v/>
      </c>
      <c r="M400" s="4"/>
      <c r="N400" s="4"/>
      <c r="O400" s="4"/>
      <c r="P400" s="4"/>
      <c r="Q400" s="4"/>
      <c r="R400" s="4"/>
      <c r="S400" s="4"/>
      <c r="T400" s="4"/>
      <c r="U400" s="4"/>
      <c r="V400" s="4"/>
      <c r="W400" s="4"/>
      <c r="X400" s="4"/>
      <c r="Y400" s="4"/>
    </row>
    <row r="401">
      <c r="A401" s="6"/>
      <c r="B401" s="6" t="s">
        <v>158</v>
      </c>
      <c r="C401" s="71" t="s">
        <v>12</v>
      </c>
      <c r="D401" s="72" t="str">
        <f t="array" ref="D401">XLOOKUP(C401,'Master Data'!C:C,'Master Data'!D:D)</f>
        <v/>
      </c>
      <c r="E401" s="73"/>
      <c r="F401" s="72" t="str">
        <f t="array" ref="F401">XLOOKUP(C401,'Master Data'!C:C,'Master Data'!E:E)</f>
        <v/>
      </c>
      <c r="G401" s="72" t="str">
        <f t="array" ref="G401">XLOOKUP(C401,'Master Data'!C:C,'Master Data'!F:F)</f>
        <v/>
      </c>
      <c r="H401" s="72" t="str">
        <f t="array" ref="H401">XLOOKUP(C401,'Master Data'!C:C,'Master Data'!G:G)</f>
        <v/>
      </c>
      <c r="I401" s="72" t="str">
        <f t="array" ref="I401">XLOOKUP(C401,'Master Data'!C:C,'Master Data'!H:H)</f>
        <v/>
      </c>
      <c r="J401" s="72" t="str">
        <f t="array" ref="J401">XLOOKUP(C401,'Master Data'!C:C,'Master Data'!I:I)</f>
        <v/>
      </c>
      <c r="K401" s="72" t="str">
        <f t="array" ref="K401">XLOOKUP(C401,'Master Data'!C:C,'Master Data'!J:J)</f>
        <v/>
      </c>
      <c r="L401" s="74" t="str">
        <f t="array" ref="L401">XLOOKUP(C:C,TSR_Completion!C:C,TSR_Completion!M:M)</f>
        <v/>
      </c>
      <c r="M401" s="4"/>
      <c r="N401" s="4"/>
      <c r="O401" s="4"/>
      <c r="P401" s="4"/>
      <c r="Q401" s="4"/>
      <c r="R401" s="4"/>
      <c r="S401" s="4"/>
      <c r="T401" s="4"/>
      <c r="U401" s="4"/>
      <c r="V401" s="4"/>
      <c r="W401" s="4"/>
      <c r="X401" s="4"/>
      <c r="Y401" s="4"/>
    </row>
    <row r="402">
      <c r="A402" s="6"/>
      <c r="B402" s="6" t="s">
        <v>158</v>
      </c>
      <c r="C402" s="71" t="s">
        <v>12</v>
      </c>
      <c r="D402" s="72" t="str">
        <f t="array" ref="D402">XLOOKUP(C402,'Master Data'!C:C,'Master Data'!D:D)</f>
        <v/>
      </c>
      <c r="E402" s="73"/>
      <c r="F402" s="72" t="str">
        <f t="array" ref="F402">XLOOKUP(C402,'Master Data'!C:C,'Master Data'!E:E)</f>
        <v/>
      </c>
      <c r="G402" s="72" t="str">
        <f t="array" ref="G402">XLOOKUP(C402,'Master Data'!C:C,'Master Data'!F:F)</f>
        <v/>
      </c>
      <c r="H402" s="72" t="str">
        <f t="array" ref="H402">XLOOKUP(C402,'Master Data'!C:C,'Master Data'!G:G)</f>
        <v/>
      </c>
      <c r="I402" s="72" t="str">
        <f t="array" ref="I402">XLOOKUP(C402,'Master Data'!C:C,'Master Data'!H:H)</f>
        <v/>
      </c>
      <c r="J402" s="72" t="str">
        <f t="array" ref="J402">XLOOKUP(C402,'Master Data'!C:C,'Master Data'!I:I)</f>
        <v/>
      </c>
      <c r="K402" s="72" t="str">
        <f t="array" ref="K402">XLOOKUP(C402,'Master Data'!C:C,'Master Data'!J:J)</f>
        <v/>
      </c>
      <c r="L402" s="74" t="str">
        <f t="array" ref="L402">XLOOKUP(C:C,TSR_Completion!C:C,TSR_Completion!M:M)</f>
        <v/>
      </c>
      <c r="M402" s="4"/>
      <c r="N402" s="4"/>
      <c r="O402" s="4"/>
      <c r="P402" s="4"/>
      <c r="Q402" s="4"/>
      <c r="R402" s="4"/>
      <c r="S402" s="4"/>
      <c r="T402" s="4"/>
      <c r="U402" s="4"/>
      <c r="V402" s="4"/>
      <c r="W402" s="4"/>
      <c r="X402" s="4"/>
      <c r="Y402" s="4"/>
    </row>
    <row r="403">
      <c r="A403" s="6"/>
      <c r="B403" s="6" t="s">
        <v>158</v>
      </c>
      <c r="C403" s="71" t="s">
        <v>12</v>
      </c>
      <c r="D403" s="72" t="str">
        <f t="array" ref="D403">XLOOKUP(C403,'Master Data'!C:C,'Master Data'!D:D)</f>
        <v/>
      </c>
      <c r="E403" s="73"/>
      <c r="F403" s="72" t="str">
        <f t="array" ref="F403">XLOOKUP(C403,'Master Data'!C:C,'Master Data'!E:E)</f>
        <v/>
      </c>
      <c r="G403" s="72" t="str">
        <f t="array" ref="G403">XLOOKUP(C403,'Master Data'!C:C,'Master Data'!F:F)</f>
        <v/>
      </c>
      <c r="H403" s="72" t="str">
        <f t="array" ref="H403">XLOOKUP(C403,'Master Data'!C:C,'Master Data'!G:G)</f>
        <v/>
      </c>
      <c r="I403" s="72" t="str">
        <f t="array" ref="I403">XLOOKUP(C403,'Master Data'!C:C,'Master Data'!H:H)</f>
        <v/>
      </c>
      <c r="J403" s="72" t="str">
        <f t="array" ref="J403">XLOOKUP(C403,'Master Data'!C:C,'Master Data'!I:I)</f>
        <v/>
      </c>
      <c r="K403" s="72" t="str">
        <f t="array" ref="K403">XLOOKUP(C403,'Master Data'!C:C,'Master Data'!J:J)</f>
        <v/>
      </c>
      <c r="L403" s="74" t="str">
        <f t="array" ref="L403">XLOOKUP(C:C,TSR_Completion!C:C,TSR_Completion!M:M)</f>
        <v/>
      </c>
      <c r="M403" s="4"/>
      <c r="N403" s="4"/>
      <c r="O403" s="4"/>
      <c r="P403" s="4"/>
      <c r="Q403" s="4"/>
      <c r="R403" s="4"/>
      <c r="S403" s="4"/>
      <c r="T403" s="4"/>
      <c r="U403" s="4"/>
      <c r="V403" s="4"/>
      <c r="W403" s="4"/>
      <c r="X403" s="4"/>
      <c r="Y403" s="4"/>
    </row>
    <row r="404">
      <c r="A404" s="6"/>
      <c r="B404" s="6" t="s">
        <v>158</v>
      </c>
      <c r="C404" s="71" t="s">
        <v>12</v>
      </c>
      <c r="D404" s="72" t="str">
        <f t="array" ref="D404">XLOOKUP(C404,'Master Data'!C:C,'Master Data'!D:D)</f>
        <v/>
      </c>
      <c r="E404" s="73"/>
      <c r="F404" s="72" t="str">
        <f t="array" ref="F404">XLOOKUP(C404,'Master Data'!C:C,'Master Data'!E:E)</f>
        <v/>
      </c>
      <c r="G404" s="72" t="str">
        <f t="array" ref="G404">XLOOKUP(C404,'Master Data'!C:C,'Master Data'!F:F)</f>
        <v/>
      </c>
      <c r="H404" s="72" t="str">
        <f t="array" ref="H404">XLOOKUP(C404,'Master Data'!C:C,'Master Data'!G:G)</f>
        <v/>
      </c>
      <c r="I404" s="72" t="str">
        <f t="array" ref="I404">XLOOKUP(C404,'Master Data'!C:C,'Master Data'!H:H)</f>
        <v/>
      </c>
      <c r="J404" s="72" t="str">
        <f t="array" ref="J404">XLOOKUP(C404,'Master Data'!C:C,'Master Data'!I:I)</f>
        <v/>
      </c>
      <c r="K404" s="72" t="str">
        <f t="array" ref="K404">XLOOKUP(C404,'Master Data'!C:C,'Master Data'!J:J)</f>
        <v/>
      </c>
      <c r="L404" s="74" t="str">
        <f t="array" ref="L404">XLOOKUP(C:C,TSR_Completion!C:C,TSR_Completion!M:M)</f>
        <v/>
      </c>
      <c r="M404" s="4"/>
      <c r="N404" s="4"/>
      <c r="O404" s="4"/>
      <c r="P404" s="4"/>
      <c r="Q404" s="4"/>
      <c r="R404" s="4"/>
      <c r="S404" s="4"/>
      <c r="T404" s="4"/>
      <c r="U404" s="4"/>
      <c r="V404" s="4"/>
      <c r="W404" s="4"/>
      <c r="X404" s="4"/>
      <c r="Y404" s="4"/>
    </row>
    <row r="405">
      <c r="A405" s="6"/>
      <c r="B405" s="6" t="s">
        <v>158</v>
      </c>
      <c r="C405" s="71" t="s">
        <v>12</v>
      </c>
      <c r="D405" s="72" t="str">
        <f t="array" ref="D405">XLOOKUP(C405,'Master Data'!C:C,'Master Data'!D:D)</f>
        <v/>
      </c>
      <c r="E405" s="73"/>
      <c r="F405" s="72" t="str">
        <f t="array" ref="F405">XLOOKUP(C405,'Master Data'!C:C,'Master Data'!E:E)</f>
        <v/>
      </c>
      <c r="G405" s="72" t="str">
        <f t="array" ref="G405">XLOOKUP(C405,'Master Data'!C:C,'Master Data'!F:F)</f>
        <v/>
      </c>
      <c r="H405" s="72" t="str">
        <f t="array" ref="H405">XLOOKUP(C405,'Master Data'!C:C,'Master Data'!G:G)</f>
        <v/>
      </c>
      <c r="I405" s="72" t="str">
        <f t="array" ref="I405">XLOOKUP(C405,'Master Data'!C:C,'Master Data'!H:H)</f>
        <v/>
      </c>
      <c r="J405" s="72" t="str">
        <f t="array" ref="J405">XLOOKUP(C405,'Master Data'!C:C,'Master Data'!I:I)</f>
        <v/>
      </c>
      <c r="K405" s="72" t="str">
        <f t="array" ref="K405">XLOOKUP(C405,'Master Data'!C:C,'Master Data'!J:J)</f>
        <v/>
      </c>
      <c r="L405" s="74" t="str">
        <f t="array" ref="L405">XLOOKUP(C:C,TSR_Completion!C:C,TSR_Completion!M:M)</f>
        <v/>
      </c>
      <c r="M405" s="4"/>
      <c r="N405" s="4"/>
      <c r="O405" s="4"/>
      <c r="P405" s="4"/>
      <c r="Q405" s="4"/>
      <c r="R405" s="4"/>
      <c r="S405" s="4"/>
      <c r="T405" s="4"/>
      <c r="U405" s="4"/>
      <c r="V405" s="4"/>
      <c r="W405" s="4"/>
      <c r="X405" s="4"/>
      <c r="Y405" s="4"/>
    </row>
    <row r="406">
      <c r="A406" s="6"/>
      <c r="B406" s="6" t="s">
        <v>158</v>
      </c>
      <c r="C406" s="71" t="s">
        <v>12</v>
      </c>
      <c r="D406" s="72" t="str">
        <f t="array" ref="D406">XLOOKUP(C406,'Master Data'!C:C,'Master Data'!D:D)</f>
        <v/>
      </c>
      <c r="E406" s="73"/>
      <c r="F406" s="72" t="str">
        <f t="array" ref="F406">XLOOKUP(C406,'Master Data'!C:C,'Master Data'!E:E)</f>
        <v/>
      </c>
      <c r="G406" s="72" t="str">
        <f t="array" ref="G406">XLOOKUP(C406,'Master Data'!C:C,'Master Data'!F:F)</f>
        <v/>
      </c>
      <c r="H406" s="72" t="str">
        <f t="array" ref="H406">XLOOKUP(C406,'Master Data'!C:C,'Master Data'!G:G)</f>
        <v/>
      </c>
      <c r="I406" s="72" t="str">
        <f t="array" ref="I406">XLOOKUP(C406,'Master Data'!C:C,'Master Data'!H:H)</f>
        <v/>
      </c>
      <c r="J406" s="72" t="str">
        <f t="array" ref="J406">XLOOKUP(C406,'Master Data'!C:C,'Master Data'!I:I)</f>
        <v/>
      </c>
      <c r="K406" s="72" t="str">
        <f t="array" ref="K406">XLOOKUP(C406,'Master Data'!C:C,'Master Data'!J:J)</f>
        <v/>
      </c>
      <c r="L406" s="74" t="str">
        <f t="array" ref="L406">XLOOKUP(C:C,TSR_Completion!C:C,TSR_Completion!M:M)</f>
        <v/>
      </c>
      <c r="M406" s="4"/>
      <c r="N406" s="4"/>
      <c r="O406" s="4"/>
      <c r="P406" s="4"/>
      <c r="Q406" s="4"/>
      <c r="R406" s="4"/>
      <c r="S406" s="4"/>
      <c r="T406" s="4"/>
      <c r="U406" s="4"/>
      <c r="V406" s="4"/>
      <c r="W406" s="4"/>
      <c r="X406" s="4"/>
      <c r="Y406" s="4"/>
    </row>
    <row r="407">
      <c r="A407" s="6"/>
      <c r="B407" s="6" t="s">
        <v>158</v>
      </c>
      <c r="C407" s="71" t="s">
        <v>12</v>
      </c>
      <c r="D407" s="72" t="str">
        <f t="array" ref="D407">XLOOKUP(C407,'Master Data'!C:C,'Master Data'!D:D)</f>
        <v/>
      </c>
      <c r="E407" s="73"/>
      <c r="F407" s="72" t="str">
        <f t="array" ref="F407">XLOOKUP(C407,'Master Data'!C:C,'Master Data'!E:E)</f>
        <v/>
      </c>
      <c r="G407" s="72" t="str">
        <f t="array" ref="G407">XLOOKUP(C407,'Master Data'!C:C,'Master Data'!F:F)</f>
        <v/>
      </c>
      <c r="H407" s="72" t="str">
        <f t="array" ref="H407">XLOOKUP(C407,'Master Data'!C:C,'Master Data'!G:G)</f>
        <v/>
      </c>
      <c r="I407" s="72" t="str">
        <f t="array" ref="I407">XLOOKUP(C407,'Master Data'!C:C,'Master Data'!H:H)</f>
        <v/>
      </c>
      <c r="J407" s="72" t="str">
        <f t="array" ref="J407">XLOOKUP(C407,'Master Data'!C:C,'Master Data'!I:I)</f>
        <v/>
      </c>
      <c r="K407" s="72" t="str">
        <f t="array" ref="K407">XLOOKUP(C407,'Master Data'!C:C,'Master Data'!J:J)</f>
        <v/>
      </c>
      <c r="L407" s="74" t="str">
        <f t="array" ref="L407">XLOOKUP(C:C,TSR_Completion!C:C,TSR_Completion!M:M)</f>
        <v/>
      </c>
      <c r="M407" s="4"/>
      <c r="N407" s="4"/>
      <c r="O407" s="4"/>
      <c r="P407" s="4"/>
      <c r="Q407" s="4"/>
      <c r="R407" s="4"/>
      <c r="S407" s="4"/>
      <c r="T407" s="4"/>
      <c r="U407" s="4"/>
      <c r="V407" s="4"/>
      <c r="W407" s="4"/>
      <c r="X407" s="4"/>
      <c r="Y407" s="4"/>
    </row>
    <row r="408">
      <c r="A408" s="6"/>
      <c r="B408" s="6" t="s">
        <v>158</v>
      </c>
      <c r="C408" s="71" t="s">
        <v>12</v>
      </c>
      <c r="D408" s="72" t="str">
        <f t="array" ref="D408">XLOOKUP(C408,'Master Data'!C:C,'Master Data'!D:D)</f>
        <v/>
      </c>
      <c r="E408" s="73"/>
      <c r="F408" s="72" t="str">
        <f t="array" ref="F408">XLOOKUP(C408,'Master Data'!C:C,'Master Data'!E:E)</f>
        <v/>
      </c>
      <c r="G408" s="72" t="str">
        <f t="array" ref="G408">XLOOKUP(C408,'Master Data'!C:C,'Master Data'!F:F)</f>
        <v/>
      </c>
      <c r="H408" s="72" t="str">
        <f t="array" ref="H408">XLOOKUP(C408,'Master Data'!C:C,'Master Data'!G:G)</f>
        <v/>
      </c>
      <c r="I408" s="72" t="str">
        <f t="array" ref="I408">XLOOKUP(C408,'Master Data'!C:C,'Master Data'!H:H)</f>
        <v/>
      </c>
      <c r="J408" s="72" t="str">
        <f t="array" ref="J408">XLOOKUP(C408,'Master Data'!C:C,'Master Data'!I:I)</f>
        <v/>
      </c>
      <c r="K408" s="72" t="str">
        <f t="array" ref="K408">XLOOKUP(C408,'Master Data'!C:C,'Master Data'!J:J)</f>
        <v/>
      </c>
      <c r="L408" s="74" t="str">
        <f t="array" ref="L408">XLOOKUP(C:C,TSR_Completion!C:C,TSR_Completion!M:M)</f>
        <v/>
      </c>
      <c r="M408" s="4"/>
      <c r="N408" s="4"/>
      <c r="O408" s="4"/>
      <c r="P408" s="4"/>
      <c r="Q408" s="4"/>
      <c r="R408" s="4"/>
      <c r="S408" s="4"/>
      <c r="T408" s="4"/>
      <c r="U408" s="4"/>
      <c r="V408" s="4"/>
      <c r="W408" s="4"/>
      <c r="X408" s="4"/>
      <c r="Y408" s="4"/>
    </row>
    <row r="409">
      <c r="A409" s="6"/>
      <c r="B409" s="6" t="s">
        <v>158</v>
      </c>
      <c r="C409" s="71" t="s">
        <v>12</v>
      </c>
      <c r="D409" s="72" t="str">
        <f t="array" ref="D409">XLOOKUP(C409,'Master Data'!C:C,'Master Data'!D:D)</f>
        <v/>
      </c>
      <c r="E409" s="73"/>
      <c r="F409" s="72" t="str">
        <f t="array" ref="F409">XLOOKUP(C409,'Master Data'!C:C,'Master Data'!E:E)</f>
        <v/>
      </c>
      <c r="G409" s="72" t="str">
        <f t="array" ref="G409">XLOOKUP(C409,'Master Data'!C:C,'Master Data'!F:F)</f>
        <v/>
      </c>
      <c r="H409" s="72" t="str">
        <f t="array" ref="H409">XLOOKUP(C409,'Master Data'!C:C,'Master Data'!G:G)</f>
        <v/>
      </c>
      <c r="I409" s="72" t="str">
        <f t="array" ref="I409">XLOOKUP(C409,'Master Data'!C:C,'Master Data'!H:H)</f>
        <v/>
      </c>
      <c r="J409" s="72" t="str">
        <f t="array" ref="J409">XLOOKUP(C409,'Master Data'!C:C,'Master Data'!I:I)</f>
        <v/>
      </c>
      <c r="K409" s="72" t="str">
        <f t="array" ref="K409">XLOOKUP(C409,'Master Data'!C:C,'Master Data'!J:J)</f>
        <v/>
      </c>
      <c r="L409" s="74" t="str">
        <f t="array" ref="L409">XLOOKUP(C:C,TSR_Completion!C:C,TSR_Completion!M:M)</f>
        <v/>
      </c>
      <c r="M409" s="4"/>
      <c r="N409" s="4"/>
      <c r="O409" s="4"/>
      <c r="P409" s="4"/>
      <c r="Q409" s="4"/>
      <c r="R409" s="4"/>
      <c r="S409" s="4"/>
      <c r="T409" s="4"/>
      <c r="U409" s="4"/>
      <c r="V409" s="4"/>
      <c r="W409" s="4"/>
      <c r="X409" s="4"/>
      <c r="Y409" s="4"/>
    </row>
    <row r="410">
      <c r="A410" s="6"/>
      <c r="B410" s="6" t="s">
        <v>158</v>
      </c>
      <c r="C410" s="71" t="s">
        <v>12</v>
      </c>
      <c r="D410" s="72" t="str">
        <f t="array" ref="D410">XLOOKUP(C410,'Master Data'!C:C,'Master Data'!D:D)</f>
        <v/>
      </c>
      <c r="E410" s="73"/>
      <c r="F410" s="72" t="str">
        <f t="array" ref="F410">XLOOKUP(C410,'Master Data'!C:C,'Master Data'!E:E)</f>
        <v/>
      </c>
      <c r="G410" s="72" t="str">
        <f t="array" ref="G410">XLOOKUP(C410,'Master Data'!C:C,'Master Data'!F:F)</f>
        <v/>
      </c>
      <c r="H410" s="72" t="str">
        <f t="array" ref="H410">XLOOKUP(C410,'Master Data'!C:C,'Master Data'!G:G)</f>
        <v/>
      </c>
      <c r="I410" s="72" t="str">
        <f t="array" ref="I410">XLOOKUP(C410,'Master Data'!C:C,'Master Data'!H:H)</f>
        <v/>
      </c>
      <c r="J410" s="72" t="str">
        <f t="array" ref="J410">XLOOKUP(C410,'Master Data'!C:C,'Master Data'!I:I)</f>
        <v/>
      </c>
      <c r="K410" s="72" t="str">
        <f t="array" ref="K410">XLOOKUP(C410,'Master Data'!C:C,'Master Data'!J:J)</f>
        <v/>
      </c>
      <c r="L410" s="74" t="str">
        <f t="array" ref="L410">XLOOKUP(C:C,TSR_Completion!C:C,TSR_Completion!M:M)</f>
        <v/>
      </c>
      <c r="M410" s="4"/>
      <c r="N410" s="4"/>
      <c r="O410" s="4"/>
      <c r="P410" s="4"/>
      <c r="Q410" s="4"/>
      <c r="R410" s="4"/>
      <c r="S410" s="4"/>
      <c r="T410" s="4"/>
      <c r="U410" s="4"/>
      <c r="V410" s="4"/>
      <c r="W410" s="4"/>
      <c r="X410" s="4"/>
      <c r="Y410" s="4"/>
    </row>
    <row r="411">
      <c r="A411" s="6"/>
      <c r="B411" s="6" t="s">
        <v>158</v>
      </c>
      <c r="C411" s="71" t="s">
        <v>12</v>
      </c>
      <c r="D411" s="72" t="str">
        <f t="array" ref="D411">XLOOKUP(C411,'Master Data'!C:C,'Master Data'!D:D)</f>
        <v/>
      </c>
      <c r="E411" s="73"/>
      <c r="F411" s="72" t="str">
        <f t="array" ref="F411">XLOOKUP(C411,'Master Data'!C:C,'Master Data'!E:E)</f>
        <v/>
      </c>
      <c r="G411" s="72" t="str">
        <f t="array" ref="G411">XLOOKUP(C411,'Master Data'!C:C,'Master Data'!F:F)</f>
        <v/>
      </c>
      <c r="H411" s="72" t="str">
        <f t="array" ref="H411">XLOOKUP(C411,'Master Data'!C:C,'Master Data'!G:G)</f>
        <v/>
      </c>
      <c r="I411" s="72" t="str">
        <f t="array" ref="I411">XLOOKUP(C411,'Master Data'!C:C,'Master Data'!H:H)</f>
        <v/>
      </c>
      <c r="J411" s="72" t="str">
        <f t="array" ref="J411">XLOOKUP(C411,'Master Data'!C:C,'Master Data'!I:I)</f>
        <v/>
      </c>
      <c r="K411" s="72" t="str">
        <f t="array" ref="K411">XLOOKUP(C411,'Master Data'!C:C,'Master Data'!J:J)</f>
        <v/>
      </c>
      <c r="L411" s="74" t="str">
        <f t="array" ref="L411">XLOOKUP(C:C,TSR_Completion!C:C,TSR_Completion!M:M)</f>
        <v/>
      </c>
      <c r="M411" s="4"/>
      <c r="N411" s="4"/>
      <c r="O411" s="4"/>
      <c r="P411" s="4"/>
      <c r="Q411" s="4"/>
      <c r="R411" s="4"/>
      <c r="S411" s="4"/>
      <c r="T411" s="4"/>
      <c r="U411" s="4"/>
      <c r="V411" s="4"/>
      <c r="W411" s="4"/>
      <c r="X411" s="4"/>
      <c r="Y411" s="4"/>
    </row>
    <row r="412">
      <c r="A412" s="6"/>
      <c r="B412" s="6" t="s">
        <v>158</v>
      </c>
      <c r="C412" s="71" t="s">
        <v>12</v>
      </c>
      <c r="D412" s="72" t="str">
        <f t="array" ref="D412">XLOOKUP(C412,'Master Data'!C:C,'Master Data'!D:D)</f>
        <v/>
      </c>
      <c r="E412" s="73"/>
      <c r="F412" s="72" t="str">
        <f t="array" ref="F412">XLOOKUP(C412,'Master Data'!C:C,'Master Data'!E:E)</f>
        <v/>
      </c>
      <c r="G412" s="72" t="str">
        <f t="array" ref="G412">XLOOKUP(C412,'Master Data'!C:C,'Master Data'!F:F)</f>
        <v/>
      </c>
      <c r="H412" s="72" t="str">
        <f t="array" ref="H412">XLOOKUP(C412,'Master Data'!C:C,'Master Data'!G:G)</f>
        <v/>
      </c>
      <c r="I412" s="72" t="str">
        <f t="array" ref="I412">XLOOKUP(C412,'Master Data'!C:C,'Master Data'!H:H)</f>
        <v/>
      </c>
      <c r="J412" s="72" t="str">
        <f t="array" ref="J412">XLOOKUP(C412,'Master Data'!C:C,'Master Data'!I:I)</f>
        <v/>
      </c>
      <c r="K412" s="72" t="str">
        <f t="array" ref="K412">XLOOKUP(C412,'Master Data'!C:C,'Master Data'!J:J)</f>
        <v/>
      </c>
      <c r="L412" s="74" t="str">
        <f t="array" ref="L412">XLOOKUP(C:C,TSR_Completion!C:C,TSR_Completion!M:M)</f>
        <v/>
      </c>
      <c r="M412" s="4"/>
      <c r="N412" s="4"/>
      <c r="O412" s="4"/>
      <c r="P412" s="4"/>
      <c r="Q412" s="4"/>
      <c r="R412" s="4"/>
      <c r="S412" s="4"/>
      <c r="T412" s="4"/>
      <c r="U412" s="4"/>
      <c r="V412" s="4"/>
      <c r="W412" s="4"/>
      <c r="X412" s="4"/>
      <c r="Y412" s="4"/>
    </row>
    <row r="413">
      <c r="A413" s="6"/>
      <c r="B413" s="6" t="s">
        <v>158</v>
      </c>
      <c r="C413" s="71" t="s">
        <v>12</v>
      </c>
      <c r="D413" s="72" t="str">
        <f t="array" ref="D413">XLOOKUP(C413,'Master Data'!C:C,'Master Data'!D:D)</f>
        <v/>
      </c>
      <c r="E413" s="73"/>
      <c r="F413" s="72" t="str">
        <f t="array" ref="F413">XLOOKUP(C413,'Master Data'!C:C,'Master Data'!E:E)</f>
        <v/>
      </c>
      <c r="G413" s="72" t="str">
        <f t="array" ref="G413">XLOOKUP(C413,'Master Data'!C:C,'Master Data'!F:F)</f>
        <v/>
      </c>
      <c r="H413" s="72" t="str">
        <f t="array" ref="H413">XLOOKUP(C413,'Master Data'!C:C,'Master Data'!G:G)</f>
        <v/>
      </c>
      <c r="I413" s="72" t="str">
        <f t="array" ref="I413">XLOOKUP(C413,'Master Data'!C:C,'Master Data'!H:H)</f>
        <v/>
      </c>
      <c r="J413" s="72" t="str">
        <f t="array" ref="J413">XLOOKUP(C413,'Master Data'!C:C,'Master Data'!I:I)</f>
        <v/>
      </c>
      <c r="K413" s="72" t="str">
        <f t="array" ref="K413">XLOOKUP(C413,'Master Data'!C:C,'Master Data'!J:J)</f>
        <v/>
      </c>
      <c r="L413" s="74" t="str">
        <f t="array" ref="L413">XLOOKUP(C:C,TSR_Completion!C:C,TSR_Completion!M:M)</f>
        <v/>
      </c>
      <c r="M413" s="4"/>
      <c r="N413" s="4"/>
      <c r="O413" s="4"/>
      <c r="P413" s="4"/>
      <c r="Q413" s="4"/>
      <c r="R413" s="4"/>
      <c r="S413" s="4"/>
      <c r="T413" s="4"/>
      <c r="U413" s="4"/>
      <c r="V413" s="4"/>
      <c r="W413" s="4"/>
      <c r="X413" s="4"/>
      <c r="Y413" s="4"/>
    </row>
    <row r="414">
      <c r="A414" s="6"/>
      <c r="B414" s="6" t="s">
        <v>158</v>
      </c>
      <c r="C414" s="71" t="s">
        <v>12</v>
      </c>
      <c r="D414" s="72" t="str">
        <f t="array" ref="D414">XLOOKUP(C414,'Master Data'!C:C,'Master Data'!D:D)</f>
        <v/>
      </c>
      <c r="E414" s="73"/>
      <c r="F414" s="72" t="str">
        <f t="array" ref="F414">XLOOKUP(C414,'Master Data'!C:C,'Master Data'!E:E)</f>
        <v/>
      </c>
      <c r="G414" s="72" t="str">
        <f t="array" ref="G414">XLOOKUP(C414,'Master Data'!C:C,'Master Data'!F:F)</f>
        <v/>
      </c>
      <c r="H414" s="72" t="str">
        <f t="array" ref="H414">XLOOKUP(C414,'Master Data'!C:C,'Master Data'!G:G)</f>
        <v/>
      </c>
      <c r="I414" s="72" t="str">
        <f t="array" ref="I414">XLOOKUP(C414,'Master Data'!C:C,'Master Data'!H:H)</f>
        <v/>
      </c>
      <c r="J414" s="72" t="str">
        <f t="array" ref="J414">XLOOKUP(C414,'Master Data'!C:C,'Master Data'!I:I)</f>
        <v/>
      </c>
      <c r="K414" s="72" t="str">
        <f t="array" ref="K414">XLOOKUP(C414,'Master Data'!C:C,'Master Data'!J:J)</f>
        <v/>
      </c>
      <c r="L414" s="74" t="str">
        <f t="array" ref="L414">XLOOKUP(C:C,TSR_Completion!C:C,TSR_Completion!M:M)</f>
        <v/>
      </c>
      <c r="M414" s="4"/>
      <c r="N414" s="4"/>
      <c r="O414" s="4"/>
      <c r="P414" s="4"/>
      <c r="Q414" s="4"/>
      <c r="R414" s="4"/>
      <c r="S414" s="4"/>
      <c r="T414" s="4"/>
      <c r="U414" s="4"/>
      <c r="V414" s="4"/>
      <c r="W414" s="4"/>
      <c r="X414" s="4"/>
      <c r="Y414" s="4"/>
    </row>
    <row r="415">
      <c r="A415" s="6"/>
      <c r="B415" s="6" t="s">
        <v>158</v>
      </c>
      <c r="C415" s="71" t="s">
        <v>12</v>
      </c>
      <c r="D415" s="72" t="str">
        <f t="array" ref="D415">XLOOKUP(C415,'Master Data'!C:C,'Master Data'!D:D)</f>
        <v/>
      </c>
      <c r="E415" s="73"/>
      <c r="F415" s="72" t="str">
        <f t="array" ref="F415">XLOOKUP(C415,'Master Data'!C:C,'Master Data'!E:E)</f>
        <v/>
      </c>
      <c r="G415" s="72" t="str">
        <f t="array" ref="G415">XLOOKUP(C415,'Master Data'!C:C,'Master Data'!F:F)</f>
        <v/>
      </c>
      <c r="H415" s="72" t="str">
        <f t="array" ref="H415">XLOOKUP(C415,'Master Data'!C:C,'Master Data'!G:G)</f>
        <v/>
      </c>
      <c r="I415" s="72" t="str">
        <f t="array" ref="I415">XLOOKUP(C415,'Master Data'!C:C,'Master Data'!H:H)</f>
        <v/>
      </c>
      <c r="J415" s="72" t="str">
        <f t="array" ref="J415">XLOOKUP(C415,'Master Data'!C:C,'Master Data'!I:I)</f>
        <v/>
      </c>
      <c r="K415" s="72" t="str">
        <f t="array" ref="K415">XLOOKUP(C415,'Master Data'!C:C,'Master Data'!J:J)</f>
        <v/>
      </c>
      <c r="L415" s="74" t="str">
        <f t="array" ref="L415">XLOOKUP(C:C,TSR_Completion!C:C,TSR_Completion!M:M)</f>
        <v/>
      </c>
      <c r="M415" s="4"/>
      <c r="N415" s="4"/>
      <c r="O415" s="4"/>
      <c r="P415" s="4"/>
      <c r="Q415" s="4"/>
      <c r="R415" s="4"/>
      <c r="S415" s="4"/>
      <c r="T415" s="4"/>
      <c r="U415" s="4"/>
      <c r="V415" s="4"/>
      <c r="W415" s="4"/>
      <c r="X415" s="4"/>
      <c r="Y415" s="4"/>
    </row>
    <row r="416">
      <c r="A416" s="6"/>
      <c r="B416" s="6" t="s">
        <v>158</v>
      </c>
      <c r="C416" s="71" t="s">
        <v>12</v>
      </c>
      <c r="D416" s="72" t="str">
        <f t="array" ref="D416">XLOOKUP(C416,'Master Data'!C:C,'Master Data'!D:D)</f>
        <v/>
      </c>
      <c r="E416" s="73"/>
      <c r="F416" s="72" t="str">
        <f t="array" ref="F416">XLOOKUP(C416,'Master Data'!C:C,'Master Data'!E:E)</f>
        <v/>
      </c>
      <c r="G416" s="72" t="str">
        <f t="array" ref="G416">XLOOKUP(C416,'Master Data'!C:C,'Master Data'!F:F)</f>
        <v/>
      </c>
      <c r="H416" s="72" t="str">
        <f t="array" ref="H416">XLOOKUP(C416,'Master Data'!C:C,'Master Data'!G:G)</f>
        <v/>
      </c>
      <c r="I416" s="72" t="str">
        <f t="array" ref="I416">XLOOKUP(C416,'Master Data'!C:C,'Master Data'!H:H)</f>
        <v/>
      </c>
      <c r="J416" s="72" t="str">
        <f t="array" ref="J416">XLOOKUP(C416,'Master Data'!C:C,'Master Data'!I:I)</f>
        <v/>
      </c>
      <c r="K416" s="72" t="str">
        <f t="array" ref="K416">XLOOKUP(C416,'Master Data'!C:C,'Master Data'!J:J)</f>
        <v/>
      </c>
      <c r="L416" s="74" t="str">
        <f t="array" ref="L416">XLOOKUP(C:C,TSR_Completion!C:C,TSR_Completion!M:M)</f>
        <v/>
      </c>
      <c r="M416" s="4"/>
      <c r="N416" s="4"/>
      <c r="O416" s="4"/>
      <c r="P416" s="4"/>
      <c r="Q416" s="4"/>
      <c r="R416" s="4"/>
      <c r="S416" s="4"/>
      <c r="T416" s="4"/>
      <c r="U416" s="4"/>
      <c r="V416" s="4"/>
      <c r="W416" s="4"/>
      <c r="X416" s="4"/>
      <c r="Y416" s="4"/>
    </row>
    <row r="417">
      <c r="A417" s="6"/>
      <c r="B417" s="6" t="s">
        <v>158</v>
      </c>
      <c r="C417" s="71" t="s">
        <v>12</v>
      </c>
      <c r="D417" s="72" t="str">
        <f t="array" ref="D417">XLOOKUP(C417,'Master Data'!C:C,'Master Data'!D:D)</f>
        <v/>
      </c>
      <c r="E417" s="73"/>
      <c r="F417" s="72" t="str">
        <f t="array" ref="F417">XLOOKUP(C417,'Master Data'!C:C,'Master Data'!E:E)</f>
        <v/>
      </c>
      <c r="G417" s="72" t="str">
        <f t="array" ref="G417">XLOOKUP(C417,'Master Data'!C:C,'Master Data'!F:F)</f>
        <v/>
      </c>
      <c r="H417" s="72" t="str">
        <f t="array" ref="H417">XLOOKUP(C417,'Master Data'!C:C,'Master Data'!G:G)</f>
        <v/>
      </c>
      <c r="I417" s="72" t="str">
        <f t="array" ref="I417">XLOOKUP(C417,'Master Data'!C:C,'Master Data'!H:H)</f>
        <v/>
      </c>
      <c r="J417" s="72" t="str">
        <f t="array" ref="J417">XLOOKUP(C417,'Master Data'!C:C,'Master Data'!I:I)</f>
        <v/>
      </c>
      <c r="K417" s="72" t="str">
        <f t="array" ref="K417">XLOOKUP(C417,'Master Data'!C:C,'Master Data'!J:J)</f>
        <v/>
      </c>
      <c r="L417" s="74" t="str">
        <f t="array" ref="L417">XLOOKUP(C:C,TSR_Completion!C:C,TSR_Completion!M:M)</f>
        <v/>
      </c>
      <c r="M417" s="4"/>
      <c r="N417" s="4"/>
      <c r="O417" s="4"/>
      <c r="P417" s="4"/>
      <c r="Q417" s="4"/>
      <c r="R417" s="4"/>
      <c r="S417" s="4"/>
      <c r="T417" s="4"/>
      <c r="U417" s="4"/>
      <c r="V417" s="4"/>
      <c r="W417" s="4"/>
      <c r="X417" s="4"/>
      <c r="Y417" s="4"/>
    </row>
    <row r="418">
      <c r="A418" s="6"/>
      <c r="B418" s="6" t="s">
        <v>158</v>
      </c>
      <c r="C418" s="71" t="s">
        <v>12</v>
      </c>
      <c r="D418" s="72" t="str">
        <f t="array" ref="D418">XLOOKUP(C418,'Master Data'!C:C,'Master Data'!D:D)</f>
        <v/>
      </c>
      <c r="E418" s="73"/>
      <c r="F418" s="72" t="str">
        <f t="array" ref="F418">XLOOKUP(C418,'Master Data'!C:C,'Master Data'!E:E)</f>
        <v/>
      </c>
      <c r="G418" s="72" t="str">
        <f t="array" ref="G418">XLOOKUP(C418,'Master Data'!C:C,'Master Data'!F:F)</f>
        <v/>
      </c>
      <c r="H418" s="72" t="str">
        <f t="array" ref="H418">XLOOKUP(C418,'Master Data'!C:C,'Master Data'!G:G)</f>
        <v/>
      </c>
      <c r="I418" s="72" t="str">
        <f t="array" ref="I418">XLOOKUP(C418,'Master Data'!C:C,'Master Data'!H:H)</f>
        <v/>
      </c>
      <c r="J418" s="72" t="str">
        <f t="array" ref="J418">XLOOKUP(C418,'Master Data'!C:C,'Master Data'!I:I)</f>
        <v/>
      </c>
      <c r="K418" s="72" t="str">
        <f t="array" ref="K418">XLOOKUP(C418,'Master Data'!C:C,'Master Data'!J:J)</f>
        <v/>
      </c>
      <c r="L418" s="74" t="str">
        <f t="array" ref="L418">XLOOKUP(C:C,TSR_Completion!C:C,TSR_Completion!M:M)</f>
        <v/>
      </c>
      <c r="M418" s="4"/>
      <c r="N418" s="4"/>
      <c r="O418" s="4"/>
      <c r="P418" s="4"/>
      <c r="Q418" s="4"/>
      <c r="R418" s="4"/>
      <c r="S418" s="4"/>
      <c r="T418" s="4"/>
      <c r="U418" s="4"/>
      <c r="V418" s="4"/>
      <c r="W418" s="4"/>
      <c r="X418" s="4"/>
      <c r="Y418" s="4"/>
    </row>
    <row r="419">
      <c r="A419" s="6"/>
      <c r="B419" s="6" t="s">
        <v>158</v>
      </c>
      <c r="C419" s="71" t="s">
        <v>12</v>
      </c>
      <c r="D419" s="72" t="str">
        <f t="array" ref="D419">XLOOKUP(C419,'Master Data'!C:C,'Master Data'!D:D)</f>
        <v/>
      </c>
      <c r="E419" s="73"/>
      <c r="F419" s="72" t="str">
        <f t="array" ref="F419">XLOOKUP(C419,'Master Data'!C:C,'Master Data'!E:E)</f>
        <v/>
      </c>
      <c r="G419" s="72" t="str">
        <f t="array" ref="G419">XLOOKUP(C419,'Master Data'!C:C,'Master Data'!F:F)</f>
        <v/>
      </c>
      <c r="H419" s="72" t="str">
        <f t="array" ref="H419">XLOOKUP(C419,'Master Data'!C:C,'Master Data'!G:G)</f>
        <v/>
      </c>
      <c r="I419" s="72" t="str">
        <f t="array" ref="I419">XLOOKUP(C419,'Master Data'!C:C,'Master Data'!H:H)</f>
        <v/>
      </c>
      <c r="J419" s="72" t="str">
        <f t="array" ref="J419">XLOOKUP(C419,'Master Data'!C:C,'Master Data'!I:I)</f>
        <v/>
      </c>
      <c r="K419" s="72" t="str">
        <f t="array" ref="K419">XLOOKUP(C419,'Master Data'!C:C,'Master Data'!J:J)</f>
        <v/>
      </c>
      <c r="L419" s="74" t="str">
        <f t="array" ref="L419">XLOOKUP(C:C,TSR_Completion!C:C,TSR_Completion!M:M)</f>
        <v/>
      </c>
      <c r="M419" s="4"/>
      <c r="N419" s="4"/>
      <c r="O419" s="4"/>
      <c r="P419" s="4"/>
      <c r="Q419" s="4"/>
      <c r="R419" s="4"/>
      <c r="S419" s="4"/>
      <c r="T419" s="4"/>
      <c r="U419" s="4"/>
      <c r="V419" s="4"/>
      <c r="W419" s="4"/>
      <c r="X419" s="4"/>
      <c r="Y419" s="4"/>
    </row>
    <row r="420">
      <c r="A420" s="6"/>
      <c r="B420" s="6" t="s">
        <v>158</v>
      </c>
      <c r="C420" s="71" t="s">
        <v>12</v>
      </c>
      <c r="D420" s="72" t="str">
        <f t="array" ref="D420">XLOOKUP(C420,'Master Data'!C:C,'Master Data'!D:D)</f>
        <v/>
      </c>
      <c r="E420" s="73"/>
      <c r="F420" s="72" t="str">
        <f t="array" ref="F420">XLOOKUP(C420,'Master Data'!C:C,'Master Data'!E:E)</f>
        <v/>
      </c>
      <c r="G420" s="72" t="str">
        <f t="array" ref="G420">XLOOKUP(C420,'Master Data'!C:C,'Master Data'!F:F)</f>
        <v/>
      </c>
      <c r="H420" s="72" t="str">
        <f t="array" ref="H420">XLOOKUP(C420,'Master Data'!C:C,'Master Data'!G:G)</f>
        <v/>
      </c>
      <c r="I420" s="72" t="str">
        <f t="array" ref="I420">XLOOKUP(C420,'Master Data'!C:C,'Master Data'!H:H)</f>
        <v/>
      </c>
      <c r="J420" s="72" t="str">
        <f t="array" ref="J420">XLOOKUP(C420,'Master Data'!C:C,'Master Data'!I:I)</f>
        <v/>
      </c>
      <c r="K420" s="72" t="str">
        <f t="array" ref="K420">XLOOKUP(C420,'Master Data'!C:C,'Master Data'!J:J)</f>
        <v/>
      </c>
      <c r="L420" s="74" t="str">
        <f t="array" ref="L420">XLOOKUP(C:C,TSR_Completion!C:C,TSR_Completion!M:M)</f>
        <v/>
      </c>
      <c r="M420" s="4"/>
      <c r="N420" s="4"/>
      <c r="O420" s="4"/>
      <c r="P420" s="4"/>
      <c r="Q420" s="4"/>
      <c r="R420" s="4"/>
      <c r="S420" s="4"/>
      <c r="T420" s="4"/>
      <c r="U420" s="4"/>
      <c r="V420" s="4"/>
      <c r="W420" s="4"/>
      <c r="X420" s="4"/>
      <c r="Y420" s="4"/>
    </row>
    <row r="421">
      <c r="A421" s="6"/>
      <c r="B421" s="6" t="s">
        <v>158</v>
      </c>
      <c r="C421" s="71" t="s">
        <v>12</v>
      </c>
      <c r="D421" s="72" t="str">
        <f t="array" ref="D421">XLOOKUP(C421,'Master Data'!C:C,'Master Data'!D:D)</f>
        <v/>
      </c>
      <c r="E421" s="73"/>
      <c r="F421" s="72" t="str">
        <f t="array" ref="F421">XLOOKUP(C421,'Master Data'!C:C,'Master Data'!E:E)</f>
        <v/>
      </c>
      <c r="G421" s="72" t="str">
        <f t="array" ref="G421">XLOOKUP(C421,'Master Data'!C:C,'Master Data'!F:F)</f>
        <v/>
      </c>
      <c r="H421" s="72" t="str">
        <f t="array" ref="H421">XLOOKUP(C421,'Master Data'!C:C,'Master Data'!G:G)</f>
        <v/>
      </c>
      <c r="I421" s="72" t="str">
        <f t="array" ref="I421">XLOOKUP(C421,'Master Data'!C:C,'Master Data'!H:H)</f>
        <v/>
      </c>
      <c r="J421" s="72" t="str">
        <f t="array" ref="J421">XLOOKUP(C421,'Master Data'!C:C,'Master Data'!I:I)</f>
        <v/>
      </c>
      <c r="K421" s="72" t="str">
        <f t="array" ref="K421">XLOOKUP(C421,'Master Data'!C:C,'Master Data'!J:J)</f>
        <v/>
      </c>
      <c r="L421" s="74" t="str">
        <f t="array" ref="L421">XLOOKUP(C:C,TSR_Completion!C:C,TSR_Completion!M:M)</f>
        <v/>
      </c>
      <c r="M421" s="4"/>
      <c r="N421" s="4"/>
      <c r="O421" s="4"/>
      <c r="P421" s="4"/>
      <c r="Q421" s="4"/>
      <c r="R421" s="4"/>
      <c r="S421" s="4"/>
      <c r="T421" s="4"/>
      <c r="U421" s="4"/>
      <c r="V421" s="4"/>
      <c r="W421" s="4"/>
      <c r="X421" s="4"/>
      <c r="Y421" s="4"/>
    </row>
    <row r="422">
      <c r="A422" s="6"/>
      <c r="B422" s="6" t="s">
        <v>158</v>
      </c>
      <c r="C422" s="71" t="s">
        <v>12</v>
      </c>
      <c r="D422" s="72" t="str">
        <f t="array" ref="D422">XLOOKUP(C422,'Master Data'!C:C,'Master Data'!D:D)</f>
        <v/>
      </c>
      <c r="E422" s="73"/>
      <c r="F422" s="72" t="str">
        <f t="array" ref="F422">XLOOKUP(C422,'Master Data'!C:C,'Master Data'!E:E)</f>
        <v/>
      </c>
      <c r="G422" s="72" t="str">
        <f t="array" ref="G422">XLOOKUP(C422,'Master Data'!C:C,'Master Data'!F:F)</f>
        <v/>
      </c>
      <c r="H422" s="72" t="str">
        <f t="array" ref="H422">XLOOKUP(C422,'Master Data'!C:C,'Master Data'!G:G)</f>
        <v/>
      </c>
      <c r="I422" s="72" t="str">
        <f t="array" ref="I422">XLOOKUP(C422,'Master Data'!C:C,'Master Data'!H:H)</f>
        <v/>
      </c>
      <c r="J422" s="72" t="str">
        <f t="array" ref="J422">XLOOKUP(C422,'Master Data'!C:C,'Master Data'!I:I)</f>
        <v/>
      </c>
      <c r="K422" s="72" t="str">
        <f t="array" ref="K422">XLOOKUP(C422,'Master Data'!C:C,'Master Data'!J:J)</f>
        <v/>
      </c>
      <c r="L422" s="74" t="str">
        <f t="array" ref="L422">XLOOKUP(C:C,TSR_Completion!C:C,TSR_Completion!M:M)</f>
        <v/>
      </c>
      <c r="M422" s="4"/>
      <c r="N422" s="4"/>
      <c r="O422" s="4"/>
      <c r="P422" s="4"/>
      <c r="Q422" s="4"/>
      <c r="R422" s="4"/>
      <c r="S422" s="4"/>
      <c r="T422" s="4"/>
      <c r="U422" s="4"/>
      <c r="V422" s="4"/>
      <c r="W422" s="4"/>
      <c r="X422" s="4"/>
      <c r="Y422" s="4"/>
    </row>
    <row r="423">
      <c r="A423" s="6"/>
      <c r="B423" s="6" t="s">
        <v>158</v>
      </c>
      <c r="C423" s="71" t="s">
        <v>12</v>
      </c>
      <c r="D423" s="72" t="str">
        <f t="array" ref="D423">XLOOKUP(C423,'Master Data'!C:C,'Master Data'!D:D)</f>
        <v/>
      </c>
      <c r="E423" s="73"/>
      <c r="F423" s="72" t="str">
        <f t="array" ref="F423">XLOOKUP(C423,'Master Data'!C:C,'Master Data'!E:E)</f>
        <v/>
      </c>
      <c r="G423" s="72" t="str">
        <f t="array" ref="G423">XLOOKUP(C423,'Master Data'!C:C,'Master Data'!F:F)</f>
        <v/>
      </c>
      <c r="H423" s="72" t="str">
        <f t="array" ref="H423">XLOOKUP(C423,'Master Data'!C:C,'Master Data'!G:G)</f>
        <v/>
      </c>
      <c r="I423" s="72" t="str">
        <f t="array" ref="I423">XLOOKUP(C423,'Master Data'!C:C,'Master Data'!H:H)</f>
        <v/>
      </c>
      <c r="J423" s="72" t="str">
        <f t="array" ref="J423">XLOOKUP(C423,'Master Data'!C:C,'Master Data'!I:I)</f>
        <v/>
      </c>
      <c r="K423" s="72" t="str">
        <f t="array" ref="K423">XLOOKUP(C423,'Master Data'!C:C,'Master Data'!J:J)</f>
        <v/>
      </c>
      <c r="L423" s="74" t="str">
        <f t="array" ref="L423">XLOOKUP(C:C,TSR_Completion!C:C,TSR_Completion!M:M)</f>
        <v/>
      </c>
      <c r="M423" s="4"/>
      <c r="N423" s="4"/>
      <c r="O423" s="4"/>
      <c r="P423" s="4"/>
      <c r="Q423" s="4"/>
      <c r="R423" s="4"/>
      <c r="S423" s="4"/>
      <c r="T423" s="4"/>
      <c r="U423" s="4"/>
      <c r="V423" s="4"/>
      <c r="W423" s="4"/>
      <c r="X423" s="4"/>
      <c r="Y423" s="4"/>
    </row>
    <row r="424">
      <c r="A424" s="6"/>
      <c r="B424" s="6" t="s">
        <v>158</v>
      </c>
      <c r="C424" s="71" t="s">
        <v>12</v>
      </c>
      <c r="D424" s="72" t="str">
        <f t="array" ref="D424">XLOOKUP(C424,'Master Data'!C:C,'Master Data'!D:D)</f>
        <v/>
      </c>
      <c r="E424" s="73"/>
      <c r="F424" s="72" t="str">
        <f t="array" ref="F424">XLOOKUP(C424,'Master Data'!C:C,'Master Data'!E:E)</f>
        <v/>
      </c>
      <c r="G424" s="72" t="str">
        <f t="array" ref="G424">XLOOKUP(C424,'Master Data'!C:C,'Master Data'!F:F)</f>
        <v/>
      </c>
      <c r="H424" s="72" t="str">
        <f t="array" ref="H424">XLOOKUP(C424,'Master Data'!C:C,'Master Data'!G:G)</f>
        <v/>
      </c>
      <c r="I424" s="72" t="str">
        <f t="array" ref="I424">XLOOKUP(C424,'Master Data'!C:C,'Master Data'!H:H)</f>
        <v/>
      </c>
      <c r="J424" s="72" t="str">
        <f t="array" ref="J424">XLOOKUP(C424,'Master Data'!C:C,'Master Data'!I:I)</f>
        <v/>
      </c>
      <c r="K424" s="72" t="str">
        <f t="array" ref="K424">XLOOKUP(C424,'Master Data'!C:C,'Master Data'!J:J)</f>
        <v/>
      </c>
      <c r="L424" s="74" t="str">
        <f t="array" ref="L424">XLOOKUP(C:C,TSR_Completion!C:C,TSR_Completion!M:M)</f>
        <v/>
      </c>
      <c r="M424" s="4"/>
      <c r="N424" s="4"/>
      <c r="O424" s="4"/>
      <c r="P424" s="4"/>
      <c r="Q424" s="4"/>
      <c r="R424" s="4"/>
      <c r="S424" s="4"/>
      <c r="T424" s="4"/>
      <c r="U424" s="4"/>
      <c r="V424" s="4"/>
      <c r="W424" s="4"/>
      <c r="X424" s="4"/>
      <c r="Y424" s="4"/>
    </row>
    <row r="425">
      <c r="A425" s="6"/>
      <c r="B425" s="6" t="s">
        <v>158</v>
      </c>
      <c r="C425" s="71" t="s">
        <v>12</v>
      </c>
      <c r="D425" s="72" t="str">
        <f t="array" ref="D425">XLOOKUP(C425,'Master Data'!C:C,'Master Data'!D:D)</f>
        <v/>
      </c>
      <c r="E425" s="73"/>
      <c r="F425" s="72" t="str">
        <f t="array" ref="F425">XLOOKUP(C425,'Master Data'!C:C,'Master Data'!E:E)</f>
        <v/>
      </c>
      <c r="G425" s="72" t="str">
        <f t="array" ref="G425">XLOOKUP(C425,'Master Data'!C:C,'Master Data'!F:F)</f>
        <v/>
      </c>
      <c r="H425" s="72" t="str">
        <f t="array" ref="H425">XLOOKUP(C425,'Master Data'!C:C,'Master Data'!G:G)</f>
        <v/>
      </c>
      <c r="I425" s="72" t="str">
        <f t="array" ref="I425">XLOOKUP(C425,'Master Data'!C:C,'Master Data'!H:H)</f>
        <v/>
      </c>
      <c r="J425" s="72" t="str">
        <f t="array" ref="J425">XLOOKUP(C425,'Master Data'!C:C,'Master Data'!I:I)</f>
        <v/>
      </c>
      <c r="K425" s="72" t="str">
        <f t="array" ref="K425">XLOOKUP(C425,'Master Data'!C:C,'Master Data'!J:J)</f>
        <v/>
      </c>
      <c r="L425" s="74" t="str">
        <f t="array" ref="L425">XLOOKUP(C:C,TSR_Completion!C:C,TSR_Completion!M:M)</f>
        <v/>
      </c>
      <c r="M425" s="4"/>
      <c r="N425" s="4"/>
      <c r="O425" s="4"/>
      <c r="P425" s="4"/>
      <c r="Q425" s="4"/>
      <c r="R425" s="4"/>
      <c r="S425" s="4"/>
      <c r="T425" s="4"/>
      <c r="U425" s="4"/>
      <c r="V425" s="4"/>
      <c r="W425" s="4"/>
      <c r="X425" s="4"/>
      <c r="Y425" s="4"/>
    </row>
    <row r="426">
      <c r="A426" s="6"/>
      <c r="B426" s="6" t="s">
        <v>158</v>
      </c>
      <c r="C426" s="71" t="s">
        <v>12</v>
      </c>
      <c r="D426" s="72" t="str">
        <f t="array" ref="D426">XLOOKUP(C426,'Master Data'!C:C,'Master Data'!D:D)</f>
        <v/>
      </c>
      <c r="E426" s="73"/>
      <c r="F426" s="72" t="str">
        <f t="array" ref="F426">XLOOKUP(C426,'Master Data'!C:C,'Master Data'!E:E)</f>
        <v/>
      </c>
      <c r="G426" s="72" t="str">
        <f t="array" ref="G426">XLOOKUP(C426,'Master Data'!C:C,'Master Data'!F:F)</f>
        <v/>
      </c>
      <c r="H426" s="72" t="str">
        <f t="array" ref="H426">XLOOKUP(C426,'Master Data'!C:C,'Master Data'!G:G)</f>
        <v/>
      </c>
      <c r="I426" s="72" t="str">
        <f t="array" ref="I426">XLOOKUP(C426,'Master Data'!C:C,'Master Data'!H:H)</f>
        <v/>
      </c>
      <c r="J426" s="72" t="str">
        <f t="array" ref="J426">XLOOKUP(C426,'Master Data'!C:C,'Master Data'!I:I)</f>
        <v/>
      </c>
      <c r="K426" s="72" t="str">
        <f t="array" ref="K426">XLOOKUP(C426,'Master Data'!C:C,'Master Data'!J:J)</f>
        <v/>
      </c>
      <c r="L426" s="74" t="str">
        <f t="array" ref="L426">XLOOKUP(C:C,TSR_Completion!C:C,TSR_Completion!M:M)</f>
        <v/>
      </c>
      <c r="M426" s="4"/>
      <c r="N426" s="4"/>
      <c r="O426" s="4"/>
      <c r="P426" s="4"/>
      <c r="Q426" s="4"/>
      <c r="R426" s="4"/>
      <c r="S426" s="4"/>
      <c r="T426" s="4"/>
      <c r="U426" s="4"/>
      <c r="V426" s="4"/>
      <c r="W426" s="4"/>
      <c r="X426" s="4"/>
      <c r="Y426" s="4"/>
    </row>
    <row r="427">
      <c r="A427" s="6"/>
      <c r="B427" s="6" t="s">
        <v>158</v>
      </c>
      <c r="C427" s="71" t="s">
        <v>12</v>
      </c>
      <c r="D427" s="72" t="str">
        <f t="array" ref="D427">XLOOKUP(C427,'Master Data'!C:C,'Master Data'!D:D)</f>
        <v/>
      </c>
      <c r="E427" s="73"/>
      <c r="F427" s="72" t="str">
        <f t="array" ref="F427">XLOOKUP(C427,'Master Data'!C:C,'Master Data'!E:E)</f>
        <v/>
      </c>
      <c r="G427" s="72" t="str">
        <f t="array" ref="G427">XLOOKUP(C427,'Master Data'!C:C,'Master Data'!F:F)</f>
        <v/>
      </c>
      <c r="H427" s="72" t="str">
        <f t="array" ref="H427">XLOOKUP(C427,'Master Data'!C:C,'Master Data'!G:G)</f>
        <v/>
      </c>
      <c r="I427" s="72" t="str">
        <f t="array" ref="I427">XLOOKUP(C427,'Master Data'!C:C,'Master Data'!H:H)</f>
        <v/>
      </c>
      <c r="J427" s="72" t="str">
        <f t="array" ref="J427">XLOOKUP(C427,'Master Data'!C:C,'Master Data'!I:I)</f>
        <v/>
      </c>
      <c r="K427" s="72" t="str">
        <f t="array" ref="K427">XLOOKUP(C427,'Master Data'!C:C,'Master Data'!J:J)</f>
        <v/>
      </c>
      <c r="L427" s="74" t="str">
        <f t="array" ref="L427">XLOOKUP(C:C,TSR_Completion!C:C,TSR_Completion!M:M)</f>
        <v/>
      </c>
      <c r="M427" s="4"/>
      <c r="N427" s="4"/>
      <c r="O427" s="4"/>
      <c r="P427" s="4"/>
      <c r="Q427" s="4"/>
      <c r="R427" s="4"/>
      <c r="S427" s="4"/>
      <c r="T427" s="4"/>
      <c r="U427" s="4"/>
      <c r="V427" s="4"/>
      <c r="W427" s="4"/>
      <c r="X427" s="4"/>
      <c r="Y427" s="4"/>
    </row>
    <row r="428">
      <c r="A428" s="6"/>
      <c r="B428" s="6" t="s">
        <v>158</v>
      </c>
      <c r="C428" s="71" t="s">
        <v>12</v>
      </c>
      <c r="D428" s="72" t="str">
        <f t="array" ref="D428">XLOOKUP(C428,'Master Data'!C:C,'Master Data'!D:D)</f>
        <v/>
      </c>
      <c r="E428" s="73"/>
      <c r="F428" s="72" t="str">
        <f t="array" ref="F428">XLOOKUP(C428,'Master Data'!C:C,'Master Data'!E:E)</f>
        <v/>
      </c>
      <c r="G428" s="72" t="str">
        <f t="array" ref="G428">XLOOKUP(C428,'Master Data'!C:C,'Master Data'!F:F)</f>
        <v/>
      </c>
      <c r="H428" s="72" t="str">
        <f t="array" ref="H428">XLOOKUP(C428,'Master Data'!C:C,'Master Data'!G:G)</f>
        <v/>
      </c>
      <c r="I428" s="72" t="str">
        <f t="array" ref="I428">XLOOKUP(C428,'Master Data'!C:C,'Master Data'!H:H)</f>
        <v/>
      </c>
      <c r="J428" s="72" t="str">
        <f t="array" ref="J428">XLOOKUP(C428,'Master Data'!C:C,'Master Data'!I:I)</f>
        <v/>
      </c>
      <c r="K428" s="72" t="str">
        <f t="array" ref="K428">XLOOKUP(C428,'Master Data'!C:C,'Master Data'!J:J)</f>
        <v/>
      </c>
      <c r="L428" s="74" t="str">
        <f t="array" ref="L428">XLOOKUP(C:C,TSR_Completion!C:C,TSR_Completion!M:M)</f>
        <v/>
      </c>
      <c r="M428" s="4"/>
      <c r="N428" s="4"/>
      <c r="O428" s="4"/>
      <c r="P428" s="4"/>
      <c r="Q428" s="4"/>
      <c r="R428" s="4"/>
      <c r="S428" s="4"/>
      <c r="T428" s="4"/>
      <c r="U428" s="4"/>
      <c r="V428" s="4"/>
      <c r="W428" s="4"/>
      <c r="X428" s="4"/>
      <c r="Y428" s="4"/>
    </row>
    <row r="429">
      <c r="A429" s="6"/>
      <c r="B429" s="6" t="s">
        <v>158</v>
      </c>
      <c r="C429" s="71" t="s">
        <v>12</v>
      </c>
      <c r="D429" s="72" t="str">
        <f t="array" ref="D429">XLOOKUP(C429,'Master Data'!C:C,'Master Data'!D:D)</f>
        <v/>
      </c>
      <c r="E429" s="73"/>
      <c r="F429" s="72" t="str">
        <f t="array" ref="F429">XLOOKUP(C429,'Master Data'!C:C,'Master Data'!E:E)</f>
        <v/>
      </c>
      <c r="G429" s="72" t="str">
        <f t="array" ref="G429">XLOOKUP(C429,'Master Data'!C:C,'Master Data'!F:F)</f>
        <v/>
      </c>
      <c r="H429" s="72" t="str">
        <f t="array" ref="H429">XLOOKUP(C429,'Master Data'!C:C,'Master Data'!G:G)</f>
        <v/>
      </c>
      <c r="I429" s="72" t="str">
        <f t="array" ref="I429">XLOOKUP(C429,'Master Data'!C:C,'Master Data'!H:H)</f>
        <v/>
      </c>
      <c r="J429" s="72" t="str">
        <f t="array" ref="J429">XLOOKUP(C429,'Master Data'!C:C,'Master Data'!I:I)</f>
        <v/>
      </c>
      <c r="K429" s="72" t="str">
        <f t="array" ref="K429">XLOOKUP(C429,'Master Data'!C:C,'Master Data'!J:J)</f>
        <v/>
      </c>
      <c r="L429" s="74" t="str">
        <f t="array" ref="L429">XLOOKUP(C:C,TSR_Completion!C:C,TSR_Completion!M:M)</f>
        <v/>
      </c>
      <c r="M429" s="4"/>
      <c r="N429" s="4"/>
      <c r="O429" s="4"/>
      <c r="P429" s="4"/>
      <c r="Q429" s="4"/>
      <c r="R429" s="4"/>
      <c r="S429" s="4"/>
      <c r="T429" s="4"/>
      <c r="U429" s="4"/>
      <c r="V429" s="4"/>
      <c r="W429" s="4"/>
      <c r="X429" s="4"/>
      <c r="Y429" s="4"/>
    </row>
    <row r="430">
      <c r="A430" s="6"/>
      <c r="B430" s="6" t="s">
        <v>158</v>
      </c>
      <c r="C430" s="71" t="s">
        <v>12</v>
      </c>
      <c r="D430" s="72" t="str">
        <f t="array" ref="D430">XLOOKUP(C430,'Master Data'!C:C,'Master Data'!D:D)</f>
        <v/>
      </c>
      <c r="E430" s="73"/>
      <c r="F430" s="72" t="str">
        <f t="array" ref="F430">XLOOKUP(C430,'Master Data'!C:C,'Master Data'!E:E)</f>
        <v/>
      </c>
      <c r="G430" s="72" t="str">
        <f t="array" ref="G430">XLOOKUP(C430,'Master Data'!C:C,'Master Data'!F:F)</f>
        <v/>
      </c>
      <c r="H430" s="72" t="str">
        <f t="array" ref="H430">XLOOKUP(C430,'Master Data'!C:C,'Master Data'!G:G)</f>
        <v/>
      </c>
      <c r="I430" s="72" t="str">
        <f t="array" ref="I430">XLOOKUP(C430,'Master Data'!C:C,'Master Data'!H:H)</f>
        <v/>
      </c>
      <c r="J430" s="72" t="str">
        <f t="array" ref="J430">XLOOKUP(C430,'Master Data'!C:C,'Master Data'!I:I)</f>
        <v/>
      </c>
      <c r="K430" s="72" t="str">
        <f t="array" ref="K430">XLOOKUP(C430,'Master Data'!C:C,'Master Data'!J:J)</f>
        <v/>
      </c>
      <c r="L430" s="74" t="str">
        <f t="array" ref="L430">XLOOKUP(C:C,TSR_Completion!C:C,TSR_Completion!M:M)</f>
        <v/>
      </c>
      <c r="M430" s="4"/>
      <c r="N430" s="4"/>
      <c r="O430" s="4"/>
      <c r="P430" s="4"/>
      <c r="Q430" s="4"/>
      <c r="R430" s="4"/>
      <c r="S430" s="4"/>
      <c r="T430" s="4"/>
      <c r="U430" s="4"/>
      <c r="V430" s="4"/>
      <c r="W430" s="4"/>
      <c r="X430" s="4"/>
      <c r="Y430" s="4"/>
    </row>
    <row r="431">
      <c r="A431" s="6"/>
      <c r="B431" s="6" t="s">
        <v>158</v>
      </c>
      <c r="C431" s="71" t="s">
        <v>12</v>
      </c>
      <c r="D431" s="72" t="str">
        <f t="array" ref="D431">XLOOKUP(C431,'Master Data'!C:C,'Master Data'!D:D)</f>
        <v/>
      </c>
      <c r="E431" s="73"/>
      <c r="F431" s="72" t="str">
        <f t="array" ref="F431">XLOOKUP(C431,'Master Data'!C:C,'Master Data'!E:E)</f>
        <v/>
      </c>
      <c r="G431" s="72" t="str">
        <f t="array" ref="G431">XLOOKUP(C431,'Master Data'!C:C,'Master Data'!F:F)</f>
        <v/>
      </c>
      <c r="H431" s="72" t="str">
        <f t="array" ref="H431">XLOOKUP(C431,'Master Data'!C:C,'Master Data'!G:G)</f>
        <v/>
      </c>
      <c r="I431" s="72" t="str">
        <f t="array" ref="I431">XLOOKUP(C431,'Master Data'!C:C,'Master Data'!H:H)</f>
        <v/>
      </c>
      <c r="J431" s="72" t="str">
        <f t="array" ref="J431">XLOOKUP(C431,'Master Data'!C:C,'Master Data'!I:I)</f>
        <v/>
      </c>
      <c r="K431" s="72" t="str">
        <f t="array" ref="K431">XLOOKUP(C431,'Master Data'!C:C,'Master Data'!J:J)</f>
        <v/>
      </c>
      <c r="L431" s="74" t="str">
        <f t="array" ref="L431">XLOOKUP(C:C,TSR_Completion!C:C,TSR_Completion!M:M)</f>
        <v/>
      </c>
      <c r="M431" s="4"/>
      <c r="N431" s="4"/>
      <c r="O431" s="4"/>
      <c r="P431" s="4"/>
      <c r="Q431" s="4"/>
      <c r="R431" s="4"/>
      <c r="S431" s="4"/>
      <c r="T431" s="4"/>
      <c r="U431" s="4"/>
      <c r="V431" s="4"/>
      <c r="W431" s="4"/>
      <c r="X431" s="4"/>
      <c r="Y431" s="4"/>
    </row>
    <row r="432">
      <c r="A432" s="6"/>
      <c r="B432" s="6" t="s">
        <v>158</v>
      </c>
      <c r="C432" s="71" t="s">
        <v>12</v>
      </c>
      <c r="D432" s="72" t="str">
        <f t="array" ref="D432">XLOOKUP(C432,'Master Data'!C:C,'Master Data'!D:D)</f>
        <v/>
      </c>
      <c r="E432" s="73"/>
      <c r="F432" s="72" t="str">
        <f t="array" ref="F432">XLOOKUP(C432,'Master Data'!C:C,'Master Data'!E:E)</f>
        <v/>
      </c>
      <c r="G432" s="72" t="str">
        <f t="array" ref="G432">XLOOKUP(C432,'Master Data'!C:C,'Master Data'!F:F)</f>
        <v/>
      </c>
      <c r="H432" s="72" t="str">
        <f t="array" ref="H432">XLOOKUP(C432,'Master Data'!C:C,'Master Data'!G:G)</f>
        <v/>
      </c>
      <c r="I432" s="72" t="str">
        <f t="array" ref="I432">XLOOKUP(C432,'Master Data'!C:C,'Master Data'!H:H)</f>
        <v/>
      </c>
      <c r="J432" s="72" t="str">
        <f t="array" ref="J432">XLOOKUP(C432,'Master Data'!C:C,'Master Data'!I:I)</f>
        <v/>
      </c>
      <c r="K432" s="72" t="str">
        <f t="array" ref="K432">XLOOKUP(C432,'Master Data'!C:C,'Master Data'!J:J)</f>
        <v/>
      </c>
      <c r="L432" s="74" t="str">
        <f t="array" ref="L432">XLOOKUP(C:C,TSR_Completion!C:C,TSR_Completion!M:M)</f>
        <v/>
      </c>
      <c r="M432" s="4"/>
      <c r="N432" s="4"/>
      <c r="O432" s="4"/>
      <c r="P432" s="4"/>
      <c r="Q432" s="4"/>
      <c r="R432" s="4"/>
      <c r="S432" s="4"/>
      <c r="T432" s="4"/>
      <c r="U432" s="4"/>
      <c r="V432" s="4"/>
      <c r="W432" s="4"/>
      <c r="X432" s="4"/>
      <c r="Y432" s="4"/>
    </row>
    <row r="433">
      <c r="A433" s="6"/>
      <c r="B433" s="6" t="s">
        <v>158</v>
      </c>
      <c r="C433" s="71" t="s">
        <v>12</v>
      </c>
      <c r="D433" s="72" t="str">
        <f t="array" ref="D433">XLOOKUP(C433,'Master Data'!C:C,'Master Data'!D:D)</f>
        <v/>
      </c>
      <c r="E433" s="73"/>
      <c r="F433" s="72" t="str">
        <f t="array" ref="F433">XLOOKUP(C433,'Master Data'!C:C,'Master Data'!E:E)</f>
        <v/>
      </c>
      <c r="G433" s="72" t="str">
        <f t="array" ref="G433">XLOOKUP(C433,'Master Data'!C:C,'Master Data'!F:F)</f>
        <v/>
      </c>
      <c r="H433" s="72" t="str">
        <f t="array" ref="H433">XLOOKUP(C433,'Master Data'!C:C,'Master Data'!G:G)</f>
        <v/>
      </c>
      <c r="I433" s="72" t="str">
        <f t="array" ref="I433">XLOOKUP(C433,'Master Data'!C:C,'Master Data'!H:H)</f>
        <v/>
      </c>
      <c r="J433" s="72" t="str">
        <f t="array" ref="J433">XLOOKUP(C433,'Master Data'!C:C,'Master Data'!I:I)</f>
        <v/>
      </c>
      <c r="K433" s="72" t="str">
        <f t="array" ref="K433">XLOOKUP(C433,'Master Data'!C:C,'Master Data'!J:J)</f>
        <v/>
      </c>
      <c r="L433" s="74" t="str">
        <f t="array" ref="L433">XLOOKUP(C:C,TSR_Completion!C:C,TSR_Completion!M:M)</f>
        <v/>
      </c>
      <c r="M433" s="4"/>
      <c r="N433" s="4"/>
      <c r="O433" s="4"/>
      <c r="P433" s="4"/>
      <c r="Q433" s="4"/>
      <c r="R433" s="4"/>
      <c r="S433" s="4"/>
      <c r="T433" s="4"/>
      <c r="U433" s="4"/>
      <c r="V433" s="4"/>
      <c r="W433" s="4"/>
      <c r="X433" s="4"/>
      <c r="Y433" s="4"/>
    </row>
    <row r="434">
      <c r="A434" s="6"/>
      <c r="B434" s="6" t="s">
        <v>158</v>
      </c>
      <c r="C434" s="71" t="s">
        <v>12</v>
      </c>
      <c r="D434" s="72" t="str">
        <f t="array" ref="D434">XLOOKUP(C434,'Master Data'!C:C,'Master Data'!D:D)</f>
        <v/>
      </c>
      <c r="E434" s="73"/>
      <c r="F434" s="72" t="str">
        <f t="array" ref="F434">XLOOKUP(C434,'Master Data'!C:C,'Master Data'!E:E)</f>
        <v/>
      </c>
      <c r="G434" s="72" t="str">
        <f t="array" ref="G434">XLOOKUP(C434,'Master Data'!C:C,'Master Data'!F:F)</f>
        <v/>
      </c>
      <c r="H434" s="72" t="str">
        <f t="array" ref="H434">XLOOKUP(C434,'Master Data'!C:C,'Master Data'!G:G)</f>
        <v/>
      </c>
      <c r="I434" s="72" t="str">
        <f t="array" ref="I434">XLOOKUP(C434,'Master Data'!C:C,'Master Data'!H:H)</f>
        <v/>
      </c>
      <c r="J434" s="72" t="str">
        <f t="array" ref="J434">XLOOKUP(C434,'Master Data'!C:C,'Master Data'!I:I)</f>
        <v/>
      </c>
      <c r="K434" s="72" t="str">
        <f t="array" ref="K434">XLOOKUP(C434,'Master Data'!C:C,'Master Data'!J:J)</f>
        <v/>
      </c>
      <c r="L434" s="74" t="str">
        <f t="array" ref="L434">XLOOKUP(C:C,TSR_Completion!C:C,TSR_Completion!M:M)</f>
        <v/>
      </c>
      <c r="M434" s="4"/>
      <c r="N434" s="4"/>
      <c r="O434" s="4"/>
      <c r="P434" s="4"/>
      <c r="Q434" s="4"/>
      <c r="R434" s="4"/>
      <c r="S434" s="4"/>
      <c r="T434" s="4"/>
      <c r="U434" s="4"/>
      <c r="V434" s="4"/>
      <c r="W434" s="4"/>
      <c r="X434" s="4"/>
      <c r="Y434" s="4"/>
    </row>
    <row r="435">
      <c r="A435" s="6"/>
      <c r="B435" s="6" t="s">
        <v>158</v>
      </c>
      <c r="C435" s="71" t="s">
        <v>12</v>
      </c>
      <c r="D435" s="72" t="str">
        <f t="array" ref="D435">XLOOKUP(C435,'Master Data'!C:C,'Master Data'!D:D)</f>
        <v/>
      </c>
      <c r="E435" s="73"/>
      <c r="F435" s="72" t="str">
        <f t="array" ref="F435">XLOOKUP(C435,'Master Data'!C:C,'Master Data'!E:E)</f>
        <v/>
      </c>
      <c r="G435" s="72" t="str">
        <f t="array" ref="G435">XLOOKUP(C435,'Master Data'!C:C,'Master Data'!F:F)</f>
        <v/>
      </c>
      <c r="H435" s="72" t="str">
        <f t="array" ref="H435">XLOOKUP(C435,'Master Data'!C:C,'Master Data'!G:G)</f>
        <v/>
      </c>
      <c r="I435" s="72" t="str">
        <f t="array" ref="I435">XLOOKUP(C435,'Master Data'!C:C,'Master Data'!H:H)</f>
        <v/>
      </c>
      <c r="J435" s="72" t="str">
        <f t="array" ref="J435">XLOOKUP(C435,'Master Data'!C:C,'Master Data'!I:I)</f>
        <v/>
      </c>
      <c r="K435" s="72" t="str">
        <f t="array" ref="K435">XLOOKUP(C435,'Master Data'!C:C,'Master Data'!J:J)</f>
        <v/>
      </c>
      <c r="L435" s="74" t="str">
        <f t="array" ref="L435">XLOOKUP(C:C,TSR_Completion!C:C,TSR_Completion!M:M)</f>
        <v/>
      </c>
      <c r="M435" s="4"/>
      <c r="N435" s="4"/>
      <c r="O435" s="4"/>
      <c r="P435" s="4"/>
      <c r="Q435" s="4"/>
      <c r="R435" s="4"/>
      <c r="S435" s="4"/>
      <c r="T435" s="4"/>
      <c r="U435" s="4"/>
      <c r="V435" s="4"/>
      <c r="W435" s="4"/>
      <c r="X435" s="4"/>
      <c r="Y435" s="4"/>
    </row>
    <row r="436">
      <c r="A436" s="6"/>
      <c r="B436" s="6" t="s">
        <v>158</v>
      </c>
      <c r="C436" s="71" t="s">
        <v>12</v>
      </c>
      <c r="D436" s="72" t="str">
        <f t="array" ref="D436">XLOOKUP(C436,'Master Data'!C:C,'Master Data'!D:D)</f>
        <v/>
      </c>
      <c r="E436" s="73"/>
      <c r="F436" s="72" t="str">
        <f t="array" ref="F436">XLOOKUP(C436,'Master Data'!C:C,'Master Data'!E:E)</f>
        <v/>
      </c>
      <c r="G436" s="72" t="str">
        <f t="array" ref="G436">XLOOKUP(C436,'Master Data'!C:C,'Master Data'!F:F)</f>
        <v/>
      </c>
      <c r="H436" s="72" t="str">
        <f t="array" ref="H436">XLOOKUP(C436,'Master Data'!C:C,'Master Data'!G:G)</f>
        <v/>
      </c>
      <c r="I436" s="72" t="str">
        <f t="array" ref="I436">XLOOKUP(C436,'Master Data'!C:C,'Master Data'!H:H)</f>
        <v/>
      </c>
      <c r="J436" s="72" t="str">
        <f t="array" ref="J436">XLOOKUP(C436,'Master Data'!C:C,'Master Data'!I:I)</f>
        <v/>
      </c>
      <c r="K436" s="72" t="str">
        <f t="array" ref="K436">XLOOKUP(C436,'Master Data'!C:C,'Master Data'!J:J)</f>
        <v/>
      </c>
      <c r="L436" s="74" t="str">
        <f t="array" ref="L436">XLOOKUP(C:C,TSR_Completion!C:C,TSR_Completion!M:M)</f>
        <v/>
      </c>
      <c r="M436" s="4"/>
      <c r="N436" s="4"/>
      <c r="O436" s="4"/>
      <c r="P436" s="4"/>
      <c r="Q436" s="4"/>
      <c r="R436" s="4"/>
      <c r="S436" s="4"/>
      <c r="T436" s="4"/>
      <c r="U436" s="4"/>
      <c r="V436" s="4"/>
      <c r="W436" s="4"/>
      <c r="X436" s="4"/>
      <c r="Y436" s="4"/>
    </row>
    <row r="437">
      <c r="A437" s="6"/>
      <c r="B437" s="6" t="s">
        <v>158</v>
      </c>
      <c r="C437" s="71" t="s">
        <v>12</v>
      </c>
      <c r="D437" s="72" t="str">
        <f t="array" ref="D437">XLOOKUP(C437,'Master Data'!C:C,'Master Data'!D:D)</f>
        <v/>
      </c>
      <c r="E437" s="73"/>
      <c r="F437" s="72" t="str">
        <f t="array" ref="F437">XLOOKUP(C437,'Master Data'!C:C,'Master Data'!E:E)</f>
        <v/>
      </c>
      <c r="G437" s="72" t="str">
        <f t="array" ref="G437">XLOOKUP(C437,'Master Data'!C:C,'Master Data'!F:F)</f>
        <v/>
      </c>
      <c r="H437" s="72" t="str">
        <f t="array" ref="H437">XLOOKUP(C437,'Master Data'!C:C,'Master Data'!G:G)</f>
        <v/>
      </c>
      <c r="I437" s="72" t="str">
        <f t="array" ref="I437">XLOOKUP(C437,'Master Data'!C:C,'Master Data'!H:H)</f>
        <v/>
      </c>
      <c r="J437" s="72" t="str">
        <f t="array" ref="J437">XLOOKUP(C437,'Master Data'!C:C,'Master Data'!I:I)</f>
        <v/>
      </c>
      <c r="K437" s="72" t="str">
        <f t="array" ref="K437">XLOOKUP(C437,'Master Data'!C:C,'Master Data'!J:J)</f>
        <v/>
      </c>
      <c r="L437" s="74" t="str">
        <f t="array" ref="L437">XLOOKUP(C:C,TSR_Completion!C:C,TSR_Completion!M:M)</f>
        <v/>
      </c>
      <c r="M437" s="4"/>
      <c r="N437" s="4"/>
      <c r="O437" s="4"/>
      <c r="P437" s="4"/>
      <c r="Q437" s="4"/>
      <c r="R437" s="4"/>
      <c r="S437" s="4"/>
      <c r="T437" s="4"/>
      <c r="U437" s="4"/>
      <c r="V437" s="4"/>
      <c r="W437" s="4"/>
      <c r="X437" s="4"/>
      <c r="Y437" s="4"/>
    </row>
    <row r="438">
      <c r="A438" s="6"/>
      <c r="B438" s="6" t="s">
        <v>158</v>
      </c>
      <c r="C438" s="71" t="s">
        <v>12</v>
      </c>
      <c r="D438" s="72" t="str">
        <f t="array" ref="D438">XLOOKUP(C438,'Master Data'!C:C,'Master Data'!D:D)</f>
        <v/>
      </c>
      <c r="E438" s="73"/>
      <c r="F438" s="72" t="str">
        <f t="array" ref="F438">XLOOKUP(C438,'Master Data'!C:C,'Master Data'!E:E)</f>
        <v/>
      </c>
      <c r="G438" s="72" t="str">
        <f t="array" ref="G438">XLOOKUP(C438,'Master Data'!C:C,'Master Data'!F:F)</f>
        <v/>
      </c>
      <c r="H438" s="72" t="str">
        <f t="array" ref="H438">XLOOKUP(C438,'Master Data'!C:C,'Master Data'!G:G)</f>
        <v/>
      </c>
      <c r="I438" s="72" t="str">
        <f t="array" ref="I438">XLOOKUP(C438,'Master Data'!C:C,'Master Data'!H:H)</f>
        <v/>
      </c>
      <c r="J438" s="72" t="str">
        <f t="array" ref="J438">XLOOKUP(C438,'Master Data'!C:C,'Master Data'!I:I)</f>
        <v/>
      </c>
      <c r="K438" s="72" t="str">
        <f t="array" ref="K438">XLOOKUP(C438,'Master Data'!C:C,'Master Data'!J:J)</f>
        <v/>
      </c>
      <c r="L438" s="74" t="str">
        <f t="array" ref="L438">XLOOKUP(C:C,TSR_Completion!C:C,TSR_Completion!M:M)</f>
        <v/>
      </c>
      <c r="M438" s="4"/>
      <c r="N438" s="4"/>
      <c r="O438" s="4"/>
      <c r="P438" s="4"/>
      <c r="Q438" s="4"/>
      <c r="R438" s="4"/>
      <c r="S438" s="4"/>
      <c r="T438" s="4"/>
      <c r="U438" s="4"/>
      <c r="V438" s="4"/>
      <c r="W438" s="4"/>
      <c r="X438" s="4"/>
      <c r="Y438" s="4"/>
    </row>
    <row r="439">
      <c r="A439" s="6"/>
      <c r="B439" s="6" t="s">
        <v>158</v>
      </c>
      <c r="C439" s="71" t="s">
        <v>12</v>
      </c>
      <c r="D439" s="72" t="str">
        <f t="array" ref="D439">XLOOKUP(C439,'Master Data'!C:C,'Master Data'!D:D)</f>
        <v/>
      </c>
      <c r="E439" s="73"/>
      <c r="F439" s="72" t="str">
        <f t="array" ref="F439">XLOOKUP(C439,'Master Data'!C:C,'Master Data'!E:E)</f>
        <v/>
      </c>
      <c r="G439" s="72" t="str">
        <f t="array" ref="G439">XLOOKUP(C439,'Master Data'!C:C,'Master Data'!F:F)</f>
        <v/>
      </c>
      <c r="H439" s="72" t="str">
        <f t="array" ref="H439">XLOOKUP(C439,'Master Data'!C:C,'Master Data'!G:G)</f>
        <v/>
      </c>
      <c r="I439" s="72" t="str">
        <f t="array" ref="I439">XLOOKUP(C439,'Master Data'!C:C,'Master Data'!H:H)</f>
        <v/>
      </c>
      <c r="J439" s="72" t="str">
        <f t="array" ref="J439">XLOOKUP(C439,'Master Data'!C:C,'Master Data'!I:I)</f>
        <v/>
      </c>
      <c r="K439" s="72" t="str">
        <f t="array" ref="K439">XLOOKUP(C439,'Master Data'!C:C,'Master Data'!J:J)</f>
        <v/>
      </c>
      <c r="L439" s="74" t="str">
        <f t="array" ref="L439">XLOOKUP(C:C,TSR_Completion!C:C,TSR_Completion!M:M)</f>
        <v/>
      </c>
      <c r="M439" s="4"/>
      <c r="N439" s="4"/>
      <c r="O439" s="4"/>
      <c r="P439" s="4"/>
      <c r="Q439" s="4"/>
      <c r="R439" s="4"/>
      <c r="S439" s="4"/>
      <c r="T439" s="4"/>
      <c r="U439" s="4"/>
      <c r="V439" s="4"/>
      <c r="W439" s="4"/>
      <c r="X439" s="4"/>
      <c r="Y439" s="4"/>
    </row>
    <row r="440">
      <c r="A440" s="6"/>
      <c r="B440" s="6" t="s">
        <v>158</v>
      </c>
      <c r="C440" s="71" t="s">
        <v>12</v>
      </c>
      <c r="D440" s="72" t="str">
        <f t="array" ref="D440">XLOOKUP(C440,'Master Data'!C:C,'Master Data'!D:D)</f>
        <v/>
      </c>
      <c r="E440" s="73"/>
      <c r="F440" s="72" t="str">
        <f t="array" ref="F440">XLOOKUP(C440,'Master Data'!C:C,'Master Data'!E:E)</f>
        <v/>
      </c>
      <c r="G440" s="72" t="str">
        <f t="array" ref="G440">XLOOKUP(C440,'Master Data'!C:C,'Master Data'!F:F)</f>
        <v/>
      </c>
      <c r="H440" s="72" t="str">
        <f t="array" ref="H440">XLOOKUP(C440,'Master Data'!C:C,'Master Data'!G:G)</f>
        <v/>
      </c>
      <c r="I440" s="72" t="str">
        <f t="array" ref="I440">XLOOKUP(C440,'Master Data'!C:C,'Master Data'!H:H)</f>
        <v/>
      </c>
      <c r="J440" s="72" t="str">
        <f t="array" ref="J440">XLOOKUP(C440,'Master Data'!C:C,'Master Data'!I:I)</f>
        <v/>
      </c>
      <c r="K440" s="72" t="str">
        <f t="array" ref="K440">XLOOKUP(C440,'Master Data'!C:C,'Master Data'!J:J)</f>
        <v/>
      </c>
      <c r="L440" s="74" t="str">
        <f t="array" ref="L440">XLOOKUP(C:C,TSR_Completion!C:C,TSR_Completion!M:M)</f>
        <v/>
      </c>
      <c r="M440" s="4"/>
      <c r="N440" s="4"/>
      <c r="O440" s="4"/>
      <c r="P440" s="4"/>
      <c r="Q440" s="4"/>
      <c r="R440" s="4"/>
      <c r="S440" s="4"/>
      <c r="T440" s="4"/>
      <c r="U440" s="4"/>
      <c r="V440" s="4"/>
      <c r="W440" s="4"/>
      <c r="X440" s="4"/>
      <c r="Y440" s="4"/>
    </row>
    <row r="441">
      <c r="A441" s="6"/>
      <c r="B441" s="6" t="s">
        <v>158</v>
      </c>
      <c r="C441" s="71" t="s">
        <v>12</v>
      </c>
      <c r="D441" s="72" t="str">
        <f t="array" ref="D441">XLOOKUP(C441,'Master Data'!C:C,'Master Data'!D:D)</f>
        <v/>
      </c>
      <c r="E441" s="73"/>
      <c r="F441" s="72" t="str">
        <f t="array" ref="F441">XLOOKUP(C441,'Master Data'!C:C,'Master Data'!E:E)</f>
        <v/>
      </c>
      <c r="G441" s="72" t="str">
        <f t="array" ref="G441">XLOOKUP(C441,'Master Data'!C:C,'Master Data'!F:F)</f>
        <v/>
      </c>
      <c r="H441" s="72" t="str">
        <f t="array" ref="H441">XLOOKUP(C441,'Master Data'!C:C,'Master Data'!G:G)</f>
        <v/>
      </c>
      <c r="I441" s="72" t="str">
        <f t="array" ref="I441">XLOOKUP(C441,'Master Data'!C:C,'Master Data'!H:H)</f>
        <v/>
      </c>
      <c r="J441" s="72" t="str">
        <f t="array" ref="J441">XLOOKUP(C441,'Master Data'!C:C,'Master Data'!I:I)</f>
        <v/>
      </c>
      <c r="K441" s="72" t="str">
        <f t="array" ref="K441">XLOOKUP(C441,'Master Data'!C:C,'Master Data'!J:J)</f>
        <v/>
      </c>
      <c r="L441" s="74" t="str">
        <f t="array" ref="L441">XLOOKUP(C:C,TSR_Completion!C:C,TSR_Completion!M:M)</f>
        <v/>
      </c>
      <c r="M441" s="4"/>
      <c r="N441" s="4"/>
      <c r="O441" s="4"/>
      <c r="P441" s="4"/>
      <c r="Q441" s="4"/>
      <c r="R441" s="4"/>
      <c r="S441" s="4"/>
      <c r="T441" s="4"/>
      <c r="U441" s="4"/>
      <c r="V441" s="4"/>
      <c r="W441" s="4"/>
      <c r="X441" s="4"/>
      <c r="Y441" s="4"/>
    </row>
    <row r="442">
      <c r="A442" s="6"/>
      <c r="B442" s="6" t="s">
        <v>158</v>
      </c>
      <c r="C442" s="71" t="s">
        <v>12</v>
      </c>
      <c r="D442" s="72" t="str">
        <f t="array" ref="D442">XLOOKUP(C442,'Master Data'!C:C,'Master Data'!D:D)</f>
        <v/>
      </c>
      <c r="E442" s="73"/>
      <c r="F442" s="72" t="str">
        <f t="array" ref="F442">XLOOKUP(C442,'Master Data'!C:C,'Master Data'!E:E)</f>
        <v/>
      </c>
      <c r="G442" s="72" t="str">
        <f t="array" ref="G442">XLOOKUP(C442,'Master Data'!C:C,'Master Data'!F:F)</f>
        <v/>
      </c>
      <c r="H442" s="72" t="str">
        <f t="array" ref="H442">XLOOKUP(C442,'Master Data'!C:C,'Master Data'!G:G)</f>
        <v/>
      </c>
      <c r="I442" s="72" t="str">
        <f t="array" ref="I442">XLOOKUP(C442,'Master Data'!C:C,'Master Data'!H:H)</f>
        <v/>
      </c>
      <c r="J442" s="72" t="str">
        <f t="array" ref="J442">XLOOKUP(C442,'Master Data'!C:C,'Master Data'!I:I)</f>
        <v/>
      </c>
      <c r="K442" s="72" t="str">
        <f t="array" ref="K442">XLOOKUP(C442,'Master Data'!C:C,'Master Data'!J:J)</f>
        <v/>
      </c>
      <c r="L442" s="74" t="str">
        <f t="array" ref="L442">XLOOKUP(C:C,TSR_Completion!C:C,TSR_Completion!M:M)</f>
        <v/>
      </c>
      <c r="M442" s="4"/>
      <c r="N442" s="4"/>
      <c r="O442" s="4"/>
      <c r="P442" s="4"/>
      <c r="Q442" s="4"/>
      <c r="R442" s="4"/>
      <c r="S442" s="4"/>
      <c r="T442" s="4"/>
      <c r="U442" s="4"/>
      <c r="V442" s="4"/>
      <c r="W442" s="4"/>
      <c r="X442" s="4"/>
      <c r="Y442" s="4"/>
    </row>
    <row r="443">
      <c r="A443" s="6"/>
      <c r="B443" s="6" t="s">
        <v>158</v>
      </c>
      <c r="C443" s="71" t="s">
        <v>12</v>
      </c>
      <c r="D443" s="72" t="str">
        <f t="array" ref="D443">XLOOKUP(C443,'Master Data'!C:C,'Master Data'!D:D)</f>
        <v/>
      </c>
      <c r="E443" s="73"/>
      <c r="F443" s="72" t="str">
        <f t="array" ref="F443">XLOOKUP(C443,'Master Data'!C:C,'Master Data'!E:E)</f>
        <v/>
      </c>
      <c r="G443" s="72" t="str">
        <f t="array" ref="G443">XLOOKUP(C443,'Master Data'!C:C,'Master Data'!F:F)</f>
        <v/>
      </c>
      <c r="H443" s="72" t="str">
        <f t="array" ref="H443">XLOOKUP(C443,'Master Data'!C:C,'Master Data'!G:G)</f>
        <v/>
      </c>
      <c r="I443" s="72" t="str">
        <f t="array" ref="I443">XLOOKUP(C443,'Master Data'!C:C,'Master Data'!H:H)</f>
        <v/>
      </c>
      <c r="J443" s="72" t="str">
        <f t="array" ref="J443">XLOOKUP(C443,'Master Data'!C:C,'Master Data'!I:I)</f>
        <v/>
      </c>
      <c r="K443" s="72" t="str">
        <f t="array" ref="K443">XLOOKUP(C443,'Master Data'!C:C,'Master Data'!J:J)</f>
        <v/>
      </c>
      <c r="L443" s="74" t="str">
        <f t="array" ref="L443">XLOOKUP(C:C,TSR_Completion!C:C,TSR_Completion!M:M)</f>
        <v/>
      </c>
      <c r="M443" s="4"/>
      <c r="N443" s="4"/>
      <c r="O443" s="4"/>
      <c r="P443" s="4"/>
      <c r="Q443" s="4"/>
      <c r="R443" s="4"/>
      <c r="S443" s="4"/>
      <c r="T443" s="4"/>
      <c r="U443" s="4"/>
      <c r="V443" s="4"/>
      <c r="W443" s="4"/>
      <c r="X443" s="4"/>
      <c r="Y443" s="4"/>
    </row>
    <row r="444">
      <c r="A444" s="6"/>
      <c r="B444" s="6" t="s">
        <v>158</v>
      </c>
      <c r="C444" s="71" t="s">
        <v>12</v>
      </c>
      <c r="D444" s="72" t="str">
        <f t="array" ref="D444">XLOOKUP(C444,'Master Data'!C:C,'Master Data'!D:D)</f>
        <v/>
      </c>
      <c r="E444" s="73"/>
      <c r="F444" s="72" t="str">
        <f t="array" ref="F444">XLOOKUP(C444,'Master Data'!C:C,'Master Data'!E:E)</f>
        <v/>
      </c>
      <c r="G444" s="72" t="str">
        <f t="array" ref="G444">XLOOKUP(C444,'Master Data'!C:C,'Master Data'!F:F)</f>
        <v/>
      </c>
      <c r="H444" s="72" t="str">
        <f t="array" ref="H444">XLOOKUP(C444,'Master Data'!C:C,'Master Data'!G:G)</f>
        <v/>
      </c>
      <c r="I444" s="72" t="str">
        <f t="array" ref="I444">XLOOKUP(C444,'Master Data'!C:C,'Master Data'!H:H)</f>
        <v/>
      </c>
      <c r="J444" s="72" t="str">
        <f t="array" ref="J444">XLOOKUP(C444,'Master Data'!C:C,'Master Data'!I:I)</f>
        <v/>
      </c>
      <c r="K444" s="72" t="str">
        <f t="array" ref="K444">XLOOKUP(C444,'Master Data'!C:C,'Master Data'!J:J)</f>
        <v/>
      </c>
      <c r="L444" s="74" t="str">
        <f t="array" ref="L444">XLOOKUP(C:C,TSR_Completion!C:C,TSR_Completion!M:M)</f>
        <v/>
      </c>
      <c r="M444" s="4"/>
      <c r="N444" s="4"/>
      <c r="O444" s="4"/>
      <c r="P444" s="4"/>
      <c r="Q444" s="4"/>
      <c r="R444" s="4"/>
      <c r="S444" s="4"/>
      <c r="T444" s="4"/>
      <c r="U444" s="4"/>
      <c r="V444" s="4"/>
      <c r="W444" s="4"/>
      <c r="X444" s="4"/>
      <c r="Y444" s="4"/>
    </row>
    <row r="445">
      <c r="A445" s="6"/>
      <c r="B445" s="6" t="s">
        <v>158</v>
      </c>
      <c r="C445" s="71" t="s">
        <v>12</v>
      </c>
      <c r="D445" s="72" t="str">
        <f t="array" ref="D445">XLOOKUP(C445,'Master Data'!C:C,'Master Data'!D:D)</f>
        <v/>
      </c>
      <c r="E445" s="73"/>
      <c r="F445" s="72" t="str">
        <f t="array" ref="F445">XLOOKUP(C445,'Master Data'!C:C,'Master Data'!E:E)</f>
        <v/>
      </c>
      <c r="G445" s="72" t="str">
        <f t="array" ref="G445">XLOOKUP(C445,'Master Data'!C:C,'Master Data'!F:F)</f>
        <v/>
      </c>
      <c r="H445" s="72" t="str">
        <f t="array" ref="H445">XLOOKUP(C445,'Master Data'!C:C,'Master Data'!G:G)</f>
        <v/>
      </c>
      <c r="I445" s="72" t="str">
        <f t="array" ref="I445">XLOOKUP(C445,'Master Data'!C:C,'Master Data'!H:H)</f>
        <v/>
      </c>
      <c r="J445" s="72" t="str">
        <f t="array" ref="J445">XLOOKUP(C445,'Master Data'!C:C,'Master Data'!I:I)</f>
        <v/>
      </c>
      <c r="K445" s="72" t="str">
        <f t="array" ref="K445">XLOOKUP(C445,'Master Data'!C:C,'Master Data'!J:J)</f>
        <v/>
      </c>
      <c r="L445" s="74" t="str">
        <f t="array" ref="L445">XLOOKUP(C:C,TSR_Completion!C:C,TSR_Completion!M:M)</f>
        <v/>
      </c>
      <c r="M445" s="4"/>
      <c r="N445" s="4"/>
      <c r="O445" s="4"/>
      <c r="P445" s="4"/>
      <c r="Q445" s="4"/>
      <c r="R445" s="4"/>
      <c r="S445" s="4"/>
      <c r="T445" s="4"/>
      <c r="U445" s="4"/>
      <c r="V445" s="4"/>
      <c r="W445" s="4"/>
      <c r="X445" s="4"/>
      <c r="Y445" s="4"/>
    </row>
    <row r="446">
      <c r="A446" s="6"/>
      <c r="B446" s="6" t="s">
        <v>158</v>
      </c>
      <c r="C446" s="71" t="s">
        <v>12</v>
      </c>
      <c r="D446" s="72" t="str">
        <f t="array" ref="D446">XLOOKUP(C446,'Master Data'!C:C,'Master Data'!D:D)</f>
        <v/>
      </c>
      <c r="E446" s="73"/>
      <c r="F446" s="72" t="str">
        <f t="array" ref="F446">XLOOKUP(C446,'Master Data'!C:C,'Master Data'!E:E)</f>
        <v/>
      </c>
      <c r="G446" s="72" t="str">
        <f t="array" ref="G446">XLOOKUP(C446,'Master Data'!C:C,'Master Data'!F:F)</f>
        <v/>
      </c>
      <c r="H446" s="72" t="str">
        <f t="array" ref="H446">XLOOKUP(C446,'Master Data'!C:C,'Master Data'!G:G)</f>
        <v/>
      </c>
      <c r="I446" s="72" t="str">
        <f t="array" ref="I446">XLOOKUP(C446,'Master Data'!C:C,'Master Data'!H:H)</f>
        <v/>
      </c>
      <c r="J446" s="72" t="str">
        <f t="array" ref="J446">XLOOKUP(C446,'Master Data'!C:C,'Master Data'!I:I)</f>
        <v/>
      </c>
      <c r="K446" s="72" t="str">
        <f t="array" ref="K446">XLOOKUP(C446,'Master Data'!C:C,'Master Data'!J:J)</f>
        <v/>
      </c>
      <c r="L446" s="74" t="str">
        <f t="array" ref="L446">XLOOKUP(C:C,TSR_Completion!C:C,TSR_Completion!M:M)</f>
        <v/>
      </c>
      <c r="M446" s="4"/>
      <c r="N446" s="4"/>
      <c r="O446" s="4"/>
      <c r="P446" s="4"/>
      <c r="Q446" s="4"/>
      <c r="R446" s="4"/>
      <c r="S446" s="4"/>
      <c r="T446" s="4"/>
      <c r="U446" s="4"/>
      <c r="V446" s="4"/>
      <c r="W446" s="4"/>
      <c r="X446" s="4"/>
      <c r="Y446" s="4"/>
    </row>
    <row r="447">
      <c r="A447" s="6"/>
      <c r="B447" s="6" t="s">
        <v>158</v>
      </c>
      <c r="C447" s="71" t="s">
        <v>12</v>
      </c>
      <c r="D447" s="72" t="str">
        <f t="array" ref="D447">XLOOKUP(C447,'Master Data'!C:C,'Master Data'!D:D)</f>
        <v/>
      </c>
      <c r="E447" s="73"/>
      <c r="F447" s="72" t="str">
        <f t="array" ref="F447">XLOOKUP(C447,'Master Data'!C:C,'Master Data'!E:E)</f>
        <v/>
      </c>
      <c r="G447" s="72" t="str">
        <f t="array" ref="G447">XLOOKUP(C447,'Master Data'!C:C,'Master Data'!F:F)</f>
        <v/>
      </c>
      <c r="H447" s="72" t="str">
        <f t="array" ref="H447">XLOOKUP(C447,'Master Data'!C:C,'Master Data'!G:G)</f>
        <v/>
      </c>
      <c r="I447" s="72" t="str">
        <f t="array" ref="I447">XLOOKUP(C447,'Master Data'!C:C,'Master Data'!H:H)</f>
        <v/>
      </c>
      <c r="J447" s="72" t="str">
        <f t="array" ref="J447">XLOOKUP(C447,'Master Data'!C:C,'Master Data'!I:I)</f>
        <v/>
      </c>
      <c r="K447" s="72" t="str">
        <f t="array" ref="K447">XLOOKUP(C447,'Master Data'!C:C,'Master Data'!J:J)</f>
        <v/>
      </c>
      <c r="L447" s="74" t="str">
        <f t="array" ref="L447">XLOOKUP(C:C,TSR_Completion!C:C,TSR_Completion!M:M)</f>
        <v/>
      </c>
      <c r="M447" s="4"/>
      <c r="N447" s="4"/>
      <c r="O447" s="4"/>
      <c r="P447" s="4"/>
      <c r="Q447" s="4"/>
      <c r="R447" s="4"/>
      <c r="S447" s="4"/>
      <c r="T447" s="4"/>
      <c r="U447" s="4"/>
      <c r="V447" s="4"/>
      <c r="W447" s="4"/>
      <c r="X447" s="4"/>
      <c r="Y447" s="4"/>
    </row>
    <row r="448">
      <c r="A448" s="6"/>
      <c r="B448" s="6" t="s">
        <v>158</v>
      </c>
      <c r="C448" s="71" t="s">
        <v>12</v>
      </c>
      <c r="D448" s="72" t="str">
        <f t="array" ref="D448">XLOOKUP(C448,'Master Data'!C:C,'Master Data'!D:D)</f>
        <v/>
      </c>
      <c r="E448" s="73"/>
      <c r="F448" s="72" t="str">
        <f t="array" ref="F448">XLOOKUP(C448,'Master Data'!C:C,'Master Data'!E:E)</f>
        <v/>
      </c>
      <c r="G448" s="72" t="str">
        <f t="array" ref="G448">XLOOKUP(C448,'Master Data'!C:C,'Master Data'!F:F)</f>
        <v/>
      </c>
      <c r="H448" s="72" t="str">
        <f t="array" ref="H448">XLOOKUP(C448,'Master Data'!C:C,'Master Data'!G:G)</f>
        <v/>
      </c>
      <c r="I448" s="72" t="str">
        <f t="array" ref="I448">XLOOKUP(C448,'Master Data'!C:C,'Master Data'!H:H)</f>
        <v/>
      </c>
      <c r="J448" s="72" t="str">
        <f t="array" ref="J448">XLOOKUP(C448,'Master Data'!C:C,'Master Data'!I:I)</f>
        <v/>
      </c>
      <c r="K448" s="72" t="str">
        <f t="array" ref="K448">XLOOKUP(C448,'Master Data'!C:C,'Master Data'!J:J)</f>
        <v/>
      </c>
      <c r="L448" s="74" t="str">
        <f t="array" ref="L448">XLOOKUP(C:C,TSR_Completion!C:C,TSR_Completion!M:M)</f>
        <v/>
      </c>
      <c r="M448" s="4"/>
      <c r="N448" s="4"/>
      <c r="O448" s="4"/>
      <c r="P448" s="4"/>
      <c r="Q448" s="4"/>
      <c r="R448" s="4"/>
      <c r="S448" s="4"/>
      <c r="T448" s="4"/>
      <c r="U448" s="4"/>
      <c r="V448" s="4"/>
      <c r="W448" s="4"/>
      <c r="X448" s="4"/>
      <c r="Y448" s="4"/>
    </row>
    <row r="449">
      <c r="A449" s="6"/>
      <c r="B449" s="6" t="s">
        <v>158</v>
      </c>
      <c r="C449" s="71" t="s">
        <v>12</v>
      </c>
      <c r="D449" s="72" t="str">
        <f t="array" ref="D449">XLOOKUP(C449,'Master Data'!C:C,'Master Data'!D:D)</f>
        <v/>
      </c>
      <c r="E449" s="73"/>
      <c r="F449" s="72" t="str">
        <f t="array" ref="F449">XLOOKUP(C449,'Master Data'!C:C,'Master Data'!E:E)</f>
        <v/>
      </c>
      <c r="G449" s="72" t="str">
        <f t="array" ref="G449">XLOOKUP(C449,'Master Data'!C:C,'Master Data'!F:F)</f>
        <v/>
      </c>
      <c r="H449" s="72" t="str">
        <f t="array" ref="H449">XLOOKUP(C449,'Master Data'!C:C,'Master Data'!G:G)</f>
        <v/>
      </c>
      <c r="I449" s="72" t="str">
        <f t="array" ref="I449">XLOOKUP(C449,'Master Data'!C:C,'Master Data'!H:H)</f>
        <v/>
      </c>
      <c r="J449" s="72" t="str">
        <f t="array" ref="J449">XLOOKUP(C449,'Master Data'!C:C,'Master Data'!I:I)</f>
        <v/>
      </c>
      <c r="K449" s="72" t="str">
        <f t="array" ref="K449">XLOOKUP(C449,'Master Data'!C:C,'Master Data'!J:J)</f>
        <v/>
      </c>
      <c r="L449" s="74" t="str">
        <f t="array" ref="L449">XLOOKUP(C:C,TSR_Completion!C:C,TSR_Completion!M:M)</f>
        <v/>
      </c>
      <c r="M449" s="4"/>
      <c r="N449" s="4"/>
      <c r="O449" s="4"/>
      <c r="P449" s="4"/>
      <c r="Q449" s="4"/>
      <c r="R449" s="4"/>
      <c r="S449" s="4"/>
      <c r="T449" s="4"/>
      <c r="U449" s="4"/>
      <c r="V449" s="4"/>
      <c r="W449" s="4"/>
      <c r="X449" s="4"/>
      <c r="Y449" s="4"/>
    </row>
    <row r="450">
      <c r="A450" s="6"/>
      <c r="B450" s="6" t="s">
        <v>158</v>
      </c>
      <c r="C450" s="71" t="s">
        <v>12</v>
      </c>
      <c r="D450" s="72" t="str">
        <f t="array" ref="D450">XLOOKUP(C450,'Master Data'!C:C,'Master Data'!D:D)</f>
        <v/>
      </c>
      <c r="E450" s="73"/>
      <c r="F450" s="72" t="str">
        <f t="array" ref="F450">XLOOKUP(C450,'Master Data'!C:C,'Master Data'!E:E)</f>
        <v/>
      </c>
      <c r="G450" s="72" t="str">
        <f t="array" ref="G450">XLOOKUP(C450,'Master Data'!C:C,'Master Data'!F:F)</f>
        <v/>
      </c>
      <c r="H450" s="72" t="str">
        <f t="array" ref="H450">XLOOKUP(C450,'Master Data'!C:C,'Master Data'!G:G)</f>
        <v/>
      </c>
      <c r="I450" s="72" t="str">
        <f t="array" ref="I450">XLOOKUP(C450,'Master Data'!C:C,'Master Data'!H:H)</f>
        <v/>
      </c>
      <c r="J450" s="72" t="str">
        <f t="array" ref="J450">XLOOKUP(C450,'Master Data'!C:C,'Master Data'!I:I)</f>
        <v/>
      </c>
      <c r="K450" s="72" t="str">
        <f t="array" ref="K450">XLOOKUP(C450,'Master Data'!C:C,'Master Data'!J:J)</f>
        <v/>
      </c>
      <c r="L450" s="74" t="str">
        <f t="array" ref="L450">XLOOKUP(C:C,TSR_Completion!C:C,TSR_Completion!M:M)</f>
        <v/>
      </c>
      <c r="M450" s="4"/>
      <c r="N450" s="4"/>
      <c r="O450" s="4"/>
      <c r="P450" s="4"/>
      <c r="Q450" s="4"/>
      <c r="R450" s="4"/>
      <c r="S450" s="4"/>
      <c r="T450" s="4"/>
      <c r="U450" s="4"/>
      <c r="V450" s="4"/>
      <c r="W450" s="4"/>
      <c r="X450" s="4"/>
      <c r="Y450" s="4"/>
    </row>
    <row r="451">
      <c r="A451" s="6"/>
      <c r="B451" s="6" t="s">
        <v>158</v>
      </c>
      <c r="C451" s="71" t="s">
        <v>12</v>
      </c>
      <c r="D451" s="72" t="str">
        <f t="array" ref="D451">XLOOKUP(C451,'Master Data'!C:C,'Master Data'!D:D)</f>
        <v/>
      </c>
      <c r="E451" s="73"/>
      <c r="F451" s="72" t="str">
        <f t="array" ref="F451">XLOOKUP(C451,'Master Data'!C:C,'Master Data'!E:E)</f>
        <v/>
      </c>
      <c r="G451" s="72" t="str">
        <f t="array" ref="G451">XLOOKUP(C451,'Master Data'!C:C,'Master Data'!F:F)</f>
        <v/>
      </c>
      <c r="H451" s="72" t="str">
        <f t="array" ref="H451">XLOOKUP(C451,'Master Data'!C:C,'Master Data'!G:G)</f>
        <v/>
      </c>
      <c r="I451" s="72" t="str">
        <f t="array" ref="I451">XLOOKUP(C451,'Master Data'!C:C,'Master Data'!H:H)</f>
        <v/>
      </c>
      <c r="J451" s="72" t="str">
        <f t="array" ref="J451">XLOOKUP(C451,'Master Data'!C:C,'Master Data'!I:I)</f>
        <v/>
      </c>
      <c r="K451" s="72" t="str">
        <f t="array" ref="K451">XLOOKUP(C451,'Master Data'!C:C,'Master Data'!J:J)</f>
        <v/>
      </c>
      <c r="L451" s="74" t="str">
        <f t="array" ref="L451">XLOOKUP(C:C,TSR_Completion!C:C,TSR_Completion!M:M)</f>
        <v/>
      </c>
      <c r="M451" s="4"/>
      <c r="N451" s="4"/>
      <c r="O451" s="4"/>
      <c r="P451" s="4"/>
      <c r="Q451" s="4"/>
      <c r="R451" s="4"/>
      <c r="S451" s="4"/>
      <c r="T451" s="4"/>
      <c r="U451" s="4"/>
      <c r="V451" s="4"/>
      <c r="W451" s="4"/>
      <c r="X451" s="4"/>
      <c r="Y451" s="4"/>
    </row>
    <row r="452">
      <c r="A452" s="6"/>
      <c r="B452" s="6" t="s">
        <v>158</v>
      </c>
      <c r="C452" s="71" t="s">
        <v>12</v>
      </c>
      <c r="D452" s="72" t="str">
        <f t="array" ref="D452">XLOOKUP(C452,'Master Data'!C:C,'Master Data'!D:D)</f>
        <v/>
      </c>
      <c r="E452" s="73"/>
      <c r="F452" s="72" t="str">
        <f t="array" ref="F452">XLOOKUP(C452,'Master Data'!C:C,'Master Data'!E:E)</f>
        <v/>
      </c>
      <c r="G452" s="72" t="str">
        <f t="array" ref="G452">XLOOKUP(C452,'Master Data'!C:C,'Master Data'!F:F)</f>
        <v/>
      </c>
      <c r="H452" s="72" t="str">
        <f t="array" ref="H452">XLOOKUP(C452,'Master Data'!C:C,'Master Data'!G:G)</f>
        <v/>
      </c>
      <c r="I452" s="72" t="str">
        <f t="array" ref="I452">XLOOKUP(C452,'Master Data'!C:C,'Master Data'!H:H)</f>
        <v/>
      </c>
      <c r="J452" s="72" t="str">
        <f t="array" ref="J452">XLOOKUP(C452,'Master Data'!C:C,'Master Data'!I:I)</f>
        <v/>
      </c>
      <c r="K452" s="72" t="str">
        <f t="array" ref="K452">XLOOKUP(C452,'Master Data'!C:C,'Master Data'!J:J)</f>
        <v/>
      </c>
      <c r="L452" s="74" t="str">
        <f t="array" ref="L452">XLOOKUP(C:C,TSR_Completion!C:C,TSR_Completion!M:M)</f>
        <v/>
      </c>
      <c r="M452" s="4"/>
      <c r="N452" s="4"/>
      <c r="O452" s="4"/>
      <c r="P452" s="4"/>
      <c r="Q452" s="4"/>
      <c r="R452" s="4"/>
      <c r="S452" s="4"/>
      <c r="T452" s="4"/>
      <c r="U452" s="4"/>
      <c r="V452" s="4"/>
      <c r="W452" s="4"/>
      <c r="X452" s="4"/>
      <c r="Y452" s="4"/>
    </row>
    <row r="453">
      <c r="A453" s="6"/>
      <c r="B453" s="6" t="s">
        <v>158</v>
      </c>
      <c r="C453" s="71" t="s">
        <v>12</v>
      </c>
      <c r="D453" s="72" t="str">
        <f t="array" ref="D453">XLOOKUP(C453,'Master Data'!C:C,'Master Data'!D:D)</f>
        <v/>
      </c>
      <c r="E453" s="73"/>
      <c r="F453" s="72" t="str">
        <f t="array" ref="F453">XLOOKUP(C453,'Master Data'!C:C,'Master Data'!E:E)</f>
        <v/>
      </c>
      <c r="G453" s="72" t="str">
        <f t="array" ref="G453">XLOOKUP(C453,'Master Data'!C:C,'Master Data'!F:F)</f>
        <v/>
      </c>
      <c r="H453" s="72" t="str">
        <f t="array" ref="H453">XLOOKUP(C453,'Master Data'!C:C,'Master Data'!G:G)</f>
        <v/>
      </c>
      <c r="I453" s="72" t="str">
        <f t="array" ref="I453">XLOOKUP(C453,'Master Data'!C:C,'Master Data'!H:H)</f>
        <v/>
      </c>
      <c r="J453" s="72" t="str">
        <f t="array" ref="J453">XLOOKUP(C453,'Master Data'!C:C,'Master Data'!I:I)</f>
        <v/>
      </c>
      <c r="K453" s="72" t="str">
        <f t="array" ref="K453">XLOOKUP(C453,'Master Data'!C:C,'Master Data'!J:J)</f>
        <v/>
      </c>
      <c r="L453" s="74" t="str">
        <f t="array" ref="L453">XLOOKUP(C:C,TSR_Completion!C:C,TSR_Completion!M:M)</f>
        <v/>
      </c>
      <c r="M453" s="4"/>
      <c r="N453" s="4"/>
      <c r="O453" s="4"/>
      <c r="P453" s="4"/>
      <c r="Q453" s="4"/>
      <c r="R453" s="4"/>
      <c r="S453" s="4"/>
      <c r="T453" s="4"/>
      <c r="U453" s="4"/>
      <c r="V453" s="4"/>
      <c r="W453" s="4"/>
      <c r="X453" s="4"/>
      <c r="Y453" s="4"/>
    </row>
    <row r="454">
      <c r="A454" s="6"/>
      <c r="B454" s="6" t="s">
        <v>158</v>
      </c>
      <c r="C454" s="71" t="s">
        <v>12</v>
      </c>
      <c r="D454" s="72" t="str">
        <f t="array" ref="D454">XLOOKUP(C454,'Master Data'!C:C,'Master Data'!D:D)</f>
        <v/>
      </c>
      <c r="E454" s="73"/>
      <c r="F454" s="72" t="str">
        <f t="array" ref="F454">XLOOKUP(C454,'Master Data'!C:C,'Master Data'!E:E)</f>
        <v/>
      </c>
      <c r="G454" s="72" t="str">
        <f t="array" ref="G454">XLOOKUP(C454,'Master Data'!C:C,'Master Data'!F:F)</f>
        <v/>
      </c>
      <c r="H454" s="72" t="str">
        <f t="array" ref="H454">XLOOKUP(C454,'Master Data'!C:C,'Master Data'!G:G)</f>
        <v/>
      </c>
      <c r="I454" s="72" t="str">
        <f t="array" ref="I454">XLOOKUP(C454,'Master Data'!C:C,'Master Data'!H:H)</f>
        <v/>
      </c>
      <c r="J454" s="72" t="str">
        <f t="array" ref="J454">XLOOKUP(C454,'Master Data'!C:C,'Master Data'!I:I)</f>
        <v/>
      </c>
      <c r="K454" s="72" t="str">
        <f t="array" ref="K454">XLOOKUP(C454,'Master Data'!C:C,'Master Data'!J:J)</f>
        <v/>
      </c>
      <c r="L454" s="74" t="str">
        <f t="array" ref="L454">XLOOKUP(C:C,TSR_Completion!C:C,TSR_Completion!M:M)</f>
        <v/>
      </c>
      <c r="M454" s="4"/>
      <c r="N454" s="4"/>
      <c r="O454" s="4"/>
      <c r="P454" s="4"/>
      <c r="Q454" s="4"/>
      <c r="R454" s="4"/>
      <c r="S454" s="4"/>
      <c r="T454" s="4"/>
      <c r="U454" s="4"/>
      <c r="V454" s="4"/>
      <c r="W454" s="4"/>
      <c r="X454" s="4"/>
      <c r="Y454" s="4"/>
    </row>
    <row r="455">
      <c r="A455" s="6"/>
      <c r="B455" s="6" t="s">
        <v>158</v>
      </c>
      <c r="C455" s="71" t="s">
        <v>12</v>
      </c>
      <c r="D455" s="72" t="str">
        <f t="array" ref="D455">XLOOKUP(C455,'Master Data'!C:C,'Master Data'!D:D)</f>
        <v/>
      </c>
      <c r="E455" s="73"/>
      <c r="F455" s="72" t="str">
        <f t="array" ref="F455">XLOOKUP(C455,'Master Data'!C:C,'Master Data'!E:E)</f>
        <v/>
      </c>
      <c r="G455" s="72" t="str">
        <f t="array" ref="G455">XLOOKUP(C455,'Master Data'!C:C,'Master Data'!F:F)</f>
        <v/>
      </c>
      <c r="H455" s="72" t="str">
        <f t="array" ref="H455">XLOOKUP(C455,'Master Data'!C:C,'Master Data'!G:G)</f>
        <v/>
      </c>
      <c r="I455" s="72" t="str">
        <f t="array" ref="I455">XLOOKUP(C455,'Master Data'!C:C,'Master Data'!H:H)</f>
        <v/>
      </c>
      <c r="J455" s="72" t="str">
        <f t="array" ref="J455">XLOOKUP(C455,'Master Data'!C:C,'Master Data'!I:I)</f>
        <v/>
      </c>
      <c r="K455" s="72" t="str">
        <f t="array" ref="K455">XLOOKUP(C455,'Master Data'!C:C,'Master Data'!J:J)</f>
        <v/>
      </c>
      <c r="L455" s="74" t="str">
        <f t="array" ref="L455">XLOOKUP(C:C,TSR_Completion!C:C,TSR_Completion!M:M)</f>
        <v/>
      </c>
      <c r="M455" s="4"/>
      <c r="N455" s="4"/>
      <c r="O455" s="4"/>
      <c r="P455" s="4"/>
      <c r="Q455" s="4"/>
      <c r="R455" s="4"/>
      <c r="S455" s="4"/>
      <c r="T455" s="4"/>
      <c r="U455" s="4"/>
      <c r="V455" s="4"/>
      <c r="W455" s="4"/>
      <c r="X455" s="4"/>
      <c r="Y455" s="4"/>
    </row>
    <row r="456">
      <c r="A456" s="6"/>
      <c r="B456" s="6" t="s">
        <v>158</v>
      </c>
      <c r="C456" s="71" t="s">
        <v>12</v>
      </c>
      <c r="D456" s="72" t="str">
        <f t="array" ref="D456">XLOOKUP(C456,'Master Data'!C:C,'Master Data'!D:D)</f>
        <v/>
      </c>
      <c r="E456" s="73"/>
      <c r="F456" s="72" t="str">
        <f t="array" ref="F456">XLOOKUP(C456,'Master Data'!C:C,'Master Data'!E:E)</f>
        <v/>
      </c>
      <c r="G456" s="72" t="str">
        <f t="array" ref="G456">XLOOKUP(C456,'Master Data'!C:C,'Master Data'!F:F)</f>
        <v/>
      </c>
      <c r="H456" s="72" t="str">
        <f t="array" ref="H456">XLOOKUP(C456,'Master Data'!C:C,'Master Data'!G:G)</f>
        <v/>
      </c>
      <c r="I456" s="72" t="str">
        <f t="array" ref="I456">XLOOKUP(C456,'Master Data'!C:C,'Master Data'!H:H)</f>
        <v/>
      </c>
      <c r="J456" s="72" t="str">
        <f t="array" ref="J456">XLOOKUP(C456,'Master Data'!C:C,'Master Data'!I:I)</f>
        <v/>
      </c>
      <c r="K456" s="72" t="str">
        <f t="array" ref="K456">XLOOKUP(C456,'Master Data'!C:C,'Master Data'!J:J)</f>
        <v/>
      </c>
      <c r="L456" s="74" t="str">
        <f t="array" ref="L456">XLOOKUP(C:C,TSR_Completion!C:C,TSR_Completion!M:M)</f>
        <v/>
      </c>
      <c r="M456" s="4"/>
      <c r="N456" s="4"/>
      <c r="O456" s="4"/>
      <c r="P456" s="4"/>
      <c r="Q456" s="4"/>
      <c r="R456" s="4"/>
      <c r="S456" s="4"/>
      <c r="T456" s="4"/>
      <c r="U456" s="4"/>
      <c r="V456" s="4"/>
      <c r="W456" s="4"/>
      <c r="X456" s="4"/>
      <c r="Y456" s="4"/>
    </row>
    <row r="457">
      <c r="A457" s="6"/>
      <c r="B457" s="6" t="s">
        <v>158</v>
      </c>
      <c r="C457" s="71" t="s">
        <v>12</v>
      </c>
      <c r="D457" s="72" t="str">
        <f t="array" ref="D457">XLOOKUP(C457,'Master Data'!C:C,'Master Data'!D:D)</f>
        <v/>
      </c>
      <c r="E457" s="73"/>
      <c r="F457" s="72" t="str">
        <f t="array" ref="F457">XLOOKUP(C457,'Master Data'!C:C,'Master Data'!E:E)</f>
        <v/>
      </c>
      <c r="G457" s="72" t="str">
        <f t="array" ref="G457">XLOOKUP(C457,'Master Data'!C:C,'Master Data'!F:F)</f>
        <v/>
      </c>
      <c r="H457" s="72" t="str">
        <f t="array" ref="H457">XLOOKUP(C457,'Master Data'!C:C,'Master Data'!G:G)</f>
        <v/>
      </c>
      <c r="I457" s="72" t="str">
        <f t="array" ref="I457">XLOOKUP(C457,'Master Data'!C:C,'Master Data'!H:H)</f>
        <v/>
      </c>
      <c r="J457" s="72" t="str">
        <f t="array" ref="J457">XLOOKUP(C457,'Master Data'!C:C,'Master Data'!I:I)</f>
        <v/>
      </c>
      <c r="K457" s="72" t="str">
        <f t="array" ref="K457">XLOOKUP(C457,'Master Data'!C:C,'Master Data'!J:J)</f>
        <v/>
      </c>
      <c r="L457" s="74" t="str">
        <f t="array" ref="L457">XLOOKUP(C:C,TSR_Completion!C:C,TSR_Completion!M:M)</f>
        <v/>
      </c>
      <c r="M457" s="4"/>
      <c r="N457" s="4"/>
      <c r="O457" s="4"/>
      <c r="P457" s="4"/>
      <c r="Q457" s="4"/>
      <c r="R457" s="4"/>
      <c r="S457" s="4"/>
      <c r="T457" s="4"/>
      <c r="U457" s="4"/>
      <c r="V457" s="4"/>
      <c r="W457" s="4"/>
      <c r="X457" s="4"/>
      <c r="Y457" s="4"/>
    </row>
    <row r="458">
      <c r="A458" s="6"/>
      <c r="B458" s="6" t="s">
        <v>158</v>
      </c>
      <c r="C458" s="71" t="s">
        <v>12</v>
      </c>
      <c r="D458" s="72" t="str">
        <f t="array" ref="D458">XLOOKUP(C458,'Master Data'!C:C,'Master Data'!D:D)</f>
        <v/>
      </c>
      <c r="E458" s="73"/>
      <c r="F458" s="72" t="str">
        <f t="array" ref="F458">XLOOKUP(C458,'Master Data'!C:C,'Master Data'!E:E)</f>
        <v/>
      </c>
      <c r="G458" s="72" t="str">
        <f t="array" ref="G458">XLOOKUP(C458,'Master Data'!C:C,'Master Data'!F:F)</f>
        <v/>
      </c>
      <c r="H458" s="72" t="str">
        <f t="array" ref="H458">XLOOKUP(C458,'Master Data'!C:C,'Master Data'!G:G)</f>
        <v/>
      </c>
      <c r="I458" s="72" t="str">
        <f t="array" ref="I458">XLOOKUP(C458,'Master Data'!C:C,'Master Data'!H:H)</f>
        <v/>
      </c>
      <c r="J458" s="72" t="str">
        <f t="array" ref="J458">XLOOKUP(C458,'Master Data'!C:C,'Master Data'!I:I)</f>
        <v/>
      </c>
      <c r="K458" s="72" t="str">
        <f t="array" ref="K458">XLOOKUP(C458,'Master Data'!C:C,'Master Data'!J:J)</f>
        <v/>
      </c>
      <c r="L458" s="74" t="str">
        <f t="array" ref="L458">XLOOKUP(C:C,TSR_Completion!C:C,TSR_Completion!M:M)</f>
        <v/>
      </c>
      <c r="M458" s="4"/>
      <c r="N458" s="4"/>
      <c r="O458" s="4"/>
      <c r="P458" s="4"/>
      <c r="Q458" s="4"/>
      <c r="R458" s="4"/>
      <c r="S458" s="4"/>
      <c r="T458" s="4"/>
      <c r="U458" s="4"/>
      <c r="V458" s="4"/>
      <c r="W458" s="4"/>
      <c r="X458" s="4"/>
      <c r="Y458" s="4"/>
    </row>
    <row r="459">
      <c r="A459" s="6"/>
      <c r="B459" s="6" t="s">
        <v>158</v>
      </c>
      <c r="C459" s="71" t="s">
        <v>12</v>
      </c>
      <c r="D459" s="72" t="str">
        <f t="array" ref="D459">XLOOKUP(C459,'Master Data'!C:C,'Master Data'!D:D)</f>
        <v/>
      </c>
      <c r="E459" s="73"/>
      <c r="F459" s="72" t="str">
        <f t="array" ref="F459">XLOOKUP(C459,'Master Data'!C:C,'Master Data'!E:E)</f>
        <v/>
      </c>
      <c r="G459" s="72" t="str">
        <f t="array" ref="G459">XLOOKUP(C459,'Master Data'!C:C,'Master Data'!F:F)</f>
        <v/>
      </c>
      <c r="H459" s="72" t="str">
        <f t="array" ref="H459">XLOOKUP(C459,'Master Data'!C:C,'Master Data'!G:G)</f>
        <v/>
      </c>
      <c r="I459" s="72" t="str">
        <f t="array" ref="I459">XLOOKUP(C459,'Master Data'!C:C,'Master Data'!H:H)</f>
        <v/>
      </c>
      <c r="J459" s="72" t="str">
        <f t="array" ref="J459">XLOOKUP(C459,'Master Data'!C:C,'Master Data'!I:I)</f>
        <v/>
      </c>
      <c r="K459" s="72" t="str">
        <f t="array" ref="K459">XLOOKUP(C459,'Master Data'!C:C,'Master Data'!J:J)</f>
        <v/>
      </c>
      <c r="L459" s="74" t="str">
        <f t="array" ref="L459">XLOOKUP(C:C,TSR_Completion!C:C,TSR_Completion!M:M)</f>
        <v/>
      </c>
      <c r="M459" s="4"/>
      <c r="N459" s="4"/>
      <c r="O459" s="4"/>
      <c r="P459" s="4"/>
      <c r="Q459" s="4"/>
      <c r="R459" s="4"/>
      <c r="S459" s="4"/>
      <c r="T459" s="4"/>
      <c r="U459" s="4"/>
      <c r="V459" s="4"/>
      <c r="W459" s="4"/>
      <c r="X459" s="4"/>
      <c r="Y459" s="4"/>
    </row>
    <row r="460">
      <c r="A460" s="6"/>
      <c r="B460" s="6" t="s">
        <v>158</v>
      </c>
      <c r="C460" s="71" t="s">
        <v>12</v>
      </c>
      <c r="D460" s="72" t="str">
        <f t="array" ref="D460">XLOOKUP(C460,'Master Data'!C:C,'Master Data'!D:D)</f>
        <v/>
      </c>
      <c r="E460" s="73"/>
      <c r="F460" s="72" t="str">
        <f t="array" ref="F460">XLOOKUP(C460,'Master Data'!C:C,'Master Data'!E:E)</f>
        <v/>
      </c>
      <c r="G460" s="72" t="str">
        <f t="array" ref="G460">XLOOKUP(C460,'Master Data'!C:C,'Master Data'!F:F)</f>
        <v/>
      </c>
      <c r="H460" s="72" t="str">
        <f t="array" ref="H460">XLOOKUP(C460,'Master Data'!C:C,'Master Data'!G:G)</f>
        <v/>
      </c>
      <c r="I460" s="72" t="str">
        <f t="array" ref="I460">XLOOKUP(C460,'Master Data'!C:C,'Master Data'!H:H)</f>
        <v/>
      </c>
      <c r="J460" s="72" t="str">
        <f t="array" ref="J460">XLOOKUP(C460,'Master Data'!C:C,'Master Data'!I:I)</f>
        <v/>
      </c>
      <c r="K460" s="72" t="str">
        <f t="array" ref="K460">XLOOKUP(C460,'Master Data'!C:C,'Master Data'!J:J)</f>
        <v/>
      </c>
      <c r="L460" s="74" t="str">
        <f t="array" ref="L460">XLOOKUP(C:C,TSR_Completion!C:C,TSR_Completion!M:M)</f>
        <v/>
      </c>
      <c r="M460" s="4"/>
      <c r="N460" s="4"/>
      <c r="O460" s="4"/>
      <c r="P460" s="4"/>
      <c r="Q460" s="4"/>
      <c r="R460" s="4"/>
      <c r="S460" s="4"/>
      <c r="T460" s="4"/>
      <c r="U460" s="4"/>
      <c r="V460" s="4"/>
      <c r="W460" s="4"/>
      <c r="X460" s="4"/>
      <c r="Y460" s="4"/>
    </row>
    <row r="461">
      <c r="A461" s="6"/>
      <c r="B461" s="6" t="s">
        <v>158</v>
      </c>
      <c r="C461" s="71" t="s">
        <v>12</v>
      </c>
      <c r="D461" s="72" t="str">
        <f t="array" ref="D461">XLOOKUP(C461,'Master Data'!C:C,'Master Data'!D:D)</f>
        <v/>
      </c>
      <c r="E461" s="73"/>
      <c r="F461" s="72" t="str">
        <f t="array" ref="F461">XLOOKUP(C461,'Master Data'!C:C,'Master Data'!E:E)</f>
        <v/>
      </c>
      <c r="G461" s="72" t="str">
        <f t="array" ref="G461">XLOOKUP(C461,'Master Data'!C:C,'Master Data'!F:F)</f>
        <v/>
      </c>
      <c r="H461" s="72" t="str">
        <f t="array" ref="H461">XLOOKUP(C461,'Master Data'!C:C,'Master Data'!G:G)</f>
        <v/>
      </c>
      <c r="I461" s="72" t="str">
        <f t="array" ref="I461">XLOOKUP(C461,'Master Data'!C:C,'Master Data'!H:H)</f>
        <v/>
      </c>
      <c r="J461" s="72" t="str">
        <f t="array" ref="J461">XLOOKUP(C461,'Master Data'!C:C,'Master Data'!I:I)</f>
        <v/>
      </c>
      <c r="K461" s="72" t="str">
        <f t="array" ref="K461">XLOOKUP(C461,'Master Data'!C:C,'Master Data'!J:J)</f>
        <v/>
      </c>
      <c r="L461" s="74" t="str">
        <f t="array" ref="L461">XLOOKUP(C:C,TSR_Completion!C:C,TSR_Completion!M:M)</f>
        <v/>
      </c>
      <c r="M461" s="4"/>
      <c r="N461" s="4"/>
      <c r="O461" s="4"/>
      <c r="P461" s="4"/>
      <c r="Q461" s="4"/>
      <c r="R461" s="4"/>
      <c r="S461" s="4"/>
      <c r="T461" s="4"/>
      <c r="U461" s="4"/>
      <c r="V461" s="4"/>
      <c r="W461" s="4"/>
      <c r="X461" s="4"/>
      <c r="Y461" s="4"/>
    </row>
    <row r="462">
      <c r="A462" s="6"/>
      <c r="B462" s="6" t="s">
        <v>158</v>
      </c>
      <c r="C462" s="71" t="s">
        <v>12</v>
      </c>
      <c r="D462" s="72" t="str">
        <f t="array" ref="D462">XLOOKUP(C462,'Master Data'!C:C,'Master Data'!D:D)</f>
        <v/>
      </c>
      <c r="E462" s="73"/>
      <c r="F462" s="72" t="str">
        <f t="array" ref="F462">XLOOKUP(C462,'Master Data'!C:C,'Master Data'!E:E)</f>
        <v/>
      </c>
      <c r="G462" s="72" t="str">
        <f t="array" ref="G462">XLOOKUP(C462,'Master Data'!C:C,'Master Data'!F:F)</f>
        <v/>
      </c>
      <c r="H462" s="72" t="str">
        <f t="array" ref="H462">XLOOKUP(C462,'Master Data'!C:C,'Master Data'!G:G)</f>
        <v/>
      </c>
      <c r="I462" s="72" t="str">
        <f t="array" ref="I462">XLOOKUP(C462,'Master Data'!C:C,'Master Data'!H:H)</f>
        <v/>
      </c>
      <c r="J462" s="72" t="str">
        <f t="array" ref="J462">XLOOKUP(C462,'Master Data'!C:C,'Master Data'!I:I)</f>
        <v/>
      </c>
      <c r="K462" s="72" t="str">
        <f t="array" ref="K462">XLOOKUP(C462,'Master Data'!C:C,'Master Data'!J:J)</f>
        <v/>
      </c>
      <c r="L462" s="74" t="str">
        <f t="array" ref="L462">XLOOKUP(C:C,TSR_Completion!C:C,TSR_Completion!M:M)</f>
        <v/>
      </c>
      <c r="M462" s="4"/>
      <c r="N462" s="4"/>
      <c r="O462" s="4"/>
      <c r="P462" s="4"/>
      <c r="Q462" s="4"/>
      <c r="R462" s="4"/>
      <c r="S462" s="4"/>
      <c r="T462" s="4"/>
      <c r="U462" s="4"/>
      <c r="V462" s="4"/>
      <c r="W462" s="4"/>
      <c r="X462" s="4"/>
      <c r="Y462" s="4"/>
    </row>
    <row r="463">
      <c r="A463" s="6"/>
      <c r="B463" s="6" t="s">
        <v>158</v>
      </c>
      <c r="C463" s="71" t="s">
        <v>12</v>
      </c>
      <c r="D463" s="72" t="str">
        <f t="array" ref="D463">XLOOKUP(C463,'Master Data'!C:C,'Master Data'!D:D)</f>
        <v/>
      </c>
      <c r="E463" s="73"/>
      <c r="F463" s="72" t="str">
        <f t="array" ref="F463">XLOOKUP(C463,'Master Data'!C:C,'Master Data'!E:E)</f>
        <v/>
      </c>
      <c r="G463" s="72" t="str">
        <f t="array" ref="G463">XLOOKUP(C463,'Master Data'!C:C,'Master Data'!F:F)</f>
        <v/>
      </c>
      <c r="H463" s="72" t="str">
        <f t="array" ref="H463">XLOOKUP(C463,'Master Data'!C:C,'Master Data'!G:G)</f>
        <v/>
      </c>
      <c r="I463" s="72" t="str">
        <f t="array" ref="I463">XLOOKUP(C463,'Master Data'!C:C,'Master Data'!H:H)</f>
        <v/>
      </c>
      <c r="J463" s="72" t="str">
        <f t="array" ref="J463">XLOOKUP(C463,'Master Data'!C:C,'Master Data'!I:I)</f>
        <v/>
      </c>
      <c r="K463" s="72" t="str">
        <f t="array" ref="K463">XLOOKUP(C463,'Master Data'!C:C,'Master Data'!J:J)</f>
        <v/>
      </c>
      <c r="L463" s="74" t="str">
        <f t="array" ref="L463">XLOOKUP(C:C,TSR_Completion!C:C,TSR_Completion!M:M)</f>
        <v/>
      </c>
      <c r="M463" s="4"/>
      <c r="N463" s="4"/>
      <c r="O463" s="4"/>
      <c r="P463" s="4"/>
      <c r="Q463" s="4"/>
      <c r="R463" s="4"/>
      <c r="S463" s="4"/>
      <c r="T463" s="4"/>
      <c r="U463" s="4"/>
      <c r="V463" s="4"/>
      <c r="W463" s="4"/>
      <c r="X463" s="4"/>
      <c r="Y463" s="4"/>
    </row>
    <row r="464">
      <c r="A464" s="6"/>
      <c r="B464" s="6" t="s">
        <v>158</v>
      </c>
      <c r="C464" s="71" t="s">
        <v>12</v>
      </c>
      <c r="D464" s="72" t="str">
        <f t="array" ref="D464">XLOOKUP(C464,'Master Data'!C:C,'Master Data'!D:D)</f>
        <v/>
      </c>
      <c r="E464" s="73"/>
      <c r="F464" s="72" t="str">
        <f t="array" ref="F464">XLOOKUP(C464,'Master Data'!C:C,'Master Data'!E:E)</f>
        <v/>
      </c>
      <c r="G464" s="72" t="str">
        <f t="array" ref="G464">XLOOKUP(C464,'Master Data'!C:C,'Master Data'!F:F)</f>
        <v/>
      </c>
      <c r="H464" s="72" t="str">
        <f t="array" ref="H464">XLOOKUP(C464,'Master Data'!C:C,'Master Data'!G:G)</f>
        <v/>
      </c>
      <c r="I464" s="72" t="str">
        <f t="array" ref="I464">XLOOKUP(C464,'Master Data'!C:C,'Master Data'!H:H)</f>
        <v/>
      </c>
      <c r="J464" s="72" t="str">
        <f t="array" ref="J464">XLOOKUP(C464,'Master Data'!C:C,'Master Data'!I:I)</f>
        <v/>
      </c>
      <c r="K464" s="72" t="str">
        <f t="array" ref="K464">XLOOKUP(C464,'Master Data'!C:C,'Master Data'!J:J)</f>
        <v/>
      </c>
      <c r="L464" s="74" t="str">
        <f t="array" ref="L464">XLOOKUP(C:C,TSR_Completion!C:C,TSR_Completion!M:M)</f>
        <v/>
      </c>
      <c r="M464" s="4"/>
      <c r="N464" s="4"/>
      <c r="O464" s="4"/>
      <c r="P464" s="4"/>
      <c r="Q464" s="4"/>
      <c r="R464" s="4"/>
      <c r="S464" s="4"/>
      <c r="T464" s="4"/>
      <c r="U464" s="4"/>
      <c r="V464" s="4"/>
      <c r="W464" s="4"/>
      <c r="X464" s="4"/>
      <c r="Y464" s="4"/>
    </row>
    <row r="465">
      <c r="A465" s="6"/>
      <c r="B465" s="6" t="s">
        <v>158</v>
      </c>
      <c r="C465" s="71" t="s">
        <v>12</v>
      </c>
      <c r="D465" s="72" t="str">
        <f t="array" ref="D465">XLOOKUP(C465,'Master Data'!C:C,'Master Data'!D:D)</f>
        <v/>
      </c>
      <c r="E465" s="73"/>
      <c r="F465" s="72" t="str">
        <f t="array" ref="F465">XLOOKUP(C465,'Master Data'!C:C,'Master Data'!E:E)</f>
        <v/>
      </c>
      <c r="G465" s="72" t="str">
        <f t="array" ref="G465">XLOOKUP(C465,'Master Data'!C:C,'Master Data'!F:F)</f>
        <v/>
      </c>
      <c r="H465" s="72" t="str">
        <f t="array" ref="H465">XLOOKUP(C465,'Master Data'!C:C,'Master Data'!G:G)</f>
        <v/>
      </c>
      <c r="I465" s="72" t="str">
        <f t="array" ref="I465">XLOOKUP(C465,'Master Data'!C:C,'Master Data'!H:H)</f>
        <v/>
      </c>
      <c r="J465" s="72" t="str">
        <f t="array" ref="J465">XLOOKUP(C465,'Master Data'!C:C,'Master Data'!I:I)</f>
        <v/>
      </c>
      <c r="K465" s="72" t="str">
        <f t="array" ref="K465">XLOOKUP(C465,'Master Data'!C:C,'Master Data'!J:J)</f>
        <v/>
      </c>
      <c r="L465" s="74" t="str">
        <f t="array" ref="L465">XLOOKUP(C:C,TSR_Completion!C:C,TSR_Completion!M:M)</f>
        <v/>
      </c>
      <c r="M465" s="4"/>
      <c r="N465" s="4"/>
      <c r="O465" s="4"/>
      <c r="P465" s="4"/>
      <c r="Q465" s="4"/>
      <c r="R465" s="4"/>
      <c r="S465" s="4"/>
      <c r="T465" s="4"/>
      <c r="U465" s="4"/>
      <c r="V465" s="4"/>
      <c r="W465" s="4"/>
      <c r="X465" s="4"/>
      <c r="Y465" s="4"/>
    </row>
    <row r="466">
      <c r="A466" s="6"/>
      <c r="B466" s="6" t="s">
        <v>158</v>
      </c>
      <c r="C466" s="71" t="s">
        <v>12</v>
      </c>
      <c r="D466" s="72" t="str">
        <f t="array" ref="D466">XLOOKUP(C466,'Master Data'!C:C,'Master Data'!D:D)</f>
        <v/>
      </c>
      <c r="E466" s="73"/>
      <c r="F466" s="72" t="str">
        <f t="array" ref="F466">XLOOKUP(C466,'Master Data'!C:C,'Master Data'!E:E)</f>
        <v/>
      </c>
      <c r="G466" s="72" t="str">
        <f t="array" ref="G466">XLOOKUP(C466,'Master Data'!C:C,'Master Data'!F:F)</f>
        <v/>
      </c>
      <c r="H466" s="72" t="str">
        <f t="array" ref="H466">XLOOKUP(C466,'Master Data'!C:C,'Master Data'!G:G)</f>
        <v/>
      </c>
      <c r="I466" s="72" t="str">
        <f t="array" ref="I466">XLOOKUP(C466,'Master Data'!C:C,'Master Data'!H:H)</f>
        <v/>
      </c>
      <c r="J466" s="72" t="str">
        <f t="array" ref="J466">XLOOKUP(C466,'Master Data'!C:C,'Master Data'!I:I)</f>
        <v/>
      </c>
      <c r="K466" s="72" t="str">
        <f t="array" ref="K466">XLOOKUP(C466,'Master Data'!C:C,'Master Data'!J:J)</f>
        <v/>
      </c>
      <c r="L466" s="74" t="str">
        <f t="array" ref="L466">XLOOKUP(C:C,TSR_Completion!C:C,TSR_Completion!M:M)</f>
        <v/>
      </c>
      <c r="M466" s="4"/>
      <c r="N466" s="4"/>
      <c r="O466" s="4"/>
      <c r="P466" s="4"/>
      <c r="Q466" s="4"/>
      <c r="R466" s="4"/>
      <c r="S466" s="4"/>
      <c r="T466" s="4"/>
      <c r="U466" s="4"/>
      <c r="V466" s="4"/>
      <c r="W466" s="4"/>
      <c r="X466" s="4"/>
      <c r="Y466" s="4"/>
    </row>
    <row r="467">
      <c r="A467" s="6"/>
      <c r="B467" s="6" t="s">
        <v>158</v>
      </c>
      <c r="C467" s="71" t="s">
        <v>12</v>
      </c>
      <c r="D467" s="72" t="str">
        <f t="array" ref="D467">XLOOKUP(C467,'Master Data'!C:C,'Master Data'!D:D)</f>
        <v/>
      </c>
      <c r="E467" s="73"/>
      <c r="F467" s="72" t="str">
        <f t="array" ref="F467">XLOOKUP(C467,'Master Data'!C:C,'Master Data'!E:E)</f>
        <v/>
      </c>
      <c r="G467" s="72" t="str">
        <f t="array" ref="G467">XLOOKUP(C467,'Master Data'!C:C,'Master Data'!F:F)</f>
        <v/>
      </c>
      <c r="H467" s="72" t="str">
        <f t="array" ref="H467">XLOOKUP(C467,'Master Data'!C:C,'Master Data'!G:G)</f>
        <v/>
      </c>
      <c r="I467" s="72" t="str">
        <f t="array" ref="I467">XLOOKUP(C467,'Master Data'!C:C,'Master Data'!H:H)</f>
        <v/>
      </c>
      <c r="J467" s="72" t="str">
        <f t="array" ref="J467">XLOOKUP(C467,'Master Data'!C:C,'Master Data'!I:I)</f>
        <v/>
      </c>
      <c r="K467" s="72" t="str">
        <f t="array" ref="K467">XLOOKUP(C467,'Master Data'!C:C,'Master Data'!J:J)</f>
        <v/>
      </c>
      <c r="L467" s="74" t="str">
        <f t="array" ref="L467">XLOOKUP(C:C,TSR_Completion!C:C,TSR_Completion!M:M)</f>
        <v/>
      </c>
      <c r="M467" s="4"/>
      <c r="N467" s="4"/>
      <c r="O467" s="4"/>
      <c r="P467" s="4"/>
      <c r="Q467" s="4"/>
      <c r="R467" s="4"/>
      <c r="S467" s="4"/>
      <c r="T467" s="4"/>
      <c r="U467" s="4"/>
      <c r="V467" s="4"/>
      <c r="W467" s="4"/>
      <c r="X467" s="4"/>
      <c r="Y467" s="4"/>
    </row>
    <row r="468">
      <c r="A468" s="6"/>
      <c r="B468" s="6" t="s">
        <v>158</v>
      </c>
      <c r="C468" s="71" t="s">
        <v>12</v>
      </c>
      <c r="D468" s="72" t="str">
        <f t="array" ref="D468">XLOOKUP(C468,'Master Data'!C:C,'Master Data'!D:D)</f>
        <v/>
      </c>
      <c r="E468" s="73"/>
      <c r="F468" s="72" t="str">
        <f t="array" ref="F468">XLOOKUP(C468,'Master Data'!C:C,'Master Data'!E:E)</f>
        <v/>
      </c>
      <c r="G468" s="72" t="str">
        <f t="array" ref="G468">XLOOKUP(C468,'Master Data'!C:C,'Master Data'!F:F)</f>
        <v/>
      </c>
      <c r="H468" s="72" t="str">
        <f t="array" ref="H468">XLOOKUP(C468,'Master Data'!C:C,'Master Data'!G:G)</f>
        <v/>
      </c>
      <c r="I468" s="72" t="str">
        <f t="array" ref="I468">XLOOKUP(C468,'Master Data'!C:C,'Master Data'!H:H)</f>
        <v/>
      </c>
      <c r="J468" s="72" t="str">
        <f t="array" ref="J468">XLOOKUP(C468,'Master Data'!C:C,'Master Data'!I:I)</f>
        <v/>
      </c>
      <c r="K468" s="72" t="str">
        <f t="array" ref="K468">XLOOKUP(C468,'Master Data'!C:C,'Master Data'!J:J)</f>
        <v/>
      </c>
      <c r="L468" s="74" t="str">
        <f t="array" ref="L468">XLOOKUP(C:C,TSR_Completion!C:C,TSR_Completion!M:M)</f>
        <v/>
      </c>
      <c r="M468" s="4"/>
      <c r="N468" s="4"/>
      <c r="O468" s="4"/>
      <c r="P468" s="4"/>
      <c r="Q468" s="4"/>
      <c r="R468" s="4"/>
      <c r="S468" s="4"/>
      <c r="T468" s="4"/>
      <c r="U468" s="4"/>
      <c r="V468" s="4"/>
      <c r="W468" s="4"/>
      <c r="X468" s="4"/>
      <c r="Y468" s="4"/>
    </row>
    <row r="469">
      <c r="A469" s="6"/>
      <c r="B469" s="6" t="s">
        <v>158</v>
      </c>
      <c r="C469" s="71" t="s">
        <v>12</v>
      </c>
      <c r="D469" s="72" t="str">
        <f t="array" ref="D469">XLOOKUP(C469,'Master Data'!C:C,'Master Data'!D:D)</f>
        <v/>
      </c>
      <c r="E469" s="73"/>
      <c r="F469" s="72" t="str">
        <f t="array" ref="F469">XLOOKUP(C469,'Master Data'!C:C,'Master Data'!E:E)</f>
        <v/>
      </c>
      <c r="G469" s="72" t="str">
        <f t="array" ref="G469">XLOOKUP(C469,'Master Data'!C:C,'Master Data'!F:F)</f>
        <v/>
      </c>
      <c r="H469" s="72" t="str">
        <f t="array" ref="H469">XLOOKUP(C469,'Master Data'!C:C,'Master Data'!G:G)</f>
        <v/>
      </c>
      <c r="I469" s="72" t="str">
        <f t="array" ref="I469">XLOOKUP(C469,'Master Data'!C:C,'Master Data'!H:H)</f>
        <v/>
      </c>
      <c r="J469" s="72" t="str">
        <f t="array" ref="J469">XLOOKUP(C469,'Master Data'!C:C,'Master Data'!I:I)</f>
        <v/>
      </c>
      <c r="K469" s="72" t="str">
        <f t="array" ref="K469">XLOOKUP(C469,'Master Data'!C:C,'Master Data'!J:J)</f>
        <v/>
      </c>
      <c r="L469" s="74" t="str">
        <f t="array" ref="L469">XLOOKUP(C:C,TSR_Completion!C:C,TSR_Completion!M:M)</f>
        <v/>
      </c>
      <c r="M469" s="4"/>
      <c r="N469" s="4"/>
      <c r="O469" s="4"/>
      <c r="P469" s="4"/>
      <c r="Q469" s="4"/>
      <c r="R469" s="4"/>
      <c r="S469" s="4"/>
      <c r="T469" s="4"/>
      <c r="U469" s="4"/>
      <c r="V469" s="4"/>
      <c r="W469" s="4"/>
      <c r="X469" s="4"/>
      <c r="Y469" s="4"/>
    </row>
    <row r="470">
      <c r="A470" s="6"/>
      <c r="B470" s="6" t="s">
        <v>158</v>
      </c>
      <c r="C470" s="71" t="s">
        <v>12</v>
      </c>
      <c r="D470" s="72" t="str">
        <f t="array" ref="D470">XLOOKUP(C470,'Master Data'!C:C,'Master Data'!D:D)</f>
        <v/>
      </c>
      <c r="E470" s="73"/>
      <c r="F470" s="72" t="str">
        <f t="array" ref="F470">XLOOKUP(C470,'Master Data'!C:C,'Master Data'!E:E)</f>
        <v/>
      </c>
      <c r="G470" s="72" t="str">
        <f t="array" ref="G470">XLOOKUP(C470,'Master Data'!C:C,'Master Data'!F:F)</f>
        <v/>
      </c>
      <c r="H470" s="72" t="str">
        <f t="array" ref="H470">XLOOKUP(C470,'Master Data'!C:C,'Master Data'!G:G)</f>
        <v/>
      </c>
      <c r="I470" s="72" t="str">
        <f t="array" ref="I470">XLOOKUP(C470,'Master Data'!C:C,'Master Data'!H:H)</f>
        <v/>
      </c>
      <c r="J470" s="72" t="str">
        <f t="array" ref="J470">XLOOKUP(C470,'Master Data'!C:C,'Master Data'!I:I)</f>
        <v/>
      </c>
      <c r="K470" s="72" t="str">
        <f t="array" ref="K470">XLOOKUP(C470,'Master Data'!C:C,'Master Data'!J:J)</f>
        <v/>
      </c>
      <c r="L470" s="74" t="str">
        <f t="array" ref="L470">XLOOKUP(C:C,TSR_Completion!C:C,TSR_Completion!M:M)</f>
        <v/>
      </c>
      <c r="M470" s="4"/>
      <c r="N470" s="4"/>
      <c r="O470" s="4"/>
      <c r="P470" s="4"/>
      <c r="Q470" s="4"/>
      <c r="R470" s="4"/>
      <c r="S470" s="4"/>
      <c r="T470" s="4"/>
      <c r="U470" s="4"/>
      <c r="V470" s="4"/>
      <c r="W470" s="4"/>
      <c r="X470" s="4"/>
      <c r="Y470" s="4"/>
    </row>
    <row r="471">
      <c r="A471" s="6"/>
      <c r="B471" s="6" t="s">
        <v>158</v>
      </c>
      <c r="C471" s="71" t="s">
        <v>12</v>
      </c>
      <c r="D471" s="72" t="str">
        <f t="array" ref="D471">XLOOKUP(C471,'Master Data'!C:C,'Master Data'!D:D)</f>
        <v/>
      </c>
      <c r="E471" s="73"/>
      <c r="F471" s="72" t="str">
        <f t="array" ref="F471">XLOOKUP(C471,'Master Data'!C:C,'Master Data'!E:E)</f>
        <v/>
      </c>
      <c r="G471" s="72" t="str">
        <f t="array" ref="G471">XLOOKUP(C471,'Master Data'!C:C,'Master Data'!F:F)</f>
        <v/>
      </c>
      <c r="H471" s="72" t="str">
        <f t="array" ref="H471">XLOOKUP(C471,'Master Data'!C:C,'Master Data'!G:G)</f>
        <v/>
      </c>
      <c r="I471" s="72" t="str">
        <f t="array" ref="I471">XLOOKUP(C471,'Master Data'!C:C,'Master Data'!H:H)</f>
        <v/>
      </c>
      <c r="J471" s="72" t="str">
        <f t="array" ref="J471">XLOOKUP(C471,'Master Data'!C:C,'Master Data'!I:I)</f>
        <v/>
      </c>
      <c r="K471" s="72" t="str">
        <f t="array" ref="K471">XLOOKUP(C471,'Master Data'!C:C,'Master Data'!J:J)</f>
        <v/>
      </c>
      <c r="L471" s="74" t="str">
        <f t="array" ref="L471">XLOOKUP(C:C,TSR_Completion!C:C,TSR_Completion!M:M)</f>
        <v/>
      </c>
      <c r="M471" s="4"/>
      <c r="N471" s="4"/>
      <c r="O471" s="4"/>
      <c r="P471" s="4"/>
      <c r="Q471" s="4"/>
      <c r="R471" s="4"/>
      <c r="S471" s="4"/>
      <c r="T471" s="4"/>
      <c r="U471" s="4"/>
      <c r="V471" s="4"/>
      <c r="W471" s="4"/>
      <c r="X471" s="4"/>
      <c r="Y471" s="4"/>
    </row>
    <row r="472">
      <c r="A472" s="6"/>
      <c r="B472" s="6" t="s">
        <v>158</v>
      </c>
      <c r="C472" s="71" t="s">
        <v>12</v>
      </c>
      <c r="D472" s="72" t="str">
        <f t="array" ref="D472">XLOOKUP(C472,'Master Data'!C:C,'Master Data'!D:D)</f>
        <v/>
      </c>
      <c r="E472" s="73"/>
      <c r="F472" s="72" t="str">
        <f t="array" ref="F472">XLOOKUP(C472,'Master Data'!C:C,'Master Data'!E:E)</f>
        <v/>
      </c>
      <c r="G472" s="72" t="str">
        <f t="array" ref="G472">XLOOKUP(C472,'Master Data'!C:C,'Master Data'!F:F)</f>
        <v/>
      </c>
      <c r="H472" s="72" t="str">
        <f t="array" ref="H472">XLOOKUP(C472,'Master Data'!C:C,'Master Data'!G:G)</f>
        <v/>
      </c>
      <c r="I472" s="72" t="str">
        <f t="array" ref="I472">XLOOKUP(C472,'Master Data'!C:C,'Master Data'!H:H)</f>
        <v/>
      </c>
      <c r="J472" s="72" t="str">
        <f t="array" ref="J472">XLOOKUP(C472,'Master Data'!C:C,'Master Data'!I:I)</f>
        <v/>
      </c>
      <c r="K472" s="72" t="str">
        <f t="array" ref="K472">XLOOKUP(C472,'Master Data'!C:C,'Master Data'!J:J)</f>
        <v/>
      </c>
      <c r="L472" s="74" t="str">
        <f t="array" ref="L472">XLOOKUP(C:C,TSR_Completion!C:C,TSR_Completion!M:M)</f>
        <v/>
      </c>
      <c r="M472" s="4"/>
      <c r="N472" s="4"/>
      <c r="O472" s="4"/>
      <c r="P472" s="4"/>
      <c r="Q472" s="4"/>
      <c r="R472" s="4"/>
      <c r="S472" s="4"/>
      <c r="T472" s="4"/>
      <c r="U472" s="4"/>
      <c r="V472" s="4"/>
      <c r="W472" s="4"/>
      <c r="X472" s="4"/>
      <c r="Y472" s="4"/>
    </row>
    <row r="473">
      <c r="A473" s="6"/>
      <c r="B473" s="6" t="s">
        <v>158</v>
      </c>
      <c r="C473" s="71" t="s">
        <v>12</v>
      </c>
      <c r="D473" s="72" t="str">
        <f t="array" ref="D473">XLOOKUP(C473,'Master Data'!C:C,'Master Data'!D:D)</f>
        <v/>
      </c>
      <c r="E473" s="73"/>
      <c r="F473" s="72" t="str">
        <f t="array" ref="F473">XLOOKUP(C473,'Master Data'!C:C,'Master Data'!E:E)</f>
        <v/>
      </c>
      <c r="G473" s="72" t="str">
        <f t="array" ref="G473">XLOOKUP(C473,'Master Data'!C:C,'Master Data'!F:F)</f>
        <v/>
      </c>
      <c r="H473" s="72" t="str">
        <f t="array" ref="H473">XLOOKUP(C473,'Master Data'!C:C,'Master Data'!G:G)</f>
        <v/>
      </c>
      <c r="I473" s="72" t="str">
        <f t="array" ref="I473">XLOOKUP(C473,'Master Data'!C:C,'Master Data'!H:H)</f>
        <v/>
      </c>
      <c r="J473" s="72" t="str">
        <f t="array" ref="J473">XLOOKUP(C473,'Master Data'!C:C,'Master Data'!I:I)</f>
        <v/>
      </c>
      <c r="K473" s="72" t="str">
        <f t="array" ref="K473">XLOOKUP(C473,'Master Data'!C:C,'Master Data'!J:J)</f>
        <v/>
      </c>
      <c r="L473" s="74" t="str">
        <f t="array" ref="L473">XLOOKUP(C:C,TSR_Completion!C:C,TSR_Completion!M:M)</f>
        <v/>
      </c>
      <c r="M473" s="4"/>
      <c r="N473" s="4"/>
      <c r="O473" s="4"/>
      <c r="P473" s="4"/>
      <c r="Q473" s="4"/>
      <c r="R473" s="4"/>
      <c r="S473" s="4"/>
      <c r="T473" s="4"/>
      <c r="U473" s="4"/>
      <c r="V473" s="4"/>
      <c r="W473" s="4"/>
      <c r="X473" s="4"/>
      <c r="Y473" s="4"/>
    </row>
    <row r="474">
      <c r="A474" s="6"/>
      <c r="B474" s="6" t="s">
        <v>158</v>
      </c>
      <c r="C474" s="71" t="s">
        <v>12</v>
      </c>
      <c r="D474" s="72" t="str">
        <f t="array" ref="D474">XLOOKUP(C474,'Master Data'!C:C,'Master Data'!D:D)</f>
        <v/>
      </c>
      <c r="E474" s="73"/>
      <c r="F474" s="72" t="str">
        <f t="array" ref="F474">XLOOKUP(C474,'Master Data'!C:C,'Master Data'!E:E)</f>
        <v/>
      </c>
      <c r="G474" s="72" t="str">
        <f t="array" ref="G474">XLOOKUP(C474,'Master Data'!C:C,'Master Data'!F:F)</f>
        <v/>
      </c>
      <c r="H474" s="72" t="str">
        <f t="array" ref="H474">XLOOKUP(C474,'Master Data'!C:C,'Master Data'!G:G)</f>
        <v/>
      </c>
      <c r="I474" s="72" t="str">
        <f t="array" ref="I474">XLOOKUP(C474,'Master Data'!C:C,'Master Data'!H:H)</f>
        <v/>
      </c>
      <c r="J474" s="72" t="str">
        <f t="array" ref="J474">XLOOKUP(C474,'Master Data'!C:C,'Master Data'!I:I)</f>
        <v/>
      </c>
      <c r="K474" s="72" t="str">
        <f t="array" ref="K474">XLOOKUP(C474,'Master Data'!C:C,'Master Data'!J:J)</f>
        <v/>
      </c>
      <c r="L474" s="74" t="str">
        <f t="array" ref="L474">XLOOKUP(C:C,TSR_Completion!C:C,TSR_Completion!M:M)</f>
        <v/>
      </c>
      <c r="M474" s="4"/>
      <c r="N474" s="4"/>
      <c r="O474" s="4"/>
      <c r="P474" s="4"/>
      <c r="Q474" s="4"/>
      <c r="R474" s="4"/>
      <c r="S474" s="4"/>
      <c r="T474" s="4"/>
      <c r="U474" s="4"/>
      <c r="V474" s="4"/>
      <c r="W474" s="4"/>
      <c r="X474" s="4"/>
      <c r="Y474" s="4"/>
    </row>
    <row r="475">
      <c r="A475" s="6"/>
      <c r="B475" s="6" t="s">
        <v>158</v>
      </c>
      <c r="C475" s="71" t="s">
        <v>12</v>
      </c>
      <c r="D475" s="72" t="str">
        <f t="array" ref="D475">XLOOKUP(C475,'Master Data'!C:C,'Master Data'!D:D)</f>
        <v/>
      </c>
      <c r="E475" s="73"/>
      <c r="F475" s="72" t="str">
        <f t="array" ref="F475">XLOOKUP(C475,'Master Data'!C:C,'Master Data'!E:E)</f>
        <v/>
      </c>
      <c r="G475" s="72" t="str">
        <f t="array" ref="G475">XLOOKUP(C475,'Master Data'!C:C,'Master Data'!F:F)</f>
        <v/>
      </c>
      <c r="H475" s="72" t="str">
        <f t="array" ref="H475">XLOOKUP(C475,'Master Data'!C:C,'Master Data'!G:G)</f>
        <v/>
      </c>
      <c r="I475" s="72" t="str">
        <f t="array" ref="I475">XLOOKUP(C475,'Master Data'!C:C,'Master Data'!H:H)</f>
        <v/>
      </c>
      <c r="J475" s="72" t="str">
        <f t="array" ref="J475">XLOOKUP(C475,'Master Data'!C:C,'Master Data'!I:I)</f>
        <v/>
      </c>
      <c r="K475" s="72" t="str">
        <f t="array" ref="K475">XLOOKUP(C475,'Master Data'!C:C,'Master Data'!J:J)</f>
        <v/>
      </c>
      <c r="L475" s="74" t="str">
        <f t="array" ref="L475">XLOOKUP(C:C,TSR_Completion!C:C,TSR_Completion!M:M)</f>
        <v/>
      </c>
      <c r="M475" s="4"/>
      <c r="N475" s="4"/>
      <c r="O475" s="4"/>
      <c r="P475" s="4"/>
      <c r="Q475" s="4"/>
      <c r="R475" s="4"/>
      <c r="S475" s="4"/>
      <c r="T475" s="4"/>
      <c r="U475" s="4"/>
      <c r="V475" s="4"/>
      <c r="W475" s="4"/>
      <c r="X475" s="4"/>
      <c r="Y475" s="4"/>
    </row>
    <row r="476">
      <c r="A476" s="6"/>
      <c r="B476" s="6" t="s">
        <v>158</v>
      </c>
      <c r="C476" s="71" t="s">
        <v>12</v>
      </c>
      <c r="D476" s="72" t="str">
        <f t="array" ref="D476">XLOOKUP(C476,'Master Data'!C:C,'Master Data'!D:D)</f>
        <v/>
      </c>
      <c r="E476" s="73"/>
      <c r="F476" s="72" t="str">
        <f t="array" ref="F476">XLOOKUP(C476,'Master Data'!C:C,'Master Data'!E:E)</f>
        <v/>
      </c>
      <c r="G476" s="72" t="str">
        <f t="array" ref="G476">XLOOKUP(C476,'Master Data'!C:C,'Master Data'!F:F)</f>
        <v/>
      </c>
      <c r="H476" s="72" t="str">
        <f t="array" ref="H476">XLOOKUP(C476,'Master Data'!C:C,'Master Data'!G:G)</f>
        <v/>
      </c>
      <c r="I476" s="72" t="str">
        <f t="array" ref="I476">XLOOKUP(C476,'Master Data'!C:C,'Master Data'!H:H)</f>
        <v/>
      </c>
      <c r="J476" s="72" t="str">
        <f t="array" ref="J476">XLOOKUP(C476,'Master Data'!C:C,'Master Data'!I:I)</f>
        <v/>
      </c>
      <c r="K476" s="72" t="str">
        <f t="array" ref="K476">XLOOKUP(C476,'Master Data'!C:C,'Master Data'!J:J)</f>
        <v/>
      </c>
      <c r="L476" s="74" t="str">
        <f t="array" ref="L476">XLOOKUP(C:C,TSR_Completion!C:C,TSR_Completion!M:M)</f>
        <v/>
      </c>
      <c r="M476" s="4"/>
      <c r="N476" s="4"/>
      <c r="O476" s="4"/>
      <c r="P476" s="4"/>
      <c r="Q476" s="4"/>
      <c r="R476" s="4"/>
      <c r="S476" s="4"/>
      <c r="T476" s="4"/>
      <c r="U476" s="4"/>
      <c r="V476" s="4"/>
      <c r="W476" s="4"/>
      <c r="X476" s="4"/>
      <c r="Y476" s="4"/>
    </row>
    <row r="477">
      <c r="A477" s="6"/>
      <c r="B477" s="6" t="s">
        <v>158</v>
      </c>
      <c r="C477" s="71" t="s">
        <v>12</v>
      </c>
      <c r="D477" s="72" t="str">
        <f t="array" ref="D477">XLOOKUP(C477,'Master Data'!C:C,'Master Data'!D:D)</f>
        <v/>
      </c>
      <c r="E477" s="73"/>
      <c r="F477" s="72" t="str">
        <f t="array" ref="F477">XLOOKUP(C477,'Master Data'!C:C,'Master Data'!E:E)</f>
        <v/>
      </c>
      <c r="G477" s="72" t="str">
        <f t="array" ref="G477">XLOOKUP(C477,'Master Data'!C:C,'Master Data'!F:F)</f>
        <v/>
      </c>
      <c r="H477" s="72" t="str">
        <f t="array" ref="H477">XLOOKUP(C477,'Master Data'!C:C,'Master Data'!G:G)</f>
        <v/>
      </c>
      <c r="I477" s="72" t="str">
        <f t="array" ref="I477">XLOOKUP(C477,'Master Data'!C:C,'Master Data'!H:H)</f>
        <v/>
      </c>
      <c r="J477" s="72" t="str">
        <f t="array" ref="J477">XLOOKUP(C477,'Master Data'!C:C,'Master Data'!I:I)</f>
        <v/>
      </c>
      <c r="K477" s="72" t="str">
        <f t="array" ref="K477">XLOOKUP(C477,'Master Data'!C:C,'Master Data'!J:J)</f>
        <v/>
      </c>
      <c r="L477" s="74" t="str">
        <f t="array" ref="L477">XLOOKUP(C:C,TSR_Completion!C:C,TSR_Completion!M:M)</f>
        <v/>
      </c>
      <c r="M477" s="4"/>
      <c r="N477" s="4"/>
      <c r="O477" s="4"/>
      <c r="P477" s="4"/>
      <c r="Q477" s="4"/>
      <c r="R477" s="4"/>
      <c r="S477" s="4"/>
      <c r="T477" s="4"/>
      <c r="U477" s="4"/>
      <c r="V477" s="4"/>
      <c r="W477" s="4"/>
      <c r="X477" s="4"/>
      <c r="Y477" s="4"/>
    </row>
    <row r="478">
      <c r="A478" s="6"/>
      <c r="B478" s="6" t="s">
        <v>158</v>
      </c>
      <c r="C478" s="71" t="s">
        <v>12</v>
      </c>
      <c r="D478" s="72" t="str">
        <f t="array" ref="D478">XLOOKUP(C478,'Master Data'!C:C,'Master Data'!D:D)</f>
        <v/>
      </c>
      <c r="E478" s="73"/>
      <c r="F478" s="72" t="str">
        <f t="array" ref="F478">XLOOKUP(C478,'Master Data'!C:C,'Master Data'!E:E)</f>
        <v/>
      </c>
      <c r="G478" s="72" t="str">
        <f t="array" ref="G478">XLOOKUP(C478,'Master Data'!C:C,'Master Data'!F:F)</f>
        <v/>
      </c>
      <c r="H478" s="72" t="str">
        <f t="array" ref="H478">XLOOKUP(C478,'Master Data'!C:C,'Master Data'!G:G)</f>
        <v/>
      </c>
      <c r="I478" s="72" t="str">
        <f t="array" ref="I478">XLOOKUP(C478,'Master Data'!C:C,'Master Data'!H:H)</f>
        <v/>
      </c>
      <c r="J478" s="72" t="str">
        <f t="array" ref="J478">XLOOKUP(C478,'Master Data'!C:C,'Master Data'!I:I)</f>
        <v/>
      </c>
      <c r="K478" s="72" t="str">
        <f t="array" ref="K478">XLOOKUP(C478,'Master Data'!C:C,'Master Data'!J:J)</f>
        <v/>
      </c>
      <c r="L478" s="74" t="str">
        <f t="array" ref="L478">XLOOKUP(C:C,TSR_Completion!C:C,TSR_Completion!M:M)</f>
        <v/>
      </c>
      <c r="M478" s="4"/>
      <c r="N478" s="4"/>
      <c r="O478" s="4"/>
      <c r="P478" s="4"/>
      <c r="Q478" s="4"/>
      <c r="R478" s="4"/>
      <c r="S478" s="4"/>
      <c r="T478" s="4"/>
      <c r="U478" s="4"/>
      <c r="V478" s="4"/>
      <c r="W478" s="4"/>
      <c r="X478" s="4"/>
      <c r="Y478" s="4"/>
    </row>
    <row r="479">
      <c r="A479" s="6"/>
      <c r="B479" s="6" t="s">
        <v>158</v>
      </c>
      <c r="C479" s="71" t="s">
        <v>12</v>
      </c>
      <c r="D479" s="72" t="str">
        <f t="array" ref="D479">XLOOKUP(C479,'Master Data'!C:C,'Master Data'!D:D)</f>
        <v/>
      </c>
      <c r="E479" s="73"/>
      <c r="F479" s="72" t="str">
        <f t="array" ref="F479">XLOOKUP(C479,'Master Data'!C:C,'Master Data'!E:E)</f>
        <v/>
      </c>
      <c r="G479" s="72" t="str">
        <f t="array" ref="G479">XLOOKUP(C479,'Master Data'!C:C,'Master Data'!F:F)</f>
        <v/>
      </c>
      <c r="H479" s="72" t="str">
        <f t="array" ref="H479">XLOOKUP(C479,'Master Data'!C:C,'Master Data'!G:G)</f>
        <v/>
      </c>
      <c r="I479" s="72" t="str">
        <f t="array" ref="I479">XLOOKUP(C479,'Master Data'!C:C,'Master Data'!H:H)</f>
        <v/>
      </c>
      <c r="J479" s="72" t="str">
        <f t="array" ref="J479">XLOOKUP(C479,'Master Data'!C:C,'Master Data'!I:I)</f>
        <v/>
      </c>
      <c r="K479" s="72" t="str">
        <f t="array" ref="K479">XLOOKUP(C479,'Master Data'!C:C,'Master Data'!J:J)</f>
        <v/>
      </c>
      <c r="L479" s="74" t="str">
        <f t="array" ref="L479">XLOOKUP(C:C,TSR_Completion!C:C,TSR_Completion!M:M)</f>
        <v/>
      </c>
      <c r="M479" s="4"/>
      <c r="N479" s="4"/>
      <c r="O479" s="4"/>
      <c r="P479" s="4"/>
      <c r="Q479" s="4"/>
      <c r="R479" s="4"/>
      <c r="S479" s="4"/>
      <c r="T479" s="4"/>
      <c r="U479" s="4"/>
      <c r="V479" s="4"/>
      <c r="W479" s="4"/>
      <c r="X479" s="4"/>
      <c r="Y479" s="4"/>
    </row>
    <row r="480">
      <c r="A480" s="6"/>
      <c r="B480" s="6" t="s">
        <v>158</v>
      </c>
      <c r="C480" s="71" t="s">
        <v>12</v>
      </c>
      <c r="D480" s="72" t="str">
        <f t="array" ref="D480">XLOOKUP(C480,'Master Data'!C:C,'Master Data'!D:D)</f>
        <v/>
      </c>
      <c r="E480" s="73"/>
      <c r="F480" s="72" t="str">
        <f t="array" ref="F480">XLOOKUP(C480,'Master Data'!C:C,'Master Data'!E:E)</f>
        <v/>
      </c>
      <c r="G480" s="72" t="str">
        <f t="array" ref="G480">XLOOKUP(C480,'Master Data'!C:C,'Master Data'!F:F)</f>
        <v/>
      </c>
      <c r="H480" s="72" t="str">
        <f t="array" ref="H480">XLOOKUP(C480,'Master Data'!C:C,'Master Data'!G:G)</f>
        <v/>
      </c>
      <c r="I480" s="72" t="str">
        <f t="array" ref="I480">XLOOKUP(C480,'Master Data'!C:C,'Master Data'!H:H)</f>
        <v/>
      </c>
      <c r="J480" s="72" t="str">
        <f t="array" ref="J480">XLOOKUP(C480,'Master Data'!C:C,'Master Data'!I:I)</f>
        <v/>
      </c>
      <c r="K480" s="72" t="str">
        <f t="array" ref="K480">XLOOKUP(C480,'Master Data'!C:C,'Master Data'!J:J)</f>
        <v/>
      </c>
      <c r="L480" s="74" t="str">
        <f t="array" ref="L480">XLOOKUP(C:C,TSR_Completion!C:C,TSR_Completion!M:M)</f>
        <v/>
      </c>
      <c r="M480" s="4"/>
      <c r="N480" s="4"/>
      <c r="O480" s="4"/>
      <c r="P480" s="4"/>
      <c r="Q480" s="4"/>
      <c r="R480" s="4"/>
      <c r="S480" s="4"/>
      <c r="T480" s="4"/>
      <c r="U480" s="4"/>
      <c r="V480" s="4"/>
      <c r="W480" s="4"/>
      <c r="X480" s="4"/>
      <c r="Y480" s="4"/>
    </row>
    <row r="481">
      <c r="A481" s="6"/>
      <c r="B481" s="6" t="s">
        <v>158</v>
      </c>
      <c r="C481" s="71" t="s">
        <v>12</v>
      </c>
      <c r="D481" s="72" t="str">
        <f t="array" ref="D481">XLOOKUP(C481,'Master Data'!C:C,'Master Data'!D:D)</f>
        <v/>
      </c>
      <c r="E481" s="73"/>
      <c r="F481" s="72" t="str">
        <f t="array" ref="F481">XLOOKUP(C481,'Master Data'!C:C,'Master Data'!E:E)</f>
        <v/>
      </c>
      <c r="G481" s="72" t="str">
        <f t="array" ref="G481">XLOOKUP(C481,'Master Data'!C:C,'Master Data'!F:F)</f>
        <v/>
      </c>
      <c r="H481" s="72" t="str">
        <f t="array" ref="H481">XLOOKUP(C481,'Master Data'!C:C,'Master Data'!G:G)</f>
        <v/>
      </c>
      <c r="I481" s="72" t="str">
        <f t="array" ref="I481">XLOOKUP(C481,'Master Data'!C:C,'Master Data'!H:H)</f>
        <v/>
      </c>
      <c r="J481" s="72" t="str">
        <f t="array" ref="J481">XLOOKUP(C481,'Master Data'!C:C,'Master Data'!I:I)</f>
        <v/>
      </c>
      <c r="K481" s="72" t="str">
        <f t="array" ref="K481">XLOOKUP(C481,'Master Data'!C:C,'Master Data'!J:J)</f>
        <v/>
      </c>
      <c r="L481" s="74" t="str">
        <f t="array" ref="L481">XLOOKUP(C:C,TSR_Completion!C:C,TSR_Completion!M:M)</f>
        <v/>
      </c>
      <c r="M481" s="4"/>
      <c r="N481" s="4"/>
      <c r="O481" s="4"/>
      <c r="P481" s="4"/>
      <c r="Q481" s="4"/>
      <c r="R481" s="4"/>
      <c r="S481" s="4"/>
      <c r="T481" s="4"/>
      <c r="U481" s="4"/>
      <c r="V481" s="4"/>
      <c r="W481" s="4"/>
      <c r="X481" s="4"/>
      <c r="Y481" s="4"/>
    </row>
    <row r="482">
      <c r="A482" s="6"/>
      <c r="B482" s="6" t="s">
        <v>158</v>
      </c>
      <c r="C482" s="71" t="s">
        <v>12</v>
      </c>
      <c r="D482" s="72" t="str">
        <f t="array" ref="D482">XLOOKUP(C482,'Master Data'!C:C,'Master Data'!D:D)</f>
        <v/>
      </c>
      <c r="E482" s="73"/>
      <c r="F482" s="72" t="str">
        <f t="array" ref="F482">XLOOKUP(C482,'Master Data'!C:C,'Master Data'!E:E)</f>
        <v/>
      </c>
      <c r="G482" s="72" t="str">
        <f t="array" ref="G482">XLOOKUP(C482,'Master Data'!C:C,'Master Data'!F:F)</f>
        <v/>
      </c>
      <c r="H482" s="72" t="str">
        <f t="array" ref="H482">XLOOKUP(C482,'Master Data'!C:C,'Master Data'!G:G)</f>
        <v/>
      </c>
      <c r="I482" s="72" t="str">
        <f t="array" ref="I482">XLOOKUP(C482,'Master Data'!C:C,'Master Data'!H:H)</f>
        <v/>
      </c>
      <c r="J482" s="72" t="str">
        <f t="array" ref="J482">XLOOKUP(C482,'Master Data'!C:C,'Master Data'!I:I)</f>
        <v/>
      </c>
      <c r="K482" s="72" t="str">
        <f t="array" ref="K482">XLOOKUP(C482,'Master Data'!C:C,'Master Data'!J:J)</f>
        <v/>
      </c>
      <c r="L482" s="74" t="str">
        <f t="array" ref="L482">XLOOKUP(C:C,TSR_Completion!C:C,TSR_Completion!M:M)</f>
        <v/>
      </c>
      <c r="M482" s="4"/>
      <c r="N482" s="4"/>
      <c r="O482" s="4"/>
      <c r="P482" s="4"/>
      <c r="Q482" s="4"/>
      <c r="R482" s="4"/>
      <c r="S482" s="4"/>
      <c r="T482" s="4"/>
      <c r="U482" s="4"/>
      <c r="V482" s="4"/>
      <c r="W482" s="4"/>
      <c r="X482" s="4"/>
      <c r="Y482" s="4"/>
    </row>
    <row r="483">
      <c r="A483" s="6"/>
      <c r="B483" s="6" t="s">
        <v>158</v>
      </c>
      <c r="C483" s="71" t="s">
        <v>12</v>
      </c>
      <c r="D483" s="72" t="str">
        <f t="array" ref="D483">XLOOKUP(C483,'Master Data'!C:C,'Master Data'!D:D)</f>
        <v/>
      </c>
      <c r="E483" s="73"/>
      <c r="F483" s="72" t="str">
        <f t="array" ref="F483">XLOOKUP(C483,'Master Data'!C:C,'Master Data'!E:E)</f>
        <v/>
      </c>
      <c r="G483" s="72" t="str">
        <f t="array" ref="G483">XLOOKUP(C483,'Master Data'!C:C,'Master Data'!F:F)</f>
        <v/>
      </c>
      <c r="H483" s="72" t="str">
        <f t="array" ref="H483">XLOOKUP(C483,'Master Data'!C:C,'Master Data'!G:G)</f>
        <v/>
      </c>
      <c r="I483" s="72" t="str">
        <f t="array" ref="I483">XLOOKUP(C483,'Master Data'!C:C,'Master Data'!H:H)</f>
        <v/>
      </c>
      <c r="J483" s="72" t="str">
        <f t="array" ref="J483">XLOOKUP(C483,'Master Data'!C:C,'Master Data'!I:I)</f>
        <v/>
      </c>
      <c r="K483" s="72" t="str">
        <f t="array" ref="K483">XLOOKUP(C483,'Master Data'!C:C,'Master Data'!J:J)</f>
        <v/>
      </c>
      <c r="L483" s="74" t="str">
        <f t="array" ref="L483">XLOOKUP(C:C,TSR_Completion!C:C,TSR_Completion!M:M)</f>
        <v/>
      </c>
      <c r="M483" s="4"/>
      <c r="N483" s="4"/>
      <c r="O483" s="4"/>
      <c r="P483" s="4"/>
      <c r="Q483" s="4"/>
      <c r="R483" s="4"/>
      <c r="S483" s="4"/>
      <c r="T483" s="4"/>
      <c r="U483" s="4"/>
      <c r="V483" s="4"/>
      <c r="W483" s="4"/>
      <c r="X483" s="4"/>
      <c r="Y483" s="4"/>
    </row>
    <row r="484">
      <c r="A484" s="6"/>
      <c r="B484" s="6" t="s">
        <v>158</v>
      </c>
      <c r="C484" s="71" t="s">
        <v>12</v>
      </c>
      <c r="D484" s="72" t="str">
        <f t="array" ref="D484">XLOOKUP(C484,'Master Data'!C:C,'Master Data'!D:D)</f>
        <v/>
      </c>
      <c r="E484" s="73"/>
      <c r="F484" s="72" t="str">
        <f t="array" ref="F484">XLOOKUP(C484,'Master Data'!C:C,'Master Data'!E:E)</f>
        <v/>
      </c>
      <c r="G484" s="72" t="str">
        <f t="array" ref="G484">XLOOKUP(C484,'Master Data'!C:C,'Master Data'!F:F)</f>
        <v/>
      </c>
      <c r="H484" s="72" t="str">
        <f t="array" ref="H484">XLOOKUP(C484,'Master Data'!C:C,'Master Data'!G:G)</f>
        <v/>
      </c>
      <c r="I484" s="72" t="str">
        <f t="array" ref="I484">XLOOKUP(C484,'Master Data'!C:C,'Master Data'!H:H)</f>
        <v/>
      </c>
      <c r="J484" s="72" t="str">
        <f t="array" ref="J484">XLOOKUP(C484,'Master Data'!C:C,'Master Data'!I:I)</f>
        <v/>
      </c>
      <c r="K484" s="72" t="str">
        <f t="array" ref="K484">XLOOKUP(C484,'Master Data'!C:C,'Master Data'!J:J)</f>
        <v/>
      </c>
      <c r="L484" s="74" t="str">
        <f t="array" ref="L484">XLOOKUP(C:C,TSR_Completion!C:C,TSR_Completion!M:M)</f>
        <v/>
      </c>
      <c r="M484" s="4"/>
      <c r="N484" s="4"/>
      <c r="O484" s="4"/>
      <c r="P484" s="4"/>
      <c r="Q484" s="4"/>
      <c r="R484" s="4"/>
      <c r="S484" s="4"/>
      <c r="T484" s="4"/>
      <c r="U484" s="4"/>
      <c r="V484" s="4"/>
      <c r="W484" s="4"/>
      <c r="X484" s="4"/>
      <c r="Y484" s="4"/>
    </row>
    <row r="485">
      <c r="A485" s="6"/>
      <c r="B485" s="6" t="s">
        <v>158</v>
      </c>
      <c r="C485" s="71" t="s">
        <v>12</v>
      </c>
      <c r="D485" s="72" t="str">
        <f t="array" ref="D485">XLOOKUP(C485,'Master Data'!C:C,'Master Data'!D:D)</f>
        <v/>
      </c>
      <c r="E485" s="73"/>
      <c r="F485" s="72" t="str">
        <f t="array" ref="F485">XLOOKUP(C485,'Master Data'!C:C,'Master Data'!E:E)</f>
        <v/>
      </c>
      <c r="G485" s="72" t="str">
        <f t="array" ref="G485">XLOOKUP(C485,'Master Data'!C:C,'Master Data'!F:F)</f>
        <v/>
      </c>
      <c r="H485" s="72" t="str">
        <f t="array" ref="H485">XLOOKUP(C485,'Master Data'!C:C,'Master Data'!G:G)</f>
        <v/>
      </c>
      <c r="I485" s="72" t="str">
        <f t="array" ref="I485">XLOOKUP(C485,'Master Data'!C:C,'Master Data'!H:H)</f>
        <v/>
      </c>
      <c r="J485" s="72" t="str">
        <f t="array" ref="J485">XLOOKUP(C485,'Master Data'!C:C,'Master Data'!I:I)</f>
        <v/>
      </c>
      <c r="K485" s="72" t="str">
        <f t="array" ref="K485">XLOOKUP(C485,'Master Data'!C:C,'Master Data'!J:J)</f>
        <v/>
      </c>
      <c r="L485" s="74" t="str">
        <f t="array" ref="L485">XLOOKUP(C:C,TSR_Completion!C:C,TSR_Completion!M:M)</f>
        <v/>
      </c>
      <c r="M485" s="4"/>
      <c r="N485" s="4"/>
      <c r="O485" s="4"/>
      <c r="P485" s="4"/>
      <c r="Q485" s="4"/>
      <c r="R485" s="4"/>
      <c r="S485" s="4"/>
      <c r="T485" s="4"/>
      <c r="U485" s="4"/>
      <c r="V485" s="4"/>
      <c r="W485" s="4"/>
      <c r="X485" s="4"/>
      <c r="Y485" s="4"/>
    </row>
    <row r="486">
      <c r="A486" s="46"/>
      <c r="B486" s="46" t="s">
        <v>12</v>
      </c>
      <c r="C486" s="46" t="s">
        <v>12</v>
      </c>
      <c r="D486" s="46" t="s">
        <v>12</v>
      </c>
      <c r="E486" s="46" t="s">
        <v>12</v>
      </c>
      <c r="F486" s="46" t="s">
        <v>12</v>
      </c>
      <c r="G486" s="46" t="s">
        <v>12</v>
      </c>
      <c r="H486" s="46" t="s">
        <v>12</v>
      </c>
      <c r="I486" s="46" t="s">
        <v>12</v>
      </c>
      <c r="J486" s="46" t="s">
        <v>12</v>
      </c>
      <c r="K486" s="46" t="s">
        <v>12</v>
      </c>
      <c r="L486" s="74" t="str">
        <f t="array" ref="L486">XLOOKUP(C:C,TSR_Completion!C:C,TSR_Completion!M:M)</f>
        <v/>
      </c>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74" t="str">
        <f t="array" ref="L487">XLOOKUP(C:C,TSR_Completion!C:C,TSR_Completion!M:M)</f>
        <v>#N/A</v>
      </c>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74" t="str">
        <f t="array" ref="L488">XLOOKUP(C:C,TSR_Completion!C:C,TSR_Completion!M:M)</f>
        <v>#N/A</v>
      </c>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74" t="str">
        <f t="array" ref="L489">XLOOKUP(C:C,TSR_Completion!C:C,TSR_Completion!M:M)</f>
        <v>#N/A</v>
      </c>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74" t="str">
        <f t="array" ref="L490">XLOOKUP(C:C,TSR_Completion!C:C,TSR_Completion!M:M)</f>
        <v>#N/A</v>
      </c>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74" t="str">
        <f t="array" ref="L491">XLOOKUP(C:C,TSR_Completion!C:C,TSR_Completion!M:M)</f>
        <v>#N/A</v>
      </c>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74" t="str">
        <f t="array" ref="L492">XLOOKUP(C:C,TSR_Completion!C:C,TSR_Completion!M:M)</f>
        <v>#N/A</v>
      </c>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74" t="str">
        <f t="array" ref="L493">XLOOKUP(C:C,TSR_Completion!C:C,TSR_Completion!M:M)</f>
        <v>#N/A</v>
      </c>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74" t="str">
        <f t="array" ref="L494">XLOOKUP(C:C,TSR_Completion!C:C,TSR_Completion!M:M)</f>
        <v>#N/A</v>
      </c>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74" t="str">
        <f t="array" ref="L495">XLOOKUP(C:C,TSR_Completion!C:C,TSR_Completion!M:M)</f>
        <v>#N/A</v>
      </c>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74" t="str">
        <f t="array" ref="L496">XLOOKUP(C:C,TSR_Completion!C:C,TSR_Completion!M:M)</f>
        <v>#N/A</v>
      </c>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74" t="str">
        <f t="array" ref="L497">XLOOKUP(C:C,TSR_Completion!C:C,TSR_Completion!M:M)</f>
        <v>#N/A</v>
      </c>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74" t="str">
        <f t="array" ref="L498">XLOOKUP(C:C,TSR_Completion!C:C,TSR_Completion!M:M)</f>
        <v>#N/A</v>
      </c>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74" t="str">
        <f t="array" ref="L499">XLOOKUP(C:C,TSR_Completion!C:C,TSR_Completion!M:M)</f>
        <v>#N/A</v>
      </c>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74" t="str">
        <f t="array" ref="L500">XLOOKUP(C:C,TSR_Completion!C:C,TSR_Completion!M:M)</f>
        <v>#N/A</v>
      </c>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74" t="str">
        <f t="array" ref="L501">XLOOKUP(C:C,TSR_Completion!C:C,TSR_Completion!M:M)</f>
        <v>#N/A</v>
      </c>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74" t="str">
        <f t="array" ref="L502">XLOOKUP(C:C,TSR_Completion!C:C,TSR_Completion!M:M)</f>
        <v>#N/A</v>
      </c>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74" t="str">
        <f t="array" ref="L503">XLOOKUP(C:C,TSR_Completion!C:C,TSR_Completion!M:M)</f>
        <v>#N/A</v>
      </c>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74" t="str">
        <f t="array" ref="L504">XLOOKUP(C:C,TSR_Completion!C:C,TSR_Completion!M:M)</f>
        <v>#N/A</v>
      </c>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74" t="str">
        <f t="array" ref="L505">XLOOKUP(C:C,TSR_Completion!C:C,TSR_Completion!M:M)</f>
        <v>#N/A</v>
      </c>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74" t="str">
        <f t="array" ref="L506">XLOOKUP(C:C,TSR_Completion!C:C,TSR_Completion!M:M)</f>
        <v>#N/A</v>
      </c>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74" t="str">
        <f t="array" ref="L507">XLOOKUP(C:C,TSR_Completion!C:C,TSR_Completion!M:M)</f>
        <v>#N/A</v>
      </c>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74" t="str">
        <f t="array" ref="L508">XLOOKUP(C:C,TSR_Completion!C:C,TSR_Completion!M:M)</f>
        <v>#N/A</v>
      </c>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74" t="str">
        <f t="array" ref="L509">XLOOKUP(C:C,TSR_Completion!C:C,TSR_Completion!M:M)</f>
        <v>#N/A</v>
      </c>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74" t="str">
        <f t="array" ref="L510">XLOOKUP(C:C,TSR_Completion!C:C,TSR_Completion!M:M)</f>
        <v>#N/A</v>
      </c>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74" t="str">
        <f t="array" ref="L511">XLOOKUP(C:C,TSR_Completion!C:C,TSR_Completion!M:M)</f>
        <v>#N/A</v>
      </c>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74" t="str">
        <f t="array" ref="L512">XLOOKUP(C:C,TSR_Completion!C:C,TSR_Completion!M:M)</f>
        <v>#N/A</v>
      </c>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74" t="str">
        <f t="array" ref="L513">XLOOKUP(C:C,TSR_Completion!C:C,TSR_Completion!M:M)</f>
        <v>#N/A</v>
      </c>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74" t="str">
        <f t="array" ref="L514">XLOOKUP(C:C,TSR_Completion!C:C,TSR_Completion!M:M)</f>
        <v>#N/A</v>
      </c>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74" t="str">
        <f t="array" ref="L515">XLOOKUP(C:C,TSR_Completion!C:C,TSR_Completion!M:M)</f>
        <v>#N/A</v>
      </c>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74" t="str">
        <f t="array" ref="L516">XLOOKUP(C:C,TSR_Completion!C:C,TSR_Completion!M:M)</f>
        <v>#N/A</v>
      </c>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74" t="str">
        <f t="array" ref="L517">XLOOKUP(C:C,TSR_Completion!C:C,TSR_Completion!M:M)</f>
        <v>#N/A</v>
      </c>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74" t="str">
        <f t="array" ref="L518">XLOOKUP(C:C,TSR_Completion!C:C,TSR_Completion!M:M)</f>
        <v>#N/A</v>
      </c>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74" t="str">
        <f t="array" ref="L519">XLOOKUP(C:C,TSR_Completion!C:C,TSR_Completion!M:M)</f>
        <v>#N/A</v>
      </c>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74" t="str">
        <f t="array" ref="L520">XLOOKUP(C:C,TSR_Completion!C:C,TSR_Completion!M:M)</f>
        <v>#N/A</v>
      </c>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74" t="str">
        <f t="array" ref="L521">XLOOKUP(C:C,TSR_Completion!C:C,TSR_Completion!M:M)</f>
        <v>#N/A</v>
      </c>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74" t="str">
        <f t="array" ref="L522">XLOOKUP(C:C,TSR_Completion!C:C,TSR_Completion!M:M)</f>
        <v>#N/A</v>
      </c>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74" t="str">
        <f t="array" ref="L523">XLOOKUP(C:C,TSR_Completion!C:C,TSR_Completion!M:M)</f>
        <v>#N/A</v>
      </c>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74" t="str">
        <f t="array" ref="L524">XLOOKUP(C:C,TSR_Completion!C:C,TSR_Completion!M:M)</f>
        <v>#N/A</v>
      </c>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74" t="str">
        <f t="array" ref="L525">XLOOKUP(C:C,TSR_Completion!C:C,TSR_Completion!M:M)</f>
        <v>#N/A</v>
      </c>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74" t="str">
        <f t="array" ref="L526">XLOOKUP(C:C,TSR_Completion!C:C,TSR_Completion!M:M)</f>
        <v>#N/A</v>
      </c>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74" t="str">
        <f t="array" ref="L527">XLOOKUP(C:C,TSR_Completion!C:C,TSR_Completion!M:M)</f>
        <v>#N/A</v>
      </c>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74" t="str">
        <f t="array" ref="L528">XLOOKUP(C:C,TSR_Completion!C:C,TSR_Completion!M:M)</f>
        <v>#N/A</v>
      </c>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74" t="str">
        <f t="array" ref="L529">XLOOKUP(C:C,TSR_Completion!C:C,TSR_Completion!M:M)</f>
        <v>#N/A</v>
      </c>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74" t="str">
        <f t="array" ref="L530">XLOOKUP(C:C,TSR_Completion!C:C,TSR_Completion!M:M)</f>
        <v>#N/A</v>
      </c>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74" t="str">
        <f t="array" ref="L531">XLOOKUP(C:C,TSR_Completion!C:C,TSR_Completion!M:M)</f>
        <v>#N/A</v>
      </c>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74" t="str">
        <f t="array" ref="L532">XLOOKUP(C:C,TSR_Completion!C:C,TSR_Completion!M:M)</f>
        <v>#N/A</v>
      </c>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74" t="str">
        <f t="array" ref="L533">XLOOKUP(C:C,TSR_Completion!C:C,TSR_Completion!M:M)</f>
        <v>#N/A</v>
      </c>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74" t="str">
        <f t="array" ref="L534">XLOOKUP(C:C,TSR_Completion!C:C,TSR_Completion!M:M)</f>
        <v>#N/A</v>
      </c>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74" t="str">
        <f t="array" ref="L535">XLOOKUP(C:C,TSR_Completion!C:C,TSR_Completion!M:M)</f>
        <v>#N/A</v>
      </c>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74" t="str">
        <f t="array" ref="L536">XLOOKUP(C:C,TSR_Completion!C:C,TSR_Completion!M:M)</f>
        <v>#N/A</v>
      </c>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74" t="str">
        <f t="array" ref="L537">XLOOKUP(C:C,TSR_Completion!C:C,TSR_Completion!M:M)</f>
        <v>#N/A</v>
      </c>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74" t="str">
        <f t="array" ref="L538">XLOOKUP(C:C,TSR_Completion!C:C,TSR_Completion!M:M)</f>
        <v>#N/A</v>
      </c>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74" t="str">
        <f t="array" ref="L539">XLOOKUP(C:C,TSR_Completion!C:C,TSR_Completion!M:M)</f>
        <v>#N/A</v>
      </c>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74" t="str">
        <f t="array" ref="L540">XLOOKUP(C:C,TSR_Completion!C:C,TSR_Completion!M:M)</f>
        <v>#N/A</v>
      </c>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74" t="str">
        <f t="array" ref="L541">XLOOKUP(C:C,TSR_Completion!C:C,TSR_Completion!M:M)</f>
        <v>#N/A</v>
      </c>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74" t="str">
        <f t="array" ref="L542">XLOOKUP(C:C,TSR_Completion!C:C,TSR_Completion!M:M)</f>
        <v>#N/A</v>
      </c>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74" t="str">
        <f t="array" ref="L543">XLOOKUP(C:C,TSR_Completion!C:C,TSR_Completion!M:M)</f>
        <v>#N/A</v>
      </c>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74" t="str">
        <f t="array" ref="L544">XLOOKUP(C:C,TSR_Completion!C:C,TSR_Completion!M:M)</f>
        <v>#N/A</v>
      </c>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74" t="str">
        <f t="array" ref="L545">XLOOKUP(C:C,TSR_Completion!C:C,TSR_Completion!M:M)</f>
        <v>#N/A</v>
      </c>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74" t="str">
        <f t="array" ref="L546">XLOOKUP(C:C,TSR_Completion!C:C,TSR_Completion!M:M)</f>
        <v>#N/A</v>
      </c>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74" t="str">
        <f t="array" ref="L547">XLOOKUP(C:C,TSR_Completion!C:C,TSR_Completion!M:M)</f>
        <v>#N/A</v>
      </c>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74" t="str">
        <f t="array" ref="L548">XLOOKUP(C:C,TSR_Completion!C:C,TSR_Completion!M:M)</f>
        <v>#N/A</v>
      </c>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74" t="str">
        <f t="array" ref="L549">XLOOKUP(C:C,TSR_Completion!C:C,TSR_Completion!M:M)</f>
        <v>#N/A</v>
      </c>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74" t="str">
        <f t="array" ref="L550">XLOOKUP(C:C,TSR_Completion!C:C,TSR_Completion!M:M)</f>
        <v>#N/A</v>
      </c>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74" t="str">
        <f t="array" ref="L551">XLOOKUP(C:C,TSR_Completion!C:C,TSR_Completion!M:M)</f>
        <v>#N/A</v>
      </c>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74" t="str">
        <f t="array" ref="L552">XLOOKUP(C:C,TSR_Completion!C:C,TSR_Completion!M:M)</f>
        <v>#N/A</v>
      </c>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74" t="str">
        <f t="array" ref="L553">XLOOKUP(C:C,TSR_Completion!C:C,TSR_Completion!M:M)</f>
        <v>#N/A</v>
      </c>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74" t="str">
        <f t="array" ref="L554">XLOOKUP(C:C,TSR_Completion!C:C,TSR_Completion!M:M)</f>
        <v>#N/A</v>
      </c>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74" t="str">
        <f t="array" ref="L555">XLOOKUP(C:C,TSR_Completion!C:C,TSR_Completion!M:M)</f>
        <v>#N/A</v>
      </c>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74" t="str">
        <f t="array" ref="L556">XLOOKUP(C:C,TSR_Completion!C:C,TSR_Completion!M:M)</f>
        <v>#N/A</v>
      </c>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74" t="str">
        <f t="array" ref="L557">XLOOKUP(C:C,TSR_Completion!C:C,TSR_Completion!M:M)</f>
        <v>#N/A</v>
      </c>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74" t="str">
        <f t="array" ref="L558">XLOOKUP(C:C,TSR_Completion!C:C,TSR_Completion!M:M)</f>
        <v>#N/A</v>
      </c>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74" t="str">
        <f t="array" ref="L559">XLOOKUP(C:C,TSR_Completion!C:C,TSR_Completion!M:M)</f>
        <v>#N/A</v>
      </c>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74" t="str">
        <f t="array" ref="L560">XLOOKUP(C:C,TSR_Completion!C:C,TSR_Completion!M:M)</f>
        <v>#N/A</v>
      </c>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74" t="str">
        <f t="array" ref="L561">XLOOKUP(C:C,TSR_Completion!C:C,TSR_Completion!M:M)</f>
        <v>#N/A</v>
      </c>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74" t="str">
        <f t="array" ref="L562">XLOOKUP(C:C,TSR_Completion!C:C,TSR_Completion!M:M)</f>
        <v>#N/A</v>
      </c>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74" t="str">
        <f t="array" ref="L563">XLOOKUP(C:C,TSR_Completion!C:C,TSR_Completion!M:M)</f>
        <v>#N/A</v>
      </c>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74" t="str">
        <f t="array" ref="L564">XLOOKUP(C:C,TSR_Completion!C:C,TSR_Completion!M:M)</f>
        <v>#N/A</v>
      </c>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74" t="str">
        <f t="array" ref="L565">XLOOKUP(C:C,TSR_Completion!C:C,TSR_Completion!M:M)</f>
        <v>#N/A</v>
      </c>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74" t="str">
        <f t="array" ref="L566">XLOOKUP(C:C,TSR_Completion!C:C,TSR_Completion!M:M)</f>
        <v>#N/A</v>
      </c>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74" t="str">
        <f t="array" ref="L567">XLOOKUP(C:C,TSR_Completion!C:C,TSR_Completion!M:M)</f>
        <v>#N/A</v>
      </c>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74" t="str">
        <f t="array" ref="L568">XLOOKUP(C:C,TSR_Completion!C:C,TSR_Completion!M:M)</f>
        <v>#N/A</v>
      </c>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74" t="str">
        <f t="array" ref="L569">XLOOKUP(C:C,TSR_Completion!C:C,TSR_Completion!M:M)</f>
        <v>#N/A</v>
      </c>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74" t="str">
        <f t="array" ref="L570">XLOOKUP(C:C,TSR_Completion!C:C,TSR_Completion!M:M)</f>
        <v>#N/A</v>
      </c>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74" t="str">
        <f t="array" ref="L571">XLOOKUP(C:C,TSR_Completion!C:C,TSR_Completion!M:M)</f>
        <v>#N/A</v>
      </c>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74" t="str">
        <f t="array" ref="L572">XLOOKUP(C:C,TSR_Completion!C:C,TSR_Completion!M:M)</f>
        <v>#N/A</v>
      </c>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74" t="str">
        <f t="array" ref="L573">XLOOKUP(C:C,TSR_Completion!C:C,TSR_Completion!M:M)</f>
        <v>#N/A</v>
      </c>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74" t="str">
        <f t="array" ref="L574">XLOOKUP(C:C,TSR_Completion!C:C,TSR_Completion!M:M)</f>
        <v>#N/A</v>
      </c>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74" t="str">
        <f t="array" ref="L575">XLOOKUP(C:C,TSR_Completion!C:C,TSR_Completion!M:M)</f>
        <v>#N/A</v>
      </c>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74" t="str">
        <f t="array" ref="L576">XLOOKUP(C:C,TSR_Completion!C:C,TSR_Completion!M:M)</f>
        <v>#N/A</v>
      </c>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74" t="str">
        <f t="array" ref="L577">XLOOKUP(C:C,TSR_Completion!C:C,TSR_Completion!M:M)</f>
        <v>#N/A</v>
      </c>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74" t="str">
        <f t="array" ref="L578">XLOOKUP(C:C,TSR_Completion!C:C,TSR_Completion!M:M)</f>
        <v>#N/A</v>
      </c>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74" t="str">
        <f t="array" ref="L579">XLOOKUP(C:C,TSR_Completion!C:C,TSR_Completion!M:M)</f>
        <v>#N/A</v>
      </c>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74" t="str">
        <f t="array" ref="L580">XLOOKUP(C:C,TSR_Completion!C:C,TSR_Completion!M:M)</f>
        <v>#N/A</v>
      </c>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74" t="str">
        <f t="array" ref="L581">XLOOKUP(C:C,TSR_Completion!C:C,TSR_Completion!M:M)</f>
        <v>#N/A</v>
      </c>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74" t="str">
        <f t="array" ref="L582">XLOOKUP(C:C,TSR_Completion!C:C,TSR_Completion!M:M)</f>
        <v>#N/A</v>
      </c>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74" t="str">
        <f t="array" ref="L583">XLOOKUP(C:C,TSR_Completion!C:C,TSR_Completion!M:M)</f>
        <v>#N/A</v>
      </c>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74" t="str">
        <f t="array" ref="L584">XLOOKUP(C:C,TSR_Completion!C:C,TSR_Completion!M:M)</f>
        <v>#N/A</v>
      </c>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74" t="str">
        <f t="array" ref="L585">XLOOKUP(C:C,TSR_Completion!C:C,TSR_Completion!M:M)</f>
        <v>#N/A</v>
      </c>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74" t="str">
        <f t="array" ref="L586">XLOOKUP(C:C,TSR_Completion!C:C,TSR_Completion!M:M)</f>
        <v>#N/A</v>
      </c>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74" t="str">
        <f t="array" ref="L587">XLOOKUP(C:C,TSR_Completion!C:C,TSR_Completion!M:M)</f>
        <v>#N/A</v>
      </c>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74" t="str">
        <f t="array" ref="L588">XLOOKUP(C:C,TSR_Completion!C:C,TSR_Completion!M:M)</f>
        <v>#N/A</v>
      </c>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74" t="str">
        <f t="array" ref="L589">XLOOKUP(C:C,TSR_Completion!C:C,TSR_Completion!M:M)</f>
        <v>#N/A</v>
      </c>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74" t="str">
        <f t="array" ref="L590">XLOOKUP(C:C,TSR_Completion!C:C,TSR_Completion!M:M)</f>
        <v>#N/A</v>
      </c>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74" t="str">
        <f t="array" ref="L591">XLOOKUP(C:C,TSR_Completion!C:C,TSR_Completion!M:M)</f>
        <v>#N/A</v>
      </c>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74" t="str">
        <f t="array" ref="L592">XLOOKUP(C:C,TSR_Completion!C:C,TSR_Completion!M:M)</f>
        <v>#N/A</v>
      </c>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74" t="str">
        <f t="array" ref="L593">XLOOKUP(C:C,TSR_Completion!C:C,TSR_Completion!M:M)</f>
        <v>#N/A</v>
      </c>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74" t="str">
        <f t="array" ref="L594">XLOOKUP(C:C,TSR_Completion!C:C,TSR_Completion!M:M)</f>
        <v>#N/A</v>
      </c>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74" t="str">
        <f t="array" ref="L595">XLOOKUP(C:C,TSR_Completion!C:C,TSR_Completion!M:M)</f>
        <v>#N/A</v>
      </c>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74" t="str">
        <f t="array" ref="L596">XLOOKUP(C:C,TSR_Completion!C:C,TSR_Completion!M:M)</f>
        <v>#N/A</v>
      </c>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74" t="str">
        <f t="array" ref="L597">XLOOKUP(C:C,TSR_Completion!C:C,TSR_Completion!M:M)</f>
        <v>#N/A</v>
      </c>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74" t="str">
        <f t="array" ref="L598">XLOOKUP(C:C,TSR_Completion!C:C,TSR_Completion!M:M)</f>
        <v>#N/A</v>
      </c>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74" t="str">
        <f t="array" ref="L599">XLOOKUP(C:C,TSR_Completion!C:C,TSR_Completion!M:M)</f>
        <v>#N/A</v>
      </c>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74" t="str">
        <f t="array" ref="L600">XLOOKUP(C:C,TSR_Completion!C:C,TSR_Completion!M:M)</f>
        <v>#N/A</v>
      </c>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74" t="str">
        <f t="array" ref="L601">XLOOKUP(C:C,TSR_Completion!C:C,TSR_Completion!M:M)</f>
        <v>#N/A</v>
      </c>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74" t="str">
        <f t="array" ref="L602">XLOOKUP(C:C,TSR_Completion!C:C,TSR_Completion!M:M)</f>
        <v>#N/A</v>
      </c>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74" t="str">
        <f t="array" ref="L603">XLOOKUP(C:C,TSR_Completion!C:C,TSR_Completion!M:M)</f>
        <v>#N/A</v>
      </c>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74" t="str">
        <f t="array" ref="L604">XLOOKUP(C:C,TSR_Completion!C:C,TSR_Completion!M:M)</f>
        <v>#N/A</v>
      </c>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74" t="str">
        <f t="array" ref="L605">XLOOKUP(C:C,TSR_Completion!C:C,TSR_Completion!M:M)</f>
        <v>#N/A</v>
      </c>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74" t="str">
        <f t="array" ref="L606">XLOOKUP(C:C,TSR_Completion!C:C,TSR_Completion!M:M)</f>
        <v>#N/A</v>
      </c>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74" t="str">
        <f t="array" ref="L607">XLOOKUP(C:C,TSR_Completion!C:C,TSR_Completion!M:M)</f>
        <v>#N/A</v>
      </c>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74" t="str">
        <f t="array" ref="L608">XLOOKUP(C:C,TSR_Completion!C:C,TSR_Completion!M:M)</f>
        <v>#N/A</v>
      </c>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74" t="str">
        <f t="array" ref="L609">XLOOKUP(C:C,TSR_Completion!C:C,TSR_Completion!M:M)</f>
        <v>#N/A</v>
      </c>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74" t="str">
        <f t="array" ref="L610">XLOOKUP(C:C,TSR_Completion!C:C,TSR_Completion!M:M)</f>
        <v>#N/A</v>
      </c>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74" t="str">
        <f t="array" ref="L611">XLOOKUP(C:C,TSR_Completion!C:C,TSR_Completion!M:M)</f>
        <v>#N/A</v>
      </c>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74" t="str">
        <f t="array" ref="L612">XLOOKUP(C:C,TSR_Completion!C:C,TSR_Completion!M:M)</f>
        <v>#N/A</v>
      </c>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74" t="str">
        <f t="array" ref="L613">XLOOKUP(C:C,TSR_Completion!C:C,TSR_Completion!M:M)</f>
        <v>#N/A</v>
      </c>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74" t="str">
        <f t="array" ref="L614">XLOOKUP(C:C,TSR_Completion!C:C,TSR_Completion!M:M)</f>
        <v>#N/A</v>
      </c>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74" t="str">
        <f t="array" ref="L615">XLOOKUP(C:C,TSR_Completion!C:C,TSR_Completion!M:M)</f>
        <v>#N/A</v>
      </c>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74" t="str">
        <f t="array" ref="L616">XLOOKUP(C:C,TSR_Completion!C:C,TSR_Completion!M:M)</f>
        <v>#N/A</v>
      </c>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74" t="str">
        <f t="array" ref="L617">XLOOKUP(C:C,TSR_Completion!C:C,TSR_Completion!M:M)</f>
        <v>#N/A</v>
      </c>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74" t="str">
        <f t="array" ref="L618">XLOOKUP(C:C,TSR_Completion!C:C,TSR_Completion!M:M)</f>
        <v>#N/A</v>
      </c>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74" t="str">
        <f t="array" ref="L619">XLOOKUP(C:C,TSR_Completion!C:C,TSR_Completion!M:M)</f>
        <v>#N/A</v>
      </c>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74" t="str">
        <f t="array" ref="L620">XLOOKUP(C:C,TSR_Completion!C:C,TSR_Completion!M:M)</f>
        <v>#N/A</v>
      </c>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74" t="str">
        <f t="array" ref="L621">XLOOKUP(C:C,TSR_Completion!C:C,TSR_Completion!M:M)</f>
        <v>#N/A</v>
      </c>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74" t="str">
        <f t="array" ref="L622">XLOOKUP(C:C,TSR_Completion!C:C,TSR_Completion!M:M)</f>
        <v>#N/A</v>
      </c>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74" t="str">
        <f t="array" ref="L623">XLOOKUP(C:C,TSR_Completion!C:C,TSR_Completion!M:M)</f>
        <v>#N/A</v>
      </c>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74" t="str">
        <f t="array" ref="L624">XLOOKUP(C:C,TSR_Completion!C:C,TSR_Completion!M:M)</f>
        <v>#N/A</v>
      </c>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74" t="str">
        <f t="array" ref="L625">XLOOKUP(C:C,TSR_Completion!C:C,TSR_Completion!M:M)</f>
        <v>#N/A</v>
      </c>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74" t="str">
        <f t="array" ref="L626">XLOOKUP(C:C,TSR_Completion!C:C,TSR_Completion!M:M)</f>
        <v>#N/A</v>
      </c>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74" t="str">
        <f t="array" ref="L627">XLOOKUP(C:C,TSR_Completion!C:C,TSR_Completion!M:M)</f>
        <v>#N/A</v>
      </c>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74" t="str">
        <f t="array" ref="L628">XLOOKUP(C:C,TSR_Completion!C:C,TSR_Completion!M:M)</f>
        <v>#N/A</v>
      </c>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74" t="str">
        <f t="array" ref="L629">XLOOKUP(C:C,TSR_Completion!C:C,TSR_Completion!M:M)</f>
        <v>#N/A</v>
      </c>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74" t="str">
        <f t="array" ref="L630">XLOOKUP(C:C,TSR_Completion!C:C,TSR_Completion!M:M)</f>
        <v>#N/A</v>
      </c>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74" t="str">
        <f t="array" ref="L631">XLOOKUP(C:C,TSR_Completion!C:C,TSR_Completion!M:M)</f>
        <v>#N/A</v>
      </c>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74" t="str">
        <f t="array" ref="L632">XLOOKUP(C:C,TSR_Completion!C:C,TSR_Completion!M:M)</f>
        <v>#N/A</v>
      </c>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74" t="str">
        <f t="array" ref="L633">XLOOKUP(C:C,TSR_Completion!C:C,TSR_Completion!M:M)</f>
        <v>#N/A</v>
      </c>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74" t="str">
        <f t="array" ref="L634">XLOOKUP(C:C,TSR_Completion!C:C,TSR_Completion!M:M)</f>
        <v>#N/A</v>
      </c>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74" t="str">
        <f t="array" ref="L635">XLOOKUP(C:C,TSR_Completion!C:C,TSR_Completion!M:M)</f>
        <v>#N/A</v>
      </c>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74" t="str">
        <f t="array" ref="L636">XLOOKUP(C:C,TSR_Completion!C:C,TSR_Completion!M:M)</f>
        <v>#N/A</v>
      </c>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74" t="str">
        <f t="array" ref="L637">XLOOKUP(C:C,TSR_Completion!C:C,TSR_Completion!M:M)</f>
        <v>#N/A</v>
      </c>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74" t="str">
        <f t="array" ref="L638">XLOOKUP(C:C,TSR_Completion!C:C,TSR_Completion!M:M)</f>
        <v>#N/A</v>
      </c>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74" t="str">
        <f t="array" ref="L639">XLOOKUP(C:C,TSR_Completion!C:C,TSR_Completion!M:M)</f>
        <v>#N/A</v>
      </c>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74" t="str">
        <f t="array" ref="L640">XLOOKUP(C:C,TSR_Completion!C:C,TSR_Completion!M:M)</f>
        <v>#N/A</v>
      </c>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74" t="str">
        <f t="array" ref="L641">XLOOKUP(C:C,TSR_Completion!C:C,TSR_Completion!M:M)</f>
        <v>#N/A</v>
      </c>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74" t="str">
        <f t="array" ref="L642">XLOOKUP(C:C,TSR_Completion!C:C,TSR_Completion!M:M)</f>
        <v>#N/A</v>
      </c>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74" t="str">
        <f t="array" ref="L643">XLOOKUP(C:C,TSR_Completion!C:C,TSR_Completion!M:M)</f>
        <v>#N/A</v>
      </c>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74" t="str">
        <f t="array" ref="L644">XLOOKUP(C:C,TSR_Completion!C:C,TSR_Completion!M:M)</f>
        <v>#N/A</v>
      </c>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74" t="str">
        <f t="array" ref="L645">XLOOKUP(C:C,TSR_Completion!C:C,TSR_Completion!M:M)</f>
        <v>#N/A</v>
      </c>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74" t="str">
        <f t="array" ref="L646">XLOOKUP(C:C,TSR_Completion!C:C,TSR_Completion!M:M)</f>
        <v>#N/A</v>
      </c>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74" t="str">
        <f t="array" ref="L647">XLOOKUP(C:C,TSR_Completion!C:C,TSR_Completion!M:M)</f>
        <v>#N/A</v>
      </c>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74" t="str">
        <f t="array" ref="L648">XLOOKUP(C:C,TSR_Completion!C:C,TSR_Completion!M:M)</f>
        <v>#N/A</v>
      </c>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74" t="str">
        <f t="array" ref="L649">XLOOKUP(C:C,TSR_Completion!C:C,TSR_Completion!M:M)</f>
        <v>#N/A</v>
      </c>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74" t="str">
        <f t="array" ref="L650">XLOOKUP(C:C,TSR_Completion!C:C,TSR_Completion!M:M)</f>
        <v>#N/A</v>
      </c>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74" t="str">
        <f t="array" ref="L651">XLOOKUP(C:C,TSR_Completion!C:C,TSR_Completion!M:M)</f>
        <v>#N/A</v>
      </c>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74" t="str">
        <f t="array" ref="L652">XLOOKUP(C:C,TSR_Completion!C:C,TSR_Completion!M:M)</f>
        <v>#N/A</v>
      </c>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74" t="str">
        <f t="array" ref="L653">XLOOKUP(C:C,TSR_Completion!C:C,TSR_Completion!M:M)</f>
        <v>#N/A</v>
      </c>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74" t="str">
        <f t="array" ref="L654">XLOOKUP(C:C,TSR_Completion!C:C,TSR_Completion!M:M)</f>
        <v>#N/A</v>
      </c>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74" t="str">
        <f t="array" ref="L655">XLOOKUP(C:C,TSR_Completion!C:C,TSR_Completion!M:M)</f>
        <v>#N/A</v>
      </c>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74" t="str">
        <f t="array" ref="L656">XLOOKUP(C:C,TSR_Completion!C:C,TSR_Completion!M:M)</f>
        <v>#N/A</v>
      </c>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74" t="str">
        <f t="array" ref="L657">XLOOKUP(C:C,TSR_Completion!C:C,TSR_Completion!M:M)</f>
        <v>#N/A</v>
      </c>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74" t="str">
        <f t="array" ref="L658">XLOOKUP(C:C,TSR_Completion!C:C,TSR_Completion!M:M)</f>
        <v>#N/A</v>
      </c>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74" t="str">
        <f t="array" ref="L659">XLOOKUP(C:C,TSR_Completion!C:C,TSR_Completion!M:M)</f>
        <v>#N/A</v>
      </c>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74" t="str">
        <f t="array" ref="L660">XLOOKUP(C:C,TSR_Completion!C:C,TSR_Completion!M:M)</f>
        <v>#N/A</v>
      </c>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74" t="str">
        <f t="array" ref="L661">XLOOKUP(C:C,TSR_Completion!C:C,TSR_Completion!M:M)</f>
        <v>#N/A</v>
      </c>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74" t="str">
        <f t="array" ref="L662">XLOOKUP(C:C,TSR_Completion!C:C,TSR_Completion!M:M)</f>
        <v>#N/A</v>
      </c>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74" t="str">
        <f t="array" ref="L663">XLOOKUP(C:C,TSR_Completion!C:C,TSR_Completion!M:M)</f>
        <v>#N/A</v>
      </c>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74" t="str">
        <f t="array" ref="L664">XLOOKUP(C:C,TSR_Completion!C:C,TSR_Completion!M:M)</f>
        <v>#N/A</v>
      </c>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74" t="str">
        <f t="array" ref="L665">XLOOKUP(C:C,TSR_Completion!C:C,TSR_Completion!M:M)</f>
        <v>#N/A</v>
      </c>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74" t="str">
        <f t="array" ref="L666">XLOOKUP(C:C,TSR_Completion!C:C,TSR_Completion!M:M)</f>
        <v>#N/A</v>
      </c>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74" t="str">
        <f t="array" ref="L667">XLOOKUP(C:C,TSR_Completion!C:C,TSR_Completion!M:M)</f>
        <v>#N/A</v>
      </c>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74" t="str">
        <f t="array" ref="L668">XLOOKUP(C:C,TSR_Completion!C:C,TSR_Completion!M:M)</f>
        <v>#N/A</v>
      </c>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74" t="str">
        <f t="array" ref="L669">XLOOKUP(C:C,TSR_Completion!C:C,TSR_Completion!M:M)</f>
        <v>#N/A</v>
      </c>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74" t="str">
        <f t="array" ref="L670">XLOOKUP(C:C,TSR_Completion!C:C,TSR_Completion!M:M)</f>
        <v>#N/A</v>
      </c>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74" t="str">
        <f t="array" ref="L671">XLOOKUP(C:C,TSR_Completion!C:C,TSR_Completion!M:M)</f>
        <v>#N/A</v>
      </c>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74" t="str">
        <f t="array" ref="L672">XLOOKUP(C:C,TSR_Completion!C:C,TSR_Completion!M:M)</f>
        <v>#N/A</v>
      </c>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74" t="str">
        <f t="array" ref="L673">XLOOKUP(C:C,TSR_Completion!C:C,TSR_Completion!M:M)</f>
        <v>#N/A</v>
      </c>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74" t="str">
        <f t="array" ref="L674">XLOOKUP(C:C,TSR_Completion!C:C,TSR_Completion!M:M)</f>
        <v>#N/A</v>
      </c>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74" t="str">
        <f t="array" ref="L675">XLOOKUP(C:C,TSR_Completion!C:C,TSR_Completion!M:M)</f>
        <v>#N/A</v>
      </c>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74" t="str">
        <f t="array" ref="L676">XLOOKUP(C:C,TSR_Completion!C:C,TSR_Completion!M:M)</f>
        <v>#N/A</v>
      </c>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74" t="str">
        <f t="array" ref="L677">XLOOKUP(C:C,TSR_Completion!C:C,TSR_Completion!M:M)</f>
        <v>#N/A</v>
      </c>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74" t="str">
        <f t="array" ref="L678">XLOOKUP(C:C,TSR_Completion!C:C,TSR_Completion!M:M)</f>
        <v>#N/A</v>
      </c>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74" t="str">
        <f t="array" ref="L679">XLOOKUP(C:C,TSR_Completion!C:C,TSR_Completion!M:M)</f>
        <v>#N/A</v>
      </c>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74" t="str">
        <f t="array" ref="L680">XLOOKUP(C:C,TSR_Completion!C:C,TSR_Completion!M:M)</f>
        <v>#N/A</v>
      </c>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74" t="str">
        <f t="array" ref="L681">XLOOKUP(C:C,TSR_Completion!C:C,TSR_Completion!M:M)</f>
        <v>#N/A</v>
      </c>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74" t="str">
        <f t="array" ref="L682">XLOOKUP(C:C,TSR_Completion!C:C,TSR_Completion!M:M)</f>
        <v>#N/A</v>
      </c>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74" t="str">
        <f t="array" ref="L683">XLOOKUP(C:C,TSR_Completion!C:C,TSR_Completion!M:M)</f>
        <v>#N/A</v>
      </c>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74" t="str">
        <f t="array" ref="L684">XLOOKUP(C:C,TSR_Completion!C:C,TSR_Completion!M:M)</f>
        <v>#N/A</v>
      </c>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74" t="str">
        <f t="array" ref="L685">XLOOKUP(C:C,TSR_Completion!C:C,TSR_Completion!M:M)</f>
        <v>#N/A</v>
      </c>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74" t="str">
        <f t="array" ref="L686">XLOOKUP(C:C,TSR_Completion!C:C,TSR_Completion!M:M)</f>
        <v>#N/A</v>
      </c>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74" t="str">
        <f t="array" ref="L687">XLOOKUP(C:C,TSR_Completion!C:C,TSR_Completion!M:M)</f>
        <v>#N/A</v>
      </c>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74" t="str">
        <f t="array" ref="L688">XLOOKUP(C:C,TSR_Completion!C:C,TSR_Completion!M:M)</f>
        <v>#N/A</v>
      </c>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74" t="str">
        <f t="array" ref="L689">XLOOKUP(C:C,TSR_Completion!C:C,TSR_Completion!M:M)</f>
        <v>#N/A</v>
      </c>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74" t="str">
        <f t="array" ref="L690">XLOOKUP(C:C,TSR_Completion!C:C,TSR_Completion!M:M)</f>
        <v>#N/A</v>
      </c>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74" t="str">
        <f t="array" ref="L691">XLOOKUP(C:C,TSR_Completion!C:C,TSR_Completion!M:M)</f>
        <v>#N/A</v>
      </c>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74" t="str">
        <f t="array" ref="L692">XLOOKUP(C:C,TSR_Completion!C:C,TSR_Completion!M:M)</f>
        <v>#N/A</v>
      </c>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74" t="str">
        <f t="array" ref="L693">XLOOKUP(C:C,TSR_Completion!C:C,TSR_Completion!M:M)</f>
        <v>#N/A</v>
      </c>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74" t="str">
        <f t="array" ref="L694">XLOOKUP(C:C,TSR_Completion!C:C,TSR_Completion!M:M)</f>
        <v>#N/A</v>
      </c>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74" t="str">
        <f t="array" ref="L695">XLOOKUP(C:C,TSR_Completion!C:C,TSR_Completion!M:M)</f>
        <v>#N/A</v>
      </c>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74" t="str">
        <f t="array" ref="L696">XLOOKUP(C:C,TSR_Completion!C:C,TSR_Completion!M:M)</f>
        <v>#N/A</v>
      </c>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74" t="str">
        <f t="array" ref="L697">XLOOKUP(C:C,TSR_Completion!C:C,TSR_Completion!M:M)</f>
        <v>#N/A</v>
      </c>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74" t="str">
        <f t="array" ref="L698">XLOOKUP(C:C,TSR_Completion!C:C,TSR_Completion!M:M)</f>
        <v>#N/A</v>
      </c>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74" t="str">
        <f t="array" ref="L699">XLOOKUP(C:C,TSR_Completion!C:C,TSR_Completion!M:M)</f>
        <v>#N/A</v>
      </c>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74" t="str">
        <f t="array" ref="L700">XLOOKUP(C:C,TSR_Completion!C:C,TSR_Completion!M:M)</f>
        <v>#N/A</v>
      </c>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74" t="str">
        <f t="array" ref="L701">XLOOKUP(C:C,TSR_Completion!C:C,TSR_Completion!M:M)</f>
        <v>#N/A</v>
      </c>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74" t="str">
        <f t="array" ref="L702">XLOOKUP(C:C,TSR_Completion!C:C,TSR_Completion!M:M)</f>
        <v>#N/A</v>
      </c>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74" t="str">
        <f t="array" ref="L703">XLOOKUP(C:C,TSR_Completion!C:C,TSR_Completion!M:M)</f>
        <v>#N/A</v>
      </c>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74" t="str">
        <f t="array" ref="L704">XLOOKUP(C:C,TSR_Completion!C:C,TSR_Completion!M:M)</f>
        <v>#N/A</v>
      </c>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74" t="str">
        <f t="array" ref="L705">XLOOKUP(C:C,TSR_Completion!C:C,TSR_Completion!M:M)</f>
        <v>#N/A</v>
      </c>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74" t="str">
        <f t="array" ref="L706">XLOOKUP(C:C,TSR_Completion!C:C,TSR_Completion!M:M)</f>
        <v>#N/A</v>
      </c>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74" t="str">
        <f t="array" ref="L707">XLOOKUP(C:C,TSR_Completion!C:C,TSR_Completion!M:M)</f>
        <v>#N/A</v>
      </c>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74" t="str">
        <f t="array" ref="L708">XLOOKUP(C:C,TSR_Completion!C:C,TSR_Completion!M:M)</f>
        <v>#N/A</v>
      </c>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74" t="str">
        <f t="array" ref="L709">XLOOKUP(C:C,TSR_Completion!C:C,TSR_Completion!M:M)</f>
        <v>#N/A</v>
      </c>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74" t="str">
        <f t="array" ref="L710">XLOOKUP(C:C,TSR_Completion!C:C,TSR_Completion!M:M)</f>
        <v>#N/A</v>
      </c>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74" t="str">
        <f t="array" ref="L711">XLOOKUP(C:C,TSR_Completion!C:C,TSR_Completion!M:M)</f>
        <v>#N/A</v>
      </c>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74" t="str">
        <f t="array" ref="L712">XLOOKUP(C:C,TSR_Completion!C:C,TSR_Completion!M:M)</f>
        <v>#N/A</v>
      </c>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74" t="str">
        <f t="array" ref="L713">XLOOKUP(C:C,TSR_Completion!C:C,TSR_Completion!M:M)</f>
        <v>#N/A</v>
      </c>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74" t="str">
        <f t="array" ref="L714">XLOOKUP(C:C,TSR_Completion!C:C,TSR_Completion!M:M)</f>
        <v>#N/A</v>
      </c>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74" t="str">
        <f t="array" ref="L715">XLOOKUP(C:C,TSR_Completion!C:C,TSR_Completion!M:M)</f>
        <v>#N/A</v>
      </c>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74" t="str">
        <f t="array" ref="L716">XLOOKUP(C:C,TSR_Completion!C:C,TSR_Completion!M:M)</f>
        <v>#N/A</v>
      </c>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74" t="str">
        <f t="array" ref="L717">XLOOKUP(C:C,TSR_Completion!C:C,TSR_Completion!M:M)</f>
        <v>#N/A</v>
      </c>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74" t="str">
        <f t="array" ref="L718">XLOOKUP(C:C,TSR_Completion!C:C,TSR_Completion!M:M)</f>
        <v>#N/A</v>
      </c>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74" t="str">
        <f t="array" ref="L719">XLOOKUP(C:C,TSR_Completion!C:C,TSR_Completion!M:M)</f>
        <v>#N/A</v>
      </c>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74" t="str">
        <f t="array" ref="L720">XLOOKUP(C:C,TSR_Completion!C:C,TSR_Completion!M:M)</f>
        <v>#N/A</v>
      </c>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74" t="str">
        <f t="array" ref="L721">XLOOKUP(C:C,TSR_Completion!C:C,TSR_Completion!M:M)</f>
        <v>#N/A</v>
      </c>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74" t="str">
        <f t="array" ref="L722">XLOOKUP(C:C,TSR_Completion!C:C,TSR_Completion!M:M)</f>
        <v>#N/A</v>
      </c>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74" t="str">
        <f t="array" ref="L723">XLOOKUP(C:C,TSR_Completion!C:C,TSR_Completion!M:M)</f>
        <v>#N/A</v>
      </c>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74" t="str">
        <f t="array" ref="L724">XLOOKUP(C:C,TSR_Completion!C:C,TSR_Completion!M:M)</f>
        <v>#N/A</v>
      </c>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74" t="str">
        <f t="array" ref="L725">XLOOKUP(C:C,TSR_Completion!C:C,TSR_Completion!M:M)</f>
        <v>#N/A</v>
      </c>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74" t="str">
        <f t="array" ref="L726">XLOOKUP(C:C,TSR_Completion!C:C,TSR_Completion!M:M)</f>
        <v>#N/A</v>
      </c>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74" t="str">
        <f t="array" ref="L727">XLOOKUP(C:C,TSR_Completion!C:C,TSR_Completion!M:M)</f>
        <v>#N/A</v>
      </c>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74" t="str">
        <f t="array" ref="L728">XLOOKUP(C:C,TSR_Completion!C:C,TSR_Completion!M:M)</f>
        <v>#N/A</v>
      </c>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74" t="str">
        <f t="array" ref="L729">XLOOKUP(C:C,TSR_Completion!C:C,TSR_Completion!M:M)</f>
        <v>#N/A</v>
      </c>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74" t="str">
        <f t="array" ref="L730">XLOOKUP(C:C,TSR_Completion!C:C,TSR_Completion!M:M)</f>
        <v>#N/A</v>
      </c>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74" t="str">
        <f t="array" ref="L731">XLOOKUP(C:C,TSR_Completion!C:C,TSR_Completion!M:M)</f>
        <v>#N/A</v>
      </c>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74" t="str">
        <f t="array" ref="L732">XLOOKUP(C:C,TSR_Completion!C:C,TSR_Completion!M:M)</f>
        <v>#N/A</v>
      </c>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74" t="str">
        <f t="array" ref="L733">XLOOKUP(C:C,TSR_Completion!C:C,TSR_Completion!M:M)</f>
        <v>#N/A</v>
      </c>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74" t="str">
        <f t="array" ref="L734">XLOOKUP(C:C,TSR_Completion!C:C,TSR_Completion!M:M)</f>
        <v>#N/A</v>
      </c>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74" t="str">
        <f t="array" ref="L735">XLOOKUP(C:C,TSR_Completion!C:C,TSR_Completion!M:M)</f>
        <v>#N/A</v>
      </c>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74" t="str">
        <f t="array" ref="L736">XLOOKUP(C:C,TSR_Completion!C:C,TSR_Completion!M:M)</f>
        <v>#N/A</v>
      </c>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74" t="str">
        <f t="array" ref="L737">XLOOKUP(C:C,TSR_Completion!C:C,TSR_Completion!M:M)</f>
        <v>#N/A</v>
      </c>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74" t="str">
        <f t="array" ref="L738">XLOOKUP(C:C,TSR_Completion!C:C,TSR_Completion!M:M)</f>
        <v>#N/A</v>
      </c>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74" t="str">
        <f t="array" ref="L739">XLOOKUP(C:C,TSR_Completion!C:C,TSR_Completion!M:M)</f>
        <v>#N/A</v>
      </c>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74" t="str">
        <f t="array" ref="L740">XLOOKUP(C:C,TSR_Completion!C:C,TSR_Completion!M:M)</f>
        <v>#N/A</v>
      </c>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74" t="str">
        <f t="array" ref="L741">XLOOKUP(C:C,TSR_Completion!C:C,TSR_Completion!M:M)</f>
        <v>#N/A</v>
      </c>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74" t="str">
        <f t="array" ref="L742">XLOOKUP(C:C,TSR_Completion!C:C,TSR_Completion!M:M)</f>
        <v>#N/A</v>
      </c>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74" t="str">
        <f t="array" ref="L743">XLOOKUP(C:C,TSR_Completion!C:C,TSR_Completion!M:M)</f>
        <v>#N/A</v>
      </c>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74" t="str">
        <f t="array" ref="L744">XLOOKUP(C:C,TSR_Completion!C:C,TSR_Completion!M:M)</f>
        <v>#N/A</v>
      </c>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74" t="str">
        <f t="array" ref="L745">XLOOKUP(C:C,TSR_Completion!C:C,TSR_Completion!M:M)</f>
        <v>#N/A</v>
      </c>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74" t="str">
        <f t="array" ref="L746">XLOOKUP(C:C,TSR_Completion!C:C,TSR_Completion!M:M)</f>
        <v>#N/A</v>
      </c>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74" t="str">
        <f t="array" ref="L747">XLOOKUP(C:C,TSR_Completion!C:C,TSR_Completion!M:M)</f>
        <v>#N/A</v>
      </c>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74" t="str">
        <f t="array" ref="L748">XLOOKUP(C:C,TSR_Completion!C:C,TSR_Completion!M:M)</f>
        <v>#N/A</v>
      </c>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74" t="str">
        <f t="array" ref="L749">XLOOKUP(C:C,TSR_Completion!C:C,TSR_Completion!M:M)</f>
        <v>#N/A</v>
      </c>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74" t="str">
        <f t="array" ref="L750">XLOOKUP(C:C,TSR_Completion!C:C,TSR_Completion!M:M)</f>
        <v>#N/A</v>
      </c>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74" t="str">
        <f t="array" ref="L751">XLOOKUP(C:C,TSR_Completion!C:C,TSR_Completion!M:M)</f>
        <v>#N/A</v>
      </c>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74" t="str">
        <f t="array" ref="L752">XLOOKUP(C:C,TSR_Completion!C:C,TSR_Completion!M:M)</f>
        <v>#N/A</v>
      </c>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74" t="str">
        <f t="array" ref="L753">XLOOKUP(C:C,TSR_Completion!C:C,TSR_Completion!M:M)</f>
        <v>#N/A</v>
      </c>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74" t="str">
        <f t="array" ref="L754">XLOOKUP(C:C,TSR_Completion!C:C,TSR_Completion!M:M)</f>
        <v>#N/A</v>
      </c>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74" t="str">
        <f t="array" ref="L755">XLOOKUP(C:C,TSR_Completion!C:C,TSR_Completion!M:M)</f>
        <v>#N/A</v>
      </c>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74" t="str">
        <f t="array" ref="L756">XLOOKUP(C:C,TSR_Completion!C:C,TSR_Completion!M:M)</f>
        <v>#N/A</v>
      </c>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74" t="str">
        <f t="array" ref="L757">XLOOKUP(C:C,TSR_Completion!C:C,TSR_Completion!M:M)</f>
        <v>#N/A</v>
      </c>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74" t="str">
        <f t="array" ref="L758">XLOOKUP(C:C,TSR_Completion!C:C,TSR_Completion!M:M)</f>
        <v>#N/A</v>
      </c>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74" t="str">
        <f t="array" ref="L759">XLOOKUP(C:C,TSR_Completion!C:C,TSR_Completion!M:M)</f>
        <v>#N/A</v>
      </c>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74" t="str">
        <f t="array" ref="L760">XLOOKUP(C:C,TSR_Completion!C:C,TSR_Completion!M:M)</f>
        <v>#N/A</v>
      </c>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74" t="str">
        <f t="array" ref="L761">XLOOKUP(C:C,TSR_Completion!C:C,TSR_Completion!M:M)</f>
        <v>#N/A</v>
      </c>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74" t="str">
        <f t="array" ref="L762">XLOOKUP(C:C,TSR_Completion!C:C,TSR_Completion!M:M)</f>
        <v>#N/A</v>
      </c>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74" t="str">
        <f t="array" ref="L763">XLOOKUP(C:C,TSR_Completion!C:C,TSR_Completion!M:M)</f>
        <v>#N/A</v>
      </c>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74" t="str">
        <f t="array" ref="L764">XLOOKUP(C:C,TSR_Completion!C:C,TSR_Completion!M:M)</f>
        <v>#N/A</v>
      </c>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74" t="str">
        <f t="array" ref="L765">XLOOKUP(C:C,TSR_Completion!C:C,TSR_Completion!M:M)</f>
        <v>#N/A</v>
      </c>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74" t="str">
        <f t="array" ref="L766">XLOOKUP(C:C,TSR_Completion!C:C,TSR_Completion!M:M)</f>
        <v>#N/A</v>
      </c>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74" t="str">
        <f t="array" ref="L767">XLOOKUP(C:C,TSR_Completion!C:C,TSR_Completion!M:M)</f>
        <v>#N/A</v>
      </c>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74" t="str">
        <f t="array" ref="L768">XLOOKUP(C:C,TSR_Completion!C:C,TSR_Completion!M:M)</f>
        <v>#N/A</v>
      </c>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74" t="str">
        <f t="array" ref="L769">XLOOKUP(C:C,TSR_Completion!C:C,TSR_Completion!M:M)</f>
        <v>#N/A</v>
      </c>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74" t="str">
        <f t="array" ref="L770">XLOOKUP(C:C,TSR_Completion!C:C,TSR_Completion!M:M)</f>
        <v>#N/A</v>
      </c>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74" t="str">
        <f t="array" ref="L771">XLOOKUP(C:C,TSR_Completion!C:C,TSR_Completion!M:M)</f>
        <v>#N/A</v>
      </c>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74" t="str">
        <f t="array" ref="L772">XLOOKUP(C:C,TSR_Completion!C:C,TSR_Completion!M:M)</f>
        <v>#N/A</v>
      </c>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74" t="str">
        <f t="array" ref="L773">XLOOKUP(C:C,TSR_Completion!C:C,TSR_Completion!M:M)</f>
        <v>#N/A</v>
      </c>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74" t="str">
        <f t="array" ref="L774">XLOOKUP(C:C,TSR_Completion!C:C,TSR_Completion!M:M)</f>
        <v>#N/A</v>
      </c>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74" t="str">
        <f t="array" ref="L775">XLOOKUP(C:C,TSR_Completion!C:C,TSR_Completion!M:M)</f>
        <v>#N/A</v>
      </c>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74" t="str">
        <f t="array" ref="L776">XLOOKUP(C:C,TSR_Completion!C:C,TSR_Completion!M:M)</f>
        <v>#N/A</v>
      </c>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74" t="str">
        <f t="array" ref="L777">XLOOKUP(C:C,TSR_Completion!C:C,TSR_Completion!M:M)</f>
        <v>#N/A</v>
      </c>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74" t="str">
        <f t="array" ref="L778">XLOOKUP(C:C,TSR_Completion!C:C,TSR_Completion!M:M)</f>
        <v>#N/A</v>
      </c>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74" t="str">
        <f t="array" ref="L779">XLOOKUP(C:C,TSR_Completion!C:C,TSR_Completion!M:M)</f>
        <v>#N/A</v>
      </c>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74" t="str">
        <f t="array" ref="L780">XLOOKUP(C:C,TSR_Completion!C:C,TSR_Completion!M:M)</f>
        <v>#N/A</v>
      </c>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74" t="str">
        <f t="array" ref="L781">XLOOKUP(C:C,TSR_Completion!C:C,TSR_Completion!M:M)</f>
        <v>#N/A</v>
      </c>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74" t="str">
        <f t="array" ref="L782">XLOOKUP(C:C,TSR_Completion!C:C,TSR_Completion!M:M)</f>
        <v>#N/A</v>
      </c>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74" t="str">
        <f t="array" ref="L783">XLOOKUP(C:C,TSR_Completion!C:C,TSR_Completion!M:M)</f>
        <v>#N/A</v>
      </c>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74" t="str">
        <f t="array" ref="L784">XLOOKUP(C:C,TSR_Completion!C:C,TSR_Completion!M:M)</f>
        <v>#N/A</v>
      </c>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74" t="str">
        <f t="array" ref="L785">XLOOKUP(C:C,TSR_Completion!C:C,TSR_Completion!M:M)</f>
        <v>#N/A</v>
      </c>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74" t="str">
        <f t="array" ref="L786">XLOOKUP(C:C,TSR_Completion!C:C,TSR_Completion!M:M)</f>
        <v>#N/A</v>
      </c>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74" t="str">
        <f t="array" ref="L787">XLOOKUP(C:C,TSR_Completion!C:C,TSR_Completion!M:M)</f>
        <v>#N/A</v>
      </c>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74" t="str">
        <f t="array" ref="L788">XLOOKUP(C:C,TSR_Completion!C:C,TSR_Completion!M:M)</f>
        <v>#N/A</v>
      </c>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74" t="str">
        <f t="array" ref="L789">XLOOKUP(C:C,TSR_Completion!C:C,TSR_Completion!M:M)</f>
        <v>#N/A</v>
      </c>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74" t="str">
        <f t="array" ref="L790">XLOOKUP(C:C,TSR_Completion!C:C,TSR_Completion!M:M)</f>
        <v>#N/A</v>
      </c>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74" t="str">
        <f t="array" ref="L791">XLOOKUP(C:C,TSR_Completion!C:C,TSR_Completion!M:M)</f>
        <v>#N/A</v>
      </c>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74" t="str">
        <f t="array" ref="L792">XLOOKUP(C:C,TSR_Completion!C:C,TSR_Completion!M:M)</f>
        <v>#N/A</v>
      </c>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74" t="str">
        <f t="array" ref="L793">XLOOKUP(C:C,TSR_Completion!C:C,TSR_Completion!M:M)</f>
        <v>#N/A</v>
      </c>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74" t="str">
        <f t="array" ref="L794">XLOOKUP(C:C,TSR_Completion!C:C,TSR_Completion!M:M)</f>
        <v>#N/A</v>
      </c>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74" t="str">
        <f t="array" ref="L795">XLOOKUP(C:C,TSR_Completion!C:C,TSR_Completion!M:M)</f>
        <v>#N/A</v>
      </c>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74" t="str">
        <f t="array" ref="L796">XLOOKUP(C:C,TSR_Completion!C:C,TSR_Completion!M:M)</f>
        <v>#N/A</v>
      </c>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74" t="str">
        <f t="array" ref="L797">XLOOKUP(C:C,TSR_Completion!C:C,TSR_Completion!M:M)</f>
        <v>#N/A</v>
      </c>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74" t="str">
        <f t="array" ref="L798">XLOOKUP(C:C,TSR_Completion!C:C,TSR_Completion!M:M)</f>
        <v>#N/A</v>
      </c>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74" t="str">
        <f t="array" ref="L799">XLOOKUP(C:C,TSR_Completion!C:C,TSR_Completion!M:M)</f>
        <v>#N/A</v>
      </c>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74" t="str">
        <f t="array" ref="L800">XLOOKUP(C:C,TSR_Completion!C:C,TSR_Completion!M:M)</f>
        <v>#N/A</v>
      </c>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74" t="str">
        <f t="array" ref="L801">XLOOKUP(C:C,TSR_Completion!C:C,TSR_Completion!M:M)</f>
        <v>#N/A</v>
      </c>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74" t="str">
        <f t="array" ref="L802">XLOOKUP(C:C,TSR_Completion!C:C,TSR_Completion!M:M)</f>
        <v>#N/A</v>
      </c>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74" t="str">
        <f t="array" ref="L803">XLOOKUP(C:C,TSR_Completion!C:C,TSR_Completion!M:M)</f>
        <v>#N/A</v>
      </c>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74" t="str">
        <f t="array" ref="L804">XLOOKUP(C:C,TSR_Completion!C:C,TSR_Completion!M:M)</f>
        <v>#N/A</v>
      </c>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74" t="str">
        <f t="array" ref="L805">XLOOKUP(C:C,TSR_Completion!C:C,TSR_Completion!M:M)</f>
        <v>#N/A</v>
      </c>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74" t="str">
        <f t="array" ref="L806">XLOOKUP(C:C,TSR_Completion!C:C,TSR_Completion!M:M)</f>
        <v>#N/A</v>
      </c>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74" t="str">
        <f t="array" ref="L807">XLOOKUP(C:C,TSR_Completion!C:C,TSR_Completion!M:M)</f>
        <v>#N/A</v>
      </c>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74" t="str">
        <f t="array" ref="L808">XLOOKUP(C:C,TSR_Completion!C:C,TSR_Completion!M:M)</f>
        <v>#N/A</v>
      </c>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74" t="str">
        <f t="array" ref="L809">XLOOKUP(C:C,TSR_Completion!C:C,TSR_Completion!M:M)</f>
        <v>#N/A</v>
      </c>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74" t="str">
        <f t="array" ref="L810">XLOOKUP(C:C,TSR_Completion!C:C,TSR_Completion!M:M)</f>
        <v>#N/A</v>
      </c>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74" t="str">
        <f t="array" ref="L811">XLOOKUP(C:C,TSR_Completion!C:C,TSR_Completion!M:M)</f>
        <v>#N/A</v>
      </c>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74" t="str">
        <f t="array" ref="L812">XLOOKUP(C:C,TSR_Completion!C:C,TSR_Completion!M:M)</f>
        <v>#N/A</v>
      </c>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74" t="str">
        <f t="array" ref="L813">XLOOKUP(C:C,TSR_Completion!C:C,TSR_Completion!M:M)</f>
        <v>#N/A</v>
      </c>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74" t="str">
        <f t="array" ref="L814">XLOOKUP(C:C,TSR_Completion!C:C,TSR_Completion!M:M)</f>
        <v>#N/A</v>
      </c>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74" t="str">
        <f t="array" ref="L815">XLOOKUP(C:C,TSR_Completion!C:C,TSR_Completion!M:M)</f>
        <v>#N/A</v>
      </c>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74" t="str">
        <f t="array" ref="L816">XLOOKUP(C:C,TSR_Completion!C:C,TSR_Completion!M:M)</f>
        <v>#N/A</v>
      </c>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74" t="str">
        <f t="array" ref="L817">XLOOKUP(C:C,TSR_Completion!C:C,TSR_Completion!M:M)</f>
        <v>#N/A</v>
      </c>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74" t="str">
        <f t="array" ref="L818">XLOOKUP(C:C,TSR_Completion!C:C,TSR_Completion!M:M)</f>
        <v>#N/A</v>
      </c>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74" t="str">
        <f t="array" ref="L819">XLOOKUP(C:C,TSR_Completion!C:C,TSR_Completion!M:M)</f>
        <v>#N/A</v>
      </c>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74" t="str">
        <f t="array" ref="L820">XLOOKUP(C:C,TSR_Completion!C:C,TSR_Completion!M:M)</f>
        <v>#N/A</v>
      </c>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74" t="str">
        <f t="array" ref="L821">XLOOKUP(C:C,TSR_Completion!C:C,TSR_Completion!M:M)</f>
        <v>#N/A</v>
      </c>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74" t="str">
        <f t="array" ref="L822">XLOOKUP(C:C,TSR_Completion!C:C,TSR_Completion!M:M)</f>
        <v>#N/A</v>
      </c>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74" t="str">
        <f t="array" ref="L823">XLOOKUP(C:C,TSR_Completion!C:C,TSR_Completion!M:M)</f>
        <v>#N/A</v>
      </c>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74" t="str">
        <f t="array" ref="L824">XLOOKUP(C:C,TSR_Completion!C:C,TSR_Completion!M:M)</f>
        <v>#N/A</v>
      </c>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74" t="str">
        <f t="array" ref="L825">XLOOKUP(C:C,TSR_Completion!C:C,TSR_Completion!M:M)</f>
        <v>#N/A</v>
      </c>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74" t="str">
        <f t="array" ref="L826">XLOOKUP(C:C,TSR_Completion!C:C,TSR_Completion!M:M)</f>
        <v>#N/A</v>
      </c>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74" t="str">
        <f t="array" ref="L827">XLOOKUP(C:C,TSR_Completion!C:C,TSR_Completion!M:M)</f>
        <v>#N/A</v>
      </c>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74" t="str">
        <f t="array" ref="L828">XLOOKUP(C:C,TSR_Completion!C:C,TSR_Completion!M:M)</f>
        <v>#N/A</v>
      </c>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74" t="str">
        <f t="array" ref="L829">XLOOKUP(C:C,TSR_Completion!C:C,TSR_Completion!M:M)</f>
        <v>#N/A</v>
      </c>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74" t="str">
        <f t="array" ref="L830">XLOOKUP(C:C,TSR_Completion!C:C,TSR_Completion!M:M)</f>
        <v>#N/A</v>
      </c>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74" t="str">
        <f t="array" ref="L831">XLOOKUP(C:C,TSR_Completion!C:C,TSR_Completion!M:M)</f>
        <v>#N/A</v>
      </c>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74" t="str">
        <f t="array" ref="L832">XLOOKUP(C:C,TSR_Completion!C:C,TSR_Completion!M:M)</f>
        <v>#N/A</v>
      </c>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74" t="str">
        <f t="array" ref="L833">XLOOKUP(C:C,TSR_Completion!C:C,TSR_Completion!M:M)</f>
        <v>#N/A</v>
      </c>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74" t="str">
        <f t="array" ref="L834">XLOOKUP(C:C,TSR_Completion!C:C,TSR_Completion!M:M)</f>
        <v>#N/A</v>
      </c>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74" t="str">
        <f t="array" ref="L835">XLOOKUP(C:C,TSR_Completion!C:C,TSR_Completion!M:M)</f>
        <v>#N/A</v>
      </c>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74" t="str">
        <f t="array" ref="L836">XLOOKUP(C:C,TSR_Completion!C:C,TSR_Completion!M:M)</f>
        <v>#N/A</v>
      </c>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74" t="str">
        <f t="array" ref="L837">XLOOKUP(C:C,TSR_Completion!C:C,TSR_Completion!M:M)</f>
        <v>#N/A</v>
      </c>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74" t="str">
        <f t="array" ref="L838">XLOOKUP(C:C,TSR_Completion!C:C,TSR_Completion!M:M)</f>
        <v>#N/A</v>
      </c>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74" t="str">
        <f t="array" ref="L839">XLOOKUP(C:C,TSR_Completion!C:C,TSR_Completion!M:M)</f>
        <v>#N/A</v>
      </c>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74" t="str">
        <f t="array" ref="L840">XLOOKUP(C:C,TSR_Completion!C:C,TSR_Completion!M:M)</f>
        <v>#N/A</v>
      </c>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74" t="str">
        <f t="array" ref="L841">XLOOKUP(C:C,TSR_Completion!C:C,TSR_Completion!M:M)</f>
        <v>#N/A</v>
      </c>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74" t="str">
        <f t="array" ref="L842">XLOOKUP(C:C,TSR_Completion!C:C,TSR_Completion!M:M)</f>
        <v>#N/A</v>
      </c>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74" t="str">
        <f t="array" ref="L843">XLOOKUP(C:C,TSR_Completion!C:C,TSR_Completion!M:M)</f>
        <v>#N/A</v>
      </c>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74" t="str">
        <f t="array" ref="L844">XLOOKUP(C:C,TSR_Completion!C:C,TSR_Completion!M:M)</f>
        <v>#N/A</v>
      </c>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74" t="str">
        <f t="array" ref="L845">XLOOKUP(C:C,TSR_Completion!C:C,TSR_Completion!M:M)</f>
        <v>#N/A</v>
      </c>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74" t="str">
        <f t="array" ref="L846">XLOOKUP(C:C,TSR_Completion!C:C,TSR_Completion!M:M)</f>
        <v>#N/A</v>
      </c>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74" t="str">
        <f t="array" ref="L847">XLOOKUP(C:C,TSR_Completion!C:C,TSR_Completion!M:M)</f>
        <v>#N/A</v>
      </c>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74" t="str">
        <f t="array" ref="L848">XLOOKUP(C:C,TSR_Completion!C:C,TSR_Completion!M:M)</f>
        <v>#N/A</v>
      </c>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74" t="str">
        <f t="array" ref="L849">XLOOKUP(C:C,TSR_Completion!C:C,TSR_Completion!M:M)</f>
        <v>#N/A</v>
      </c>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74" t="str">
        <f t="array" ref="L850">XLOOKUP(C:C,TSR_Completion!C:C,TSR_Completion!M:M)</f>
        <v>#N/A</v>
      </c>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74" t="str">
        <f t="array" ref="L851">XLOOKUP(C:C,TSR_Completion!C:C,TSR_Completion!M:M)</f>
        <v>#N/A</v>
      </c>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74" t="str">
        <f t="array" ref="L852">XLOOKUP(C:C,TSR_Completion!C:C,TSR_Completion!M:M)</f>
        <v>#N/A</v>
      </c>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74" t="str">
        <f t="array" ref="L853">XLOOKUP(C:C,TSR_Completion!C:C,TSR_Completion!M:M)</f>
        <v>#N/A</v>
      </c>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74" t="str">
        <f t="array" ref="L854">XLOOKUP(C:C,TSR_Completion!C:C,TSR_Completion!M:M)</f>
        <v>#N/A</v>
      </c>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74" t="str">
        <f t="array" ref="L855">XLOOKUP(C:C,TSR_Completion!C:C,TSR_Completion!M:M)</f>
        <v>#N/A</v>
      </c>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74" t="str">
        <f t="array" ref="L856">XLOOKUP(C:C,TSR_Completion!C:C,TSR_Completion!M:M)</f>
        <v>#N/A</v>
      </c>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74" t="str">
        <f t="array" ref="L857">XLOOKUP(C:C,TSR_Completion!C:C,TSR_Completion!M:M)</f>
        <v>#N/A</v>
      </c>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74" t="str">
        <f t="array" ref="L858">XLOOKUP(C:C,TSR_Completion!C:C,TSR_Completion!M:M)</f>
        <v>#N/A</v>
      </c>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74" t="str">
        <f t="array" ref="L859">XLOOKUP(C:C,TSR_Completion!C:C,TSR_Completion!M:M)</f>
        <v>#N/A</v>
      </c>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74" t="str">
        <f t="array" ref="L860">XLOOKUP(C:C,TSR_Completion!C:C,TSR_Completion!M:M)</f>
        <v>#N/A</v>
      </c>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74" t="str">
        <f t="array" ref="L861">XLOOKUP(C:C,TSR_Completion!C:C,TSR_Completion!M:M)</f>
        <v>#N/A</v>
      </c>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74" t="str">
        <f t="array" ref="L862">XLOOKUP(C:C,TSR_Completion!C:C,TSR_Completion!M:M)</f>
        <v>#N/A</v>
      </c>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74" t="str">
        <f t="array" ref="L863">XLOOKUP(C:C,TSR_Completion!C:C,TSR_Completion!M:M)</f>
        <v>#N/A</v>
      </c>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74" t="str">
        <f t="array" ref="L864">XLOOKUP(C:C,TSR_Completion!C:C,TSR_Completion!M:M)</f>
        <v>#N/A</v>
      </c>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74" t="str">
        <f t="array" ref="L865">XLOOKUP(C:C,TSR_Completion!C:C,TSR_Completion!M:M)</f>
        <v>#N/A</v>
      </c>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74" t="str">
        <f t="array" ref="L866">XLOOKUP(C:C,TSR_Completion!C:C,TSR_Completion!M:M)</f>
        <v>#N/A</v>
      </c>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74" t="str">
        <f t="array" ref="L867">XLOOKUP(C:C,TSR_Completion!C:C,TSR_Completion!M:M)</f>
        <v>#N/A</v>
      </c>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74" t="str">
        <f t="array" ref="L868">XLOOKUP(C:C,TSR_Completion!C:C,TSR_Completion!M:M)</f>
        <v>#N/A</v>
      </c>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74" t="str">
        <f t="array" ref="L869">XLOOKUP(C:C,TSR_Completion!C:C,TSR_Completion!M:M)</f>
        <v>#N/A</v>
      </c>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74" t="str">
        <f t="array" ref="L870">XLOOKUP(C:C,TSR_Completion!C:C,TSR_Completion!M:M)</f>
        <v>#N/A</v>
      </c>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74" t="str">
        <f t="array" ref="L871">XLOOKUP(C:C,TSR_Completion!C:C,TSR_Completion!M:M)</f>
        <v>#N/A</v>
      </c>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74" t="str">
        <f t="array" ref="L872">XLOOKUP(C:C,TSR_Completion!C:C,TSR_Completion!M:M)</f>
        <v>#N/A</v>
      </c>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74" t="str">
        <f t="array" ref="L873">XLOOKUP(C:C,TSR_Completion!C:C,TSR_Completion!M:M)</f>
        <v>#N/A</v>
      </c>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74" t="str">
        <f t="array" ref="L874">XLOOKUP(C:C,TSR_Completion!C:C,TSR_Completion!M:M)</f>
        <v>#N/A</v>
      </c>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74" t="str">
        <f t="array" ref="L875">XLOOKUP(C:C,TSR_Completion!C:C,TSR_Completion!M:M)</f>
        <v>#N/A</v>
      </c>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74" t="str">
        <f t="array" ref="L876">XLOOKUP(C:C,TSR_Completion!C:C,TSR_Completion!M:M)</f>
        <v>#N/A</v>
      </c>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74" t="str">
        <f t="array" ref="L877">XLOOKUP(C:C,TSR_Completion!C:C,TSR_Completion!M:M)</f>
        <v>#N/A</v>
      </c>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74" t="str">
        <f t="array" ref="L878">XLOOKUP(C:C,TSR_Completion!C:C,TSR_Completion!M:M)</f>
        <v>#N/A</v>
      </c>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74" t="str">
        <f t="array" ref="L879">XLOOKUP(C:C,TSR_Completion!C:C,TSR_Completion!M:M)</f>
        <v>#N/A</v>
      </c>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74" t="str">
        <f t="array" ref="L880">XLOOKUP(C:C,TSR_Completion!C:C,TSR_Completion!M:M)</f>
        <v>#N/A</v>
      </c>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74" t="str">
        <f t="array" ref="L881">XLOOKUP(C:C,TSR_Completion!C:C,TSR_Completion!M:M)</f>
        <v>#N/A</v>
      </c>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74" t="str">
        <f t="array" ref="L882">XLOOKUP(C:C,TSR_Completion!C:C,TSR_Completion!M:M)</f>
        <v>#N/A</v>
      </c>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74" t="str">
        <f t="array" ref="L883">XLOOKUP(C:C,TSR_Completion!C:C,TSR_Completion!M:M)</f>
        <v>#N/A</v>
      </c>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74" t="str">
        <f t="array" ref="L884">XLOOKUP(C:C,TSR_Completion!C:C,TSR_Completion!M:M)</f>
        <v>#N/A</v>
      </c>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74" t="str">
        <f t="array" ref="L885">XLOOKUP(C:C,TSR_Completion!C:C,TSR_Completion!M:M)</f>
        <v>#N/A</v>
      </c>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74" t="str">
        <f t="array" ref="L886">XLOOKUP(C:C,TSR_Completion!C:C,TSR_Completion!M:M)</f>
        <v>#N/A</v>
      </c>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74" t="str">
        <f t="array" ref="L887">XLOOKUP(C:C,TSR_Completion!C:C,TSR_Completion!M:M)</f>
        <v>#N/A</v>
      </c>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74" t="str">
        <f t="array" ref="L888">XLOOKUP(C:C,TSR_Completion!C:C,TSR_Completion!M:M)</f>
        <v>#N/A</v>
      </c>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74" t="str">
        <f t="array" ref="L889">XLOOKUP(C:C,TSR_Completion!C:C,TSR_Completion!M:M)</f>
        <v>#N/A</v>
      </c>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74" t="str">
        <f t="array" ref="L890">XLOOKUP(C:C,TSR_Completion!C:C,TSR_Completion!M:M)</f>
        <v>#N/A</v>
      </c>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74" t="str">
        <f t="array" ref="L891">XLOOKUP(C:C,TSR_Completion!C:C,TSR_Completion!M:M)</f>
        <v>#N/A</v>
      </c>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74" t="str">
        <f t="array" ref="L892">XLOOKUP(C:C,TSR_Completion!C:C,TSR_Completion!M:M)</f>
        <v>#N/A</v>
      </c>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74" t="str">
        <f t="array" ref="L893">XLOOKUP(C:C,TSR_Completion!C:C,TSR_Completion!M:M)</f>
        <v>#N/A</v>
      </c>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74" t="str">
        <f t="array" ref="L894">XLOOKUP(C:C,TSR_Completion!C:C,TSR_Completion!M:M)</f>
        <v>#N/A</v>
      </c>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74" t="str">
        <f t="array" ref="L895">XLOOKUP(C:C,TSR_Completion!C:C,TSR_Completion!M:M)</f>
        <v>#N/A</v>
      </c>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74" t="str">
        <f t="array" ref="L896">XLOOKUP(C:C,TSR_Completion!C:C,TSR_Completion!M:M)</f>
        <v>#N/A</v>
      </c>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74" t="str">
        <f t="array" ref="L897">XLOOKUP(C:C,TSR_Completion!C:C,TSR_Completion!M:M)</f>
        <v>#N/A</v>
      </c>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74" t="str">
        <f t="array" ref="L898">XLOOKUP(C:C,TSR_Completion!C:C,TSR_Completion!M:M)</f>
        <v>#N/A</v>
      </c>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74" t="str">
        <f t="array" ref="L899">XLOOKUP(C:C,TSR_Completion!C:C,TSR_Completion!M:M)</f>
        <v>#N/A</v>
      </c>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74" t="str">
        <f t="array" ref="L900">XLOOKUP(C:C,TSR_Completion!C:C,TSR_Completion!M:M)</f>
        <v>#N/A</v>
      </c>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74" t="str">
        <f t="array" ref="L901">XLOOKUP(C:C,TSR_Completion!C:C,TSR_Completion!M:M)</f>
        <v>#N/A</v>
      </c>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74" t="str">
        <f t="array" ref="L902">XLOOKUP(C:C,TSR_Completion!C:C,TSR_Completion!M:M)</f>
        <v>#N/A</v>
      </c>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74" t="str">
        <f t="array" ref="L903">XLOOKUP(C:C,TSR_Completion!C:C,TSR_Completion!M:M)</f>
        <v>#N/A</v>
      </c>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74" t="str">
        <f t="array" ref="L904">XLOOKUP(C:C,TSR_Completion!C:C,TSR_Completion!M:M)</f>
        <v>#N/A</v>
      </c>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74" t="str">
        <f t="array" ref="L905">XLOOKUP(C:C,TSR_Completion!C:C,TSR_Completion!M:M)</f>
        <v>#N/A</v>
      </c>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74" t="str">
        <f t="array" ref="L906">XLOOKUP(C:C,TSR_Completion!C:C,TSR_Completion!M:M)</f>
        <v>#N/A</v>
      </c>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74" t="str">
        <f t="array" ref="L907">XLOOKUP(C:C,TSR_Completion!C:C,TSR_Completion!M:M)</f>
        <v>#N/A</v>
      </c>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74" t="str">
        <f t="array" ref="L908">XLOOKUP(C:C,TSR_Completion!C:C,TSR_Completion!M:M)</f>
        <v>#N/A</v>
      </c>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74" t="str">
        <f t="array" ref="L909">XLOOKUP(C:C,TSR_Completion!C:C,TSR_Completion!M:M)</f>
        <v>#N/A</v>
      </c>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74" t="str">
        <f t="array" ref="L910">XLOOKUP(C:C,TSR_Completion!C:C,TSR_Completion!M:M)</f>
        <v>#N/A</v>
      </c>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74" t="str">
        <f t="array" ref="L911">XLOOKUP(C:C,TSR_Completion!C:C,TSR_Completion!M:M)</f>
        <v>#N/A</v>
      </c>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74" t="str">
        <f t="array" ref="L912">XLOOKUP(C:C,TSR_Completion!C:C,TSR_Completion!M:M)</f>
        <v>#N/A</v>
      </c>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74" t="str">
        <f t="array" ref="L913">XLOOKUP(C:C,TSR_Completion!C:C,TSR_Completion!M:M)</f>
        <v>#N/A</v>
      </c>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74" t="str">
        <f t="array" ref="L914">XLOOKUP(C:C,TSR_Completion!C:C,TSR_Completion!M:M)</f>
        <v>#N/A</v>
      </c>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74" t="str">
        <f t="array" ref="L915">XLOOKUP(C:C,TSR_Completion!C:C,TSR_Completion!M:M)</f>
        <v>#N/A</v>
      </c>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74" t="str">
        <f t="array" ref="L916">XLOOKUP(C:C,TSR_Completion!C:C,TSR_Completion!M:M)</f>
        <v>#N/A</v>
      </c>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74" t="str">
        <f t="array" ref="L917">XLOOKUP(C:C,TSR_Completion!C:C,TSR_Completion!M:M)</f>
        <v>#N/A</v>
      </c>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74" t="str">
        <f t="array" ref="L918">XLOOKUP(C:C,TSR_Completion!C:C,TSR_Completion!M:M)</f>
        <v>#N/A</v>
      </c>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74" t="str">
        <f t="array" ref="L919">XLOOKUP(C:C,TSR_Completion!C:C,TSR_Completion!M:M)</f>
        <v>#N/A</v>
      </c>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74" t="str">
        <f t="array" ref="L920">XLOOKUP(C:C,TSR_Completion!C:C,TSR_Completion!M:M)</f>
        <v>#N/A</v>
      </c>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74" t="str">
        <f t="array" ref="L921">XLOOKUP(C:C,TSR_Completion!C:C,TSR_Completion!M:M)</f>
        <v>#N/A</v>
      </c>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74" t="str">
        <f t="array" ref="L922">XLOOKUP(C:C,TSR_Completion!C:C,TSR_Completion!M:M)</f>
        <v>#N/A</v>
      </c>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74" t="str">
        <f t="array" ref="L923">XLOOKUP(C:C,TSR_Completion!C:C,TSR_Completion!M:M)</f>
        <v>#N/A</v>
      </c>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74" t="str">
        <f t="array" ref="L924">XLOOKUP(C:C,TSR_Completion!C:C,TSR_Completion!M:M)</f>
        <v>#N/A</v>
      </c>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74" t="str">
        <f t="array" ref="L925">XLOOKUP(C:C,TSR_Completion!C:C,TSR_Completion!M:M)</f>
        <v>#N/A</v>
      </c>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74" t="str">
        <f t="array" ref="L926">XLOOKUP(C:C,TSR_Completion!C:C,TSR_Completion!M:M)</f>
        <v>#N/A</v>
      </c>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74" t="str">
        <f t="array" ref="L927">XLOOKUP(C:C,TSR_Completion!C:C,TSR_Completion!M:M)</f>
        <v>#N/A</v>
      </c>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74" t="str">
        <f t="array" ref="L928">XLOOKUP(C:C,TSR_Completion!C:C,TSR_Completion!M:M)</f>
        <v>#N/A</v>
      </c>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74" t="str">
        <f t="array" ref="L929">XLOOKUP(C:C,TSR_Completion!C:C,TSR_Completion!M:M)</f>
        <v>#N/A</v>
      </c>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74" t="str">
        <f t="array" ref="L930">XLOOKUP(C:C,TSR_Completion!C:C,TSR_Completion!M:M)</f>
        <v>#N/A</v>
      </c>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74" t="str">
        <f t="array" ref="L931">XLOOKUP(C:C,TSR_Completion!C:C,TSR_Completion!M:M)</f>
        <v>#N/A</v>
      </c>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74" t="str">
        <f t="array" ref="L932">XLOOKUP(C:C,TSR_Completion!C:C,TSR_Completion!M:M)</f>
        <v>#N/A</v>
      </c>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74" t="str">
        <f t="array" ref="L933">XLOOKUP(C:C,TSR_Completion!C:C,TSR_Completion!M:M)</f>
        <v>#N/A</v>
      </c>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74" t="str">
        <f t="array" ref="L934">XLOOKUP(C:C,TSR_Completion!C:C,TSR_Completion!M:M)</f>
        <v>#N/A</v>
      </c>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74" t="str">
        <f t="array" ref="L935">XLOOKUP(C:C,TSR_Completion!C:C,TSR_Completion!M:M)</f>
        <v>#N/A</v>
      </c>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74" t="str">
        <f t="array" ref="L936">XLOOKUP(C:C,TSR_Completion!C:C,TSR_Completion!M:M)</f>
        <v>#N/A</v>
      </c>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74" t="str">
        <f t="array" ref="L937">XLOOKUP(C:C,TSR_Completion!C:C,TSR_Completion!M:M)</f>
        <v>#N/A</v>
      </c>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74" t="str">
        <f t="array" ref="L938">XLOOKUP(C:C,TSR_Completion!C:C,TSR_Completion!M:M)</f>
        <v>#N/A</v>
      </c>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74" t="str">
        <f t="array" ref="L939">XLOOKUP(C:C,TSR_Completion!C:C,TSR_Completion!M:M)</f>
        <v>#N/A</v>
      </c>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74" t="str">
        <f t="array" ref="L940">XLOOKUP(C:C,TSR_Completion!C:C,TSR_Completion!M:M)</f>
        <v>#N/A</v>
      </c>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74" t="str">
        <f t="array" ref="L941">XLOOKUP(C:C,TSR_Completion!C:C,TSR_Completion!M:M)</f>
        <v>#N/A</v>
      </c>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74" t="str">
        <f t="array" ref="L942">XLOOKUP(C:C,TSR_Completion!C:C,TSR_Completion!M:M)</f>
        <v>#N/A</v>
      </c>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74" t="str">
        <f t="array" ref="L943">XLOOKUP(C:C,TSR_Completion!C:C,TSR_Completion!M:M)</f>
        <v>#N/A</v>
      </c>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74" t="str">
        <f t="array" ref="L944">XLOOKUP(C:C,TSR_Completion!C:C,TSR_Completion!M:M)</f>
        <v>#N/A</v>
      </c>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74" t="str">
        <f t="array" ref="L945">XLOOKUP(C:C,TSR_Completion!C:C,TSR_Completion!M:M)</f>
        <v>#N/A</v>
      </c>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74" t="str">
        <f t="array" ref="L946">XLOOKUP(C:C,TSR_Completion!C:C,TSR_Completion!M:M)</f>
        <v>#N/A</v>
      </c>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74" t="str">
        <f t="array" ref="L947">XLOOKUP(C:C,TSR_Completion!C:C,TSR_Completion!M:M)</f>
        <v>#N/A</v>
      </c>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74" t="str">
        <f t="array" ref="L948">XLOOKUP(C:C,TSR_Completion!C:C,TSR_Completion!M:M)</f>
        <v>#N/A</v>
      </c>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74" t="str">
        <f t="array" ref="L949">XLOOKUP(C:C,TSR_Completion!C:C,TSR_Completion!M:M)</f>
        <v>#N/A</v>
      </c>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74" t="str">
        <f t="array" ref="L950">XLOOKUP(C:C,TSR_Completion!C:C,TSR_Completion!M:M)</f>
        <v>#N/A</v>
      </c>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74" t="str">
        <f t="array" ref="L951">XLOOKUP(C:C,TSR_Completion!C:C,TSR_Completion!M:M)</f>
        <v>#N/A</v>
      </c>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74" t="str">
        <f t="array" ref="L952">XLOOKUP(C:C,TSR_Completion!C:C,TSR_Completion!M:M)</f>
        <v>#N/A</v>
      </c>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74" t="str">
        <f t="array" ref="L953">XLOOKUP(C:C,TSR_Completion!C:C,TSR_Completion!M:M)</f>
        <v>#N/A</v>
      </c>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74" t="str">
        <f t="array" ref="L954">XLOOKUP(C:C,TSR_Completion!C:C,TSR_Completion!M:M)</f>
        <v>#N/A</v>
      </c>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74" t="str">
        <f t="array" ref="L955">XLOOKUP(C:C,TSR_Completion!C:C,TSR_Completion!M:M)</f>
        <v>#N/A</v>
      </c>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74" t="str">
        <f t="array" ref="L956">XLOOKUP(C:C,TSR_Completion!C:C,TSR_Completion!M:M)</f>
        <v>#N/A</v>
      </c>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74" t="str">
        <f t="array" ref="L957">XLOOKUP(C:C,TSR_Completion!C:C,TSR_Completion!M:M)</f>
        <v>#N/A</v>
      </c>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74" t="str">
        <f t="array" ref="L958">XLOOKUP(C:C,TSR_Completion!C:C,TSR_Completion!M:M)</f>
        <v>#N/A</v>
      </c>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74" t="str">
        <f t="array" ref="L959">XLOOKUP(C:C,TSR_Completion!C:C,TSR_Completion!M:M)</f>
        <v>#N/A</v>
      </c>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74" t="str">
        <f t="array" ref="L960">XLOOKUP(C:C,TSR_Completion!C:C,TSR_Completion!M:M)</f>
        <v>#N/A</v>
      </c>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74" t="str">
        <f t="array" ref="L961">XLOOKUP(C:C,TSR_Completion!C:C,TSR_Completion!M:M)</f>
        <v>#N/A</v>
      </c>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74" t="str">
        <f t="array" ref="L962">XLOOKUP(C:C,TSR_Completion!C:C,TSR_Completion!M:M)</f>
        <v>#N/A</v>
      </c>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74" t="str">
        <f t="array" ref="L963">XLOOKUP(C:C,TSR_Completion!C:C,TSR_Completion!M:M)</f>
        <v>#N/A</v>
      </c>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74" t="str">
        <f t="array" ref="L964">XLOOKUP(C:C,TSR_Completion!C:C,TSR_Completion!M:M)</f>
        <v>#N/A</v>
      </c>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74" t="str">
        <f t="array" ref="L965">XLOOKUP(C:C,TSR_Completion!C:C,TSR_Completion!M:M)</f>
        <v>#N/A</v>
      </c>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74" t="str">
        <f t="array" ref="L966">XLOOKUP(C:C,TSR_Completion!C:C,TSR_Completion!M:M)</f>
        <v>#N/A</v>
      </c>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74" t="str">
        <f t="array" ref="L967">XLOOKUP(C:C,TSR_Completion!C:C,TSR_Completion!M:M)</f>
        <v>#N/A</v>
      </c>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74" t="str">
        <f t="array" ref="L968">XLOOKUP(C:C,TSR_Completion!C:C,TSR_Completion!M:M)</f>
        <v>#N/A</v>
      </c>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74" t="str">
        <f t="array" ref="L969">XLOOKUP(C:C,TSR_Completion!C:C,TSR_Completion!M:M)</f>
        <v>#N/A</v>
      </c>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74" t="str">
        <f t="array" ref="L970">XLOOKUP(C:C,TSR_Completion!C:C,TSR_Completion!M:M)</f>
        <v>#N/A</v>
      </c>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74" t="str">
        <f t="array" ref="L971">XLOOKUP(C:C,TSR_Completion!C:C,TSR_Completion!M:M)</f>
        <v>#N/A</v>
      </c>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74" t="str">
        <f t="array" ref="L972">XLOOKUP(C:C,TSR_Completion!C:C,TSR_Completion!M:M)</f>
        <v>#N/A</v>
      </c>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74" t="str">
        <f t="array" ref="L973">XLOOKUP(C:C,TSR_Completion!C:C,TSR_Completion!M:M)</f>
        <v>#N/A</v>
      </c>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74" t="str">
        <f t="array" ref="L974">XLOOKUP(C:C,TSR_Completion!C:C,TSR_Completion!M:M)</f>
        <v>#N/A</v>
      </c>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74" t="str">
        <f t="array" ref="L975">XLOOKUP(C:C,TSR_Completion!C:C,TSR_Completion!M:M)</f>
        <v>#N/A</v>
      </c>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74" t="str">
        <f t="array" ref="L976">XLOOKUP(C:C,TSR_Completion!C:C,TSR_Completion!M:M)</f>
        <v>#N/A</v>
      </c>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74" t="str">
        <f t="array" ref="L977">XLOOKUP(C:C,TSR_Completion!C:C,TSR_Completion!M:M)</f>
        <v>#N/A</v>
      </c>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74" t="str">
        <f t="array" ref="L978">XLOOKUP(C:C,TSR_Completion!C:C,TSR_Completion!M:M)</f>
        <v>#N/A</v>
      </c>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74" t="str">
        <f t="array" ref="L979">XLOOKUP(C:C,TSR_Completion!C:C,TSR_Completion!M:M)</f>
        <v>#N/A</v>
      </c>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74" t="str">
        <f t="array" ref="L980">XLOOKUP(C:C,TSR_Completion!C:C,TSR_Completion!M:M)</f>
        <v>#N/A</v>
      </c>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74" t="str">
        <f t="array" ref="L981">XLOOKUP(C:C,TSR_Completion!C:C,TSR_Completion!M:M)</f>
        <v>#N/A</v>
      </c>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74" t="str">
        <f t="array" ref="L982">XLOOKUP(C:C,TSR_Completion!C:C,TSR_Completion!M:M)</f>
        <v>#N/A</v>
      </c>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74" t="str">
        <f t="array" ref="L983">XLOOKUP(C:C,TSR_Completion!C:C,TSR_Completion!M:M)</f>
        <v>#N/A</v>
      </c>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74" t="str">
        <f t="array" ref="L984">XLOOKUP(C:C,TSR_Completion!C:C,TSR_Completion!M:M)</f>
        <v>#N/A</v>
      </c>
      <c r="M984" s="4"/>
      <c r="N984" s="4"/>
      <c r="O984" s="4"/>
      <c r="P984" s="4"/>
      <c r="Q984" s="4"/>
      <c r="R984" s="4"/>
      <c r="S984" s="4"/>
      <c r="T984" s="4"/>
      <c r="U984" s="4"/>
      <c r="V984" s="4"/>
      <c r="W984" s="4"/>
      <c r="X984" s="4"/>
      <c r="Y984" s="4"/>
    </row>
  </sheetData>
  <autoFilter ref="$A$1:$M$984"/>
  <conditionalFormatting sqref="C40:C42">
    <cfRule type="expression" dxfId="0" priority="1">
      <formula>COUNTIF(C:C, C40)&gt;1</formula>
    </cfRule>
  </conditionalFormatting>
  <conditionalFormatting sqref="C1:C984 F72">
    <cfRule type="expression" dxfId="2" priority="2">
      <formula>COUNTIF(C:C, C1)&gt;1</formula>
    </cfRule>
  </conditionalFormatting>
  <conditionalFormatting sqref="A2:B984 C2:C144 D2:I984 J2:J108 K2:M984 J110:J984 C146:C984">
    <cfRule type="expression" dxfId="1" priority="3">
      <formula>$L2="Completed and Issued"</formula>
    </cfRule>
  </conditionalFormatting>
  <hyperlinks>
    <hyperlink r:id="rId1" ref="I124"/>
  </hyperlinks>
  <printOptions gridLines="1" horizontalCentered="1"/>
  <pageMargins bottom="0.75" footer="0.0" header="0.0" left="0.7" right="0.7" top="0.75"/>
  <pageSetup fitToHeight="0" paperSize="9"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0.0"/>
    <col customWidth="1" min="7" max="7" width="17.13"/>
    <col customWidth="1" min="9" max="9" width="17.63"/>
    <col customWidth="1" min="10" max="10" width="10.25"/>
    <col customWidth="1" min="11" max="11" width="11.25"/>
    <col customWidth="1" min="12" max="12" width="11.5"/>
    <col customWidth="1" min="13" max="13" width="14.63"/>
  </cols>
  <sheetData>
    <row r="1">
      <c r="A1" s="1" t="s">
        <v>848</v>
      </c>
      <c r="B1" s="1" t="s">
        <v>1</v>
      </c>
      <c r="C1" s="1" t="s">
        <v>790</v>
      </c>
      <c r="D1" s="1" t="s">
        <v>3</v>
      </c>
      <c r="E1" s="2" t="s">
        <v>849</v>
      </c>
      <c r="F1" s="1" t="s">
        <v>4</v>
      </c>
      <c r="G1" s="2" t="s">
        <v>792</v>
      </c>
      <c r="H1" s="2" t="s">
        <v>850</v>
      </c>
      <c r="I1" s="1" t="s">
        <v>851</v>
      </c>
      <c r="J1" s="1" t="s">
        <v>852</v>
      </c>
      <c r="K1" s="1" t="s">
        <v>853</v>
      </c>
      <c r="L1" s="1" t="s">
        <v>854</v>
      </c>
      <c r="M1" s="70" t="s">
        <v>796</v>
      </c>
      <c r="N1" s="1" t="s">
        <v>855</v>
      </c>
      <c r="O1" s="1" t="s">
        <v>856</v>
      </c>
    </row>
    <row r="2">
      <c r="A2" s="71">
        <v>497.0</v>
      </c>
      <c r="B2" s="71" t="s">
        <v>158</v>
      </c>
      <c r="C2" s="5">
        <v>7.7000234182E10</v>
      </c>
      <c r="D2" s="88" t="str">
        <f t="array" ref="D2">XLOOKUP(C2,'Master Data'!C:C,'Master Data'!D:D)</f>
        <v>Main</v>
      </c>
      <c r="E2" s="88" t="str">
        <f t="array" ref="E2">XLOOKUP(C2,'TSR Initiation'!C:C,'TSR Initiation'!E:E)</f>
        <v/>
      </c>
      <c r="F2" s="88" t="str">
        <f t="array" ref="F2">XLOOKUP(C2,'Master Data'!C:C,'Master Data'!E:E)</f>
        <v>Swapan Mandol</v>
      </c>
      <c r="G2" s="89" t="str">
        <f t="array" ref="G2">XLOOKUP(C2,'Master Data'!C:C,'Master Data'!F:F)</f>
        <v>ABC</v>
      </c>
      <c r="H2" s="89" t="str">
        <f t="array" ref="H2">XLOOKUP(C2,'Master Data'!C:C,'Master Data'!G:G)</f>
        <v>Resale</v>
      </c>
      <c r="I2" s="90" t="str">
        <f t="array" ref="I2">XLOOKUP(C2,'Master Data'!C:C,'Master Data'!H:H)</f>
        <v>Pune. Ganesh Peth. CTS No. 48</v>
      </c>
      <c r="J2" s="91" t="s">
        <v>12</v>
      </c>
      <c r="K2" s="92"/>
      <c r="L2" s="92"/>
      <c r="M2" s="23" t="s">
        <v>857</v>
      </c>
      <c r="N2" s="23"/>
      <c r="O2" s="23"/>
    </row>
    <row r="3">
      <c r="A3" s="71">
        <v>512.0</v>
      </c>
      <c r="B3" s="71" t="s">
        <v>158</v>
      </c>
      <c r="C3" s="77">
        <v>7.792016425E9</v>
      </c>
      <c r="D3" s="88" t="str">
        <f t="array" ref="D3">XLOOKUP(C3,'Master Data'!C:C,'Master Data'!D:D)</f>
        <v>Main</v>
      </c>
      <c r="E3" s="88" t="str">
        <f t="array" ref="E3">XLOOKUP(C3,'TSR Initiation'!C:C,'TSR Initiation'!E:E)</f>
        <v>#N/A</v>
      </c>
      <c r="F3" s="88" t="str">
        <f t="array" ref="F3">XLOOKUP(C3,'Master Data'!C:C,'Master Data'!E:E)</f>
        <v>Aahan Buildcon</v>
      </c>
      <c r="G3" s="89" t="str">
        <f t="array" ref="G3">XLOOKUP(C3,'Master Data'!C:C,'Master Data'!F:F)</f>
        <v/>
      </c>
      <c r="H3" s="89" t="str">
        <f t="array" ref="H3">XLOOKUP(C3,'Master Data'!C:C,'Master Data'!G:G)</f>
        <v/>
      </c>
      <c r="I3" s="90" t="str">
        <f t="array" ref="I3">XLOOKUP(C3,'Master Data'!C:C,'Master Data'!H:H)</f>
        <v/>
      </c>
      <c r="J3" s="91" t="s">
        <v>12</v>
      </c>
      <c r="K3" s="92"/>
      <c r="L3" s="92"/>
      <c r="M3" s="23" t="s">
        <v>857</v>
      </c>
      <c r="N3" s="23"/>
      <c r="O3" s="23"/>
    </row>
    <row r="4">
      <c r="A4" s="71">
        <v>560.0</v>
      </c>
      <c r="B4" s="71" t="s">
        <v>158</v>
      </c>
      <c r="C4" s="5">
        <v>7.7000250964E10</v>
      </c>
      <c r="D4" s="88" t="str">
        <f t="array" ref="D4">XLOOKUP(C4,'Master Data'!C:C,'Master Data'!D:D)</f>
        <v>Baner</v>
      </c>
      <c r="E4" s="88" t="str">
        <f t="array" ref="E4">XLOOKUP(C4,'TSR Initiation'!C:C,'TSR Initiation'!E:E)</f>
        <v>#N/A</v>
      </c>
      <c r="F4" s="88" t="str">
        <f t="array" ref="F4">XLOOKUP(C4,'Master Data'!C:C,'Master Data'!E:E)</f>
        <v>Santosh Ghumare</v>
      </c>
      <c r="G4" s="89" t="str">
        <f t="array" ref="G4">XLOOKUP(C4,'Master Data'!C:C,'Master Data'!F:F)</f>
        <v/>
      </c>
      <c r="H4" s="89" t="str">
        <f t="array" ref="H4">XLOOKUP(C4,'Master Data'!C:C,'Master Data'!G:G)</f>
        <v/>
      </c>
      <c r="I4" s="90" t="str">
        <f t="array" ref="I4">XLOOKUP(C4,'Master Data'!C:C,'Master Data'!H:H)</f>
        <v/>
      </c>
      <c r="J4" s="91" t="s">
        <v>12</v>
      </c>
      <c r="K4" s="92"/>
      <c r="L4" s="92"/>
      <c r="M4" s="23" t="s">
        <v>857</v>
      </c>
      <c r="N4" s="23"/>
      <c r="O4" s="23"/>
    </row>
    <row r="5">
      <c r="A5" s="71">
        <v>561.0</v>
      </c>
      <c r="B5" s="71" t="s">
        <v>158</v>
      </c>
      <c r="C5" s="5">
        <v>7.792144896E9</v>
      </c>
      <c r="D5" s="88" t="str">
        <f t="array" ref="D5">XLOOKUP(C5,'Master Data'!C:C,'Master Data'!D:D)</f>
        <v>Wakad</v>
      </c>
      <c r="E5" s="88" t="str">
        <f t="array" ref="E5">XLOOKUP(C5,'TSR Initiation'!C:C,'TSR Initiation'!E:E)</f>
        <v>#N/A</v>
      </c>
      <c r="F5" s="88" t="str">
        <f t="array" ref="F5">XLOOKUP(C5,'Master Data'!C:C,'Master Data'!E:E)</f>
        <v>Dattatray Suresh Kalbhor</v>
      </c>
      <c r="G5" s="89" t="str">
        <f t="array" ref="G5">XLOOKUP(C5,'Master Data'!C:C,'Master Data'!F:F)</f>
        <v>Mrs. Deepali Dattatray Kalbhor</v>
      </c>
      <c r="H5" s="89" t="str">
        <f t="array" ref="H5">XLOOKUP(C5,'Master Data'!C:C,'Master Data'!G:G)</f>
        <v>Builder Purchase</v>
      </c>
      <c r="I5" s="90" t="str">
        <f t="array" ref="I5">XLOOKUP(C5,'Master Data'!C:C,'Master Data'!H:H)</f>
        <v>All that residential Apartment No. 2405 on the 24th Floor, admeasuring 55.76 Sq. Mtrs. carpet area, along with appurtenant area of 9.14 Sq. Mtrs., including attached balcony admeasuring 2.60 Sq. Mtrs., in the Building No. G, known as “Giardino” in the project known as “Puraniks Abitante Fiore, Phase 2B”, to be constructed on the aforesaid entire land property, i.e. Survey No. 233/1 to 7/235/1/235/2A/235/2B/244/2 and others, situated at Village – Bavdhan Budruk, Taluka – Mulshi, District – Pune.</v>
      </c>
      <c r="J5" s="91" t="s">
        <v>12</v>
      </c>
      <c r="K5" s="92"/>
      <c r="L5" s="92"/>
      <c r="M5" s="23" t="s">
        <v>857</v>
      </c>
      <c r="N5" s="23"/>
      <c r="O5" s="23"/>
    </row>
    <row r="6">
      <c r="A6" s="71">
        <v>562.0</v>
      </c>
      <c r="B6" s="71" t="s">
        <v>158</v>
      </c>
      <c r="C6" s="5" t="s">
        <v>26</v>
      </c>
      <c r="D6" s="88" t="str">
        <f t="array" ref="D6">XLOOKUP(C6,'Master Data'!C:C,'Master Data'!D:D)</f>
        <v>Main</v>
      </c>
      <c r="E6" s="88" t="str">
        <f t="array" ref="E6">XLOOKUP(C6,'TSR Initiation'!C:C,'TSR Initiation'!E:E)</f>
        <v>#N/A</v>
      </c>
      <c r="F6" s="88" t="str">
        <f t="array" ref="F6">XLOOKUP(C6,'Master Data'!C:C,'Master Data'!E:E)</f>
        <v>Tathastu</v>
      </c>
      <c r="G6" s="89" t="str">
        <f t="array" ref="G6">XLOOKUP(C6,'Master Data'!C:C,'Master Data'!F:F)</f>
        <v/>
      </c>
      <c r="H6" s="89" t="str">
        <f t="array" ref="H6">XLOOKUP(C6,'Master Data'!C:C,'Master Data'!G:G)</f>
        <v/>
      </c>
      <c r="I6" s="90" t="str">
        <f t="array" ref="I6">XLOOKUP(C6,'Master Data'!C:C,'Master Data'!H:H)</f>
        <v/>
      </c>
      <c r="J6" s="91" t="s">
        <v>12</v>
      </c>
      <c r="K6" s="92"/>
      <c r="L6" s="92"/>
      <c r="M6" s="23" t="s">
        <v>857</v>
      </c>
      <c r="N6" s="23"/>
      <c r="O6" s="23"/>
    </row>
    <row r="7">
      <c r="A7" s="71">
        <v>563.0</v>
      </c>
      <c r="B7" s="71" t="s">
        <v>158</v>
      </c>
      <c r="C7" s="5">
        <v>7.7000238463E10</v>
      </c>
      <c r="D7" s="88" t="str">
        <f t="array" ref="D7">XLOOKUP(C7,'Master Data'!C:C,'Master Data'!D:D)</f>
        <v>Main</v>
      </c>
      <c r="E7" s="88" t="str">
        <f t="array" ref="E7">XLOOKUP(C7,'TSR Initiation'!C:C,'TSR Initiation'!E:E)</f>
        <v>#N/A</v>
      </c>
      <c r="F7" s="88" t="str">
        <f t="array" ref="F7">XLOOKUP(C7,'Master Data'!C:C,'Master Data'!E:E)</f>
        <v>Pradeep Patil</v>
      </c>
      <c r="G7" s="89" t="str">
        <f t="array" ref="G7">XLOOKUP(C7,'Master Data'!C:C,'Master Data'!F:F)</f>
        <v/>
      </c>
      <c r="H7" s="89" t="str">
        <f t="array" ref="H7">XLOOKUP(C7,'Master Data'!C:C,'Master Data'!G:G)</f>
        <v>Resale</v>
      </c>
      <c r="I7" s="90" t="str">
        <f t="array" ref="I7">XLOOKUP(C7,'Master Data'!C:C,'Master Data'!H:H)</f>
        <v>All that piece and parcel of property bearing Flat No. 704, having built-up area admeasuring of 601 sq. feets., i.e. 55.85 sq. mtrs., along with terrace area admeasuring of 74 sq. feets., i.e. 6.87 sq. mtrs., i.e. total saleable area admeasuring of 638 sq. feets., i.e. 59.29 sq.mtrs., situated on the Seventh Floor, along with one two wheeler parking space, in Building No. "K-2", out of the project known as "Kate Puram-II", constructed on the land bearing No. Plot No. 3+4, out of the Survey No. 48/1/1 + 48/2/1, situated at Village - Pimpale Gurav, Taluka - Haveli, District - Pune and within local limits of Pimpri Chinchwad Municipal Corporation, Pimpri.</v>
      </c>
      <c r="J7" s="91" t="s">
        <v>12</v>
      </c>
      <c r="K7" s="92"/>
      <c r="L7" s="92"/>
      <c r="M7" s="23" t="s">
        <v>857</v>
      </c>
      <c r="N7" s="23"/>
      <c r="O7" s="23"/>
    </row>
    <row r="8">
      <c r="A8" s="71">
        <v>564.0</v>
      </c>
      <c r="B8" s="71" t="s">
        <v>158</v>
      </c>
      <c r="C8" s="5">
        <v>7.7000249933E10</v>
      </c>
      <c r="D8" s="88" t="str">
        <f t="array" ref="D8">XLOOKUP(C8,'Master Data'!C:C,'Master Data'!D:D)</f>
        <v>Main</v>
      </c>
      <c r="E8" s="88" t="str">
        <f t="array" ref="E8">XLOOKUP(C8,'TSR Initiation'!C:C,'TSR Initiation'!E:E)</f>
        <v>#N/A</v>
      </c>
      <c r="F8" s="88" t="str">
        <f t="array" ref="F8">XLOOKUP(C8,'Master Data'!C:C,'Master Data'!E:E)</f>
        <v>Swapnil Mardane</v>
      </c>
      <c r="G8" s="89" t="str">
        <f t="array" ref="G8">XLOOKUP(C8,'Master Data'!C:C,'Master Data'!F:F)</f>
        <v/>
      </c>
      <c r="H8" s="89" t="str">
        <f t="array" ref="H8">XLOOKUP(C8,'Master Data'!C:C,'Master Data'!G:G)</f>
        <v>BT Top UP</v>
      </c>
      <c r="I8" s="90" t="str">
        <f t="array" ref="I8">XLOOKUP(C8,'Master Data'!C:C,'Master Data'!H:H)</f>
        <v>All that residential Flat/Apartment No. 108, having built-up area admeasuring 1059.50 Sq. Feet (i.e. 98.46 Sq. Mtrs.), along with adjoining terrace area admeasuring 62.88 Sq. Feet (i.e. 5.84 Sq. Mtrs.), aggregating to total saleable area of 1100 Sq. Feet (i.e. 102.23 Sq. Mtrs.), situated on the First Floor, in Wing B-2 of the building known as “Sneha Vihar B-2 Co-operative Housing Society Ltd.”, constructed on land bearing Survey No. 82, Hissa No. 10, situated at Village – Shivane, Taluka – Haveli, District – Pune, within the limits of Pune Municipal Corporation.</v>
      </c>
      <c r="J8" s="91" t="s">
        <v>12</v>
      </c>
      <c r="K8" s="92"/>
      <c r="L8" s="92"/>
      <c r="M8" s="23" t="s">
        <v>857</v>
      </c>
      <c r="N8" s="23"/>
      <c r="O8" s="23"/>
    </row>
    <row r="9">
      <c r="A9" s="71">
        <v>565.0</v>
      </c>
      <c r="B9" s="71" t="s">
        <v>158</v>
      </c>
      <c r="C9" s="5" t="s">
        <v>33</v>
      </c>
      <c r="D9" s="88" t="str">
        <f t="array" ref="D9">XLOOKUP(C9,'Master Data'!C:C,'Master Data'!D:D)</f>
        <v>Baner</v>
      </c>
      <c r="E9" s="88" t="str">
        <f t="array" ref="E9">XLOOKUP(C9,'TSR Initiation'!C:C,'TSR Initiation'!E:E)</f>
        <v>04.04.2026</v>
      </c>
      <c r="F9" s="88" t="str">
        <f t="array" ref="F9">XLOOKUP(C9,'Master Data'!C:C,'Master Data'!E:E)</f>
        <v>VRINDA MANISH BUTTAN</v>
      </c>
      <c r="G9" s="89" t="str">
        <f t="array" ref="G9">XLOOKUP(C9,'Master Data'!C:C,'Master Data'!F:F)</f>
        <v/>
      </c>
      <c r="H9" s="89" t="str">
        <f t="array" ref="H9">XLOOKUP(C9,'Master Data'!C:C,'Master Data'!G:G)</f>
        <v>BT Top UP</v>
      </c>
      <c r="I9" s="90" t="str">
        <f t="array" ref="I9">XLOOKUP(C9,'Master Data'!C:C,'Master Data'!H:H)</f>
        <v>All that residential Flat/Apartment No. 701, admeasuring 92.44 Sq. Mtrs. (i.e. approximately 995.01 Sq. Feet), situated on the 7th Floor, in “D” Building of the project known as “Maestros”, constructed on land bearing Survey No. 60/7, situated at Village – Wanawadi (Wanorie), Taluka – Haveli, District – Pune, within the limits of Pune Municipal Corporation, along with the right to use one car parking space, together with all easements, rights and appurtenances thereto.</v>
      </c>
      <c r="J9" s="91" t="s">
        <v>12</v>
      </c>
      <c r="K9" s="92"/>
      <c r="L9" s="92"/>
      <c r="M9" s="23" t="s">
        <v>857</v>
      </c>
      <c r="N9" s="23" t="s">
        <v>801</v>
      </c>
      <c r="O9" s="23"/>
    </row>
    <row r="10">
      <c r="A10" s="71">
        <v>566.0</v>
      </c>
      <c r="B10" s="71" t="s">
        <v>158</v>
      </c>
      <c r="C10" s="5" t="s">
        <v>36</v>
      </c>
      <c r="D10" s="88" t="str">
        <f t="array" ref="D10">XLOOKUP(C10,'Master Data'!C:C,'Master Data'!D:D)</f>
        <v>Baner</v>
      </c>
      <c r="E10" s="88" t="str">
        <f t="array" ref="E10">XLOOKUP(C10,'TSR Initiation'!C:C,'TSR Initiation'!E:E)</f>
        <v>04.04.2026</v>
      </c>
      <c r="F10" s="88" t="str">
        <f t="array" ref="F10">XLOOKUP(C10,'Master Data'!C:C,'Master Data'!E:E)</f>
        <v>VRINDA MANISH BUTTAN</v>
      </c>
      <c r="G10" s="89" t="str">
        <f t="array" ref="G10">XLOOKUP(C10,'Master Data'!C:C,'Master Data'!F:F)</f>
        <v/>
      </c>
      <c r="H10" s="89" t="str">
        <f t="array" ref="H10">XLOOKUP(C10,'Master Data'!C:C,'Master Data'!G:G)</f>
        <v>BT Top UP</v>
      </c>
      <c r="I10" s="90" t="str">
        <f t="array" ref="I10">XLOOKUP(C10,'Master Data'!C:C,'Master Data'!H:H)</f>
        <v>All that residential Flat/Apartment No. 701-B, admeasuring 88.72 Sq. Mtrs. (i.e. approximately 955.00 Sq. Feet), situated on the 7th Floor, in “D” Building of the project known as “Maestros”, constructed on land bearing Survey No. 60/7, situated at Village – Wanawadi (Wanorie), Taluka – Haveli, District – Pune, within the limits of Pune Municipal Corporation, together with undivided share of 0.190% in the land, along with all easements, rights and appurtenances thereto.</v>
      </c>
      <c r="J10" s="91" t="s">
        <v>12</v>
      </c>
      <c r="K10" s="92"/>
      <c r="L10" s="92"/>
      <c r="M10" s="23" t="s">
        <v>857</v>
      </c>
      <c r="N10" s="23" t="s">
        <v>801</v>
      </c>
      <c r="O10" s="23"/>
    </row>
    <row r="11">
      <c r="A11" s="71">
        <v>567.0</v>
      </c>
      <c r="B11" s="71" t="s">
        <v>158</v>
      </c>
      <c r="C11" s="77" t="s">
        <v>38</v>
      </c>
      <c r="D11" s="88" t="str">
        <f t="array" ref="D11">XLOOKUP(C11,'Master Data'!C:C,'Master Data'!D:D)</f>
        <v>Baner</v>
      </c>
      <c r="E11" s="88" t="str">
        <f t="array" ref="E11">XLOOKUP(C11,'TSR Initiation'!C:C,'TSR Initiation'!E:E)</f>
        <v>04.04.2026</v>
      </c>
      <c r="F11" s="88" t="str">
        <f t="array" ref="F11">XLOOKUP(C11,'Master Data'!C:C,'Master Data'!E:E)</f>
        <v>VRINDA MANISH BUTTAN</v>
      </c>
      <c r="G11" s="89" t="str">
        <f t="array" ref="G11">XLOOKUP(C11,'Master Data'!C:C,'Master Data'!F:F)</f>
        <v/>
      </c>
      <c r="H11" s="89" t="str">
        <f t="array" ref="H11">XLOOKUP(C11,'Master Data'!C:C,'Master Data'!G:G)</f>
        <v>BT Top UP</v>
      </c>
      <c r="I11" s="90" t="str">
        <f t="array" ref="I11">XLOOKUP(C11,'Master Data'!C:C,'Master Data'!H:H)</f>
        <v>All that residential Flat/Apartment No. 801, admeasuring 88.26 Sq. Mtrs. (i.e. approximately 949.91 Sq. Feet), situated on the 8th Floor, in “D” Building of the project known as “Maestros”, constructed on land bearing Survey No. 60/7, situated at Village – Wanawadi (Wanorie), Taluka – Haveli, District – Pune, within the limits of Pune Municipal Corporation, together with adjoining terrace and terrace appurtenant to the said flat admeasuring in aggregate 157.93 Sq. Mtrs., along with undivided share of 0.190% in the land, together with all easements, rights and appurtenances thereto.</v>
      </c>
      <c r="J11" s="91" t="s">
        <v>12</v>
      </c>
      <c r="K11" s="92"/>
      <c r="L11" s="92"/>
      <c r="M11" s="23" t="s">
        <v>857</v>
      </c>
      <c r="N11" s="23" t="s">
        <v>801</v>
      </c>
      <c r="O11" s="23"/>
    </row>
    <row r="12">
      <c r="A12" s="71">
        <v>569.0</v>
      </c>
      <c r="B12" s="71" t="s">
        <v>158</v>
      </c>
      <c r="C12" s="5">
        <v>7.792150927E9</v>
      </c>
      <c r="D12" s="88" t="str">
        <f t="array" ref="D12">XLOOKUP(C12,'Master Data'!C:C,'Master Data'!D:D)</f>
        <v>Hadapsar</v>
      </c>
      <c r="E12" s="88" t="str">
        <f t="array" ref="E12">XLOOKUP(C12,'TSR Initiation'!C:C,'TSR Initiation'!E:E)</f>
        <v>04.04.2026</v>
      </c>
      <c r="F12" s="88" t="str">
        <f t="array" ref="F12">XLOOKUP(C12,'Master Data'!C:C,'Master Data'!E:E)</f>
        <v>Bharat Motkar</v>
      </c>
      <c r="G12" s="89" t="str">
        <f t="array" ref="G12">XLOOKUP(C12,'Master Data'!C:C,'Master Data'!F:F)</f>
        <v/>
      </c>
      <c r="H12" s="89" t="str">
        <f t="array" ref="H12">XLOOKUP(C12,'Master Data'!C:C,'Master Data'!G:G)</f>
        <v>Resale</v>
      </c>
      <c r="I12" s="90" t="str">
        <f t="array" ref="I12">XLOOKUP(C12,'Master Data'!C:C,'Master Data'!H:H)</f>
        <v>All that piece and parcel of property admeasuring of H. 00-01.39 Ares, i.e. 139.40 sq. mtrs., i.e. 1500 sq. feets., out of land bearing Survey No. 39/2/3, having an area admeasuring of H. 00-83 Ares, assessed at Rs. 05-25 Paise, situated at Village – Manjari Budruk, Taluka – Haveli, District – Pune</v>
      </c>
      <c r="J12" s="91" t="s">
        <v>12</v>
      </c>
      <c r="K12" s="92"/>
      <c r="L12" s="92"/>
      <c r="M12" s="23" t="s">
        <v>857</v>
      </c>
      <c r="N12" s="23"/>
      <c r="O12" s="23"/>
    </row>
    <row r="13">
      <c r="A13" s="71">
        <v>570.0</v>
      </c>
      <c r="B13" s="71" t="s">
        <v>158</v>
      </c>
      <c r="C13" s="5">
        <v>7.7000228844E10</v>
      </c>
      <c r="D13" s="88" t="str">
        <f t="array" ref="D13">XLOOKUP(C13,'Master Data'!C:C,'Master Data'!D:D)</f>
        <v>Chinchwad</v>
      </c>
      <c r="E13" s="88" t="str">
        <f t="array" ref="E13">XLOOKUP(C13,'TSR Initiation'!C:C,'TSR Initiation'!E:E)</f>
        <v>#N/A</v>
      </c>
      <c r="F13" s="88" t="str">
        <f t="array" ref="F13">XLOOKUP(C13,'Master Data'!C:C,'Master Data'!E:E)</f>
        <v>Dhananjay Kulkarni</v>
      </c>
      <c r="G13" s="89" t="str">
        <f t="array" ref="G13">XLOOKUP(C13,'Master Data'!C:C,'Master Data'!F:F)</f>
        <v/>
      </c>
      <c r="H13" s="89" t="str">
        <f t="array" ref="H13">XLOOKUP(C13,'Master Data'!C:C,'Master Data'!G:G)</f>
        <v>Resale Home Loan</v>
      </c>
      <c r="I13" s="90" t="str">
        <f t="array" ref="I13">XLOOKUP(C13,'Master Data'!C:C,'Master Data'!H:H)</f>
        <v>All that piece and parcel of residential Flat bearing No. 104, situated on the First Floor in Wing ‘O’ of the building known as “Hubtown Countrywoods”, constructed on a part of the land bearing Survey No. 45/1/1 and other Hissa Numbers, admeasuring in aggregate 17 Hectares 27.1686 Ares (i.e. 1,72,716.86 Sq. Mtrs.), out of which an area admeasuring 11,969.99 Sq. Mtrs. is earmarked for the said project and out of which the building is constructed on land admeasuring 1,293.63 Sq. Mtrs., situated at Village Kondhwa Budruk, Taluka Haveli, District Pune, within the limits of Pune Municipal Corporation, the said Flat admeasuring Carpet Area 64.01 Sq. Mtrs. along with additional saleable terrace area admeasuring 3.43 Sq. Mtrs., together with one stilt car parking space and all easements, rights and appurtenances attached thereto.</v>
      </c>
      <c r="J13" s="91" t="s">
        <v>12</v>
      </c>
      <c r="K13" s="92"/>
      <c r="L13" s="92"/>
      <c r="M13" s="23" t="s">
        <v>857</v>
      </c>
      <c r="N13" s="23"/>
      <c r="O13" s="23"/>
    </row>
    <row r="14">
      <c r="A14" s="71">
        <v>571.0</v>
      </c>
      <c r="B14" s="71" t="s">
        <v>158</v>
      </c>
      <c r="C14" s="5">
        <v>7.792138312E9</v>
      </c>
      <c r="D14" s="88" t="str">
        <f t="array" ref="D14">XLOOKUP(C14,'Master Data'!C:C,'Master Data'!D:D)</f>
        <v>Wakad</v>
      </c>
      <c r="E14" s="88" t="str">
        <f t="array" ref="E14">XLOOKUP(C14,'TSR Initiation'!C:C,'TSR Initiation'!E:E)</f>
        <v>30.03.2026</v>
      </c>
      <c r="F14" s="88" t="str">
        <f t="array" ref="F14">XLOOKUP(C14,'Master Data'!C:C,'Master Data'!E:E)</f>
        <v>Shubham Tayade</v>
      </c>
      <c r="G14" s="89" t="str">
        <f t="array" ref="G14">XLOOKUP(C14,'Master Data'!C:C,'Master Data'!F:F)</f>
        <v/>
      </c>
      <c r="H14" s="89" t="str">
        <f t="array" ref="H14">XLOOKUP(C14,'Master Data'!C:C,'Master Data'!G:G)</f>
        <v>Resale</v>
      </c>
      <c r="I14" s="90" t="str">
        <f t="array" ref="I14">XLOOKUP(C14,'Master Data'!C:C,'Master Data'!H:H)</f>
        <v>All that piece and parcel of property bearing H. 00-00.50 Ares, i.e. 500 sq. feets., out of Survey No. 79/13/10, having an area admeasuring of H. 00-01.50 Ares, assessed at Rs. 00-05 Paise, situated at Village – Rahatani, Taluka – Haveli, District – Pune</v>
      </c>
      <c r="J14" s="91" t="s">
        <v>12</v>
      </c>
      <c r="K14" s="92"/>
      <c r="L14" s="92"/>
      <c r="M14" s="23" t="s">
        <v>857</v>
      </c>
      <c r="N14" s="23" t="s">
        <v>805</v>
      </c>
      <c r="O14" s="23"/>
    </row>
    <row r="15">
      <c r="A15" s="71">
        <v>572.0</v>
      </c>
      <c r="B15" s="71" t="s">
        <v>158</v>
      </c>
      <c r="C15" s="5">
        <v>7.7000249866E10</v>
      </c>
      <c r="D15" s="88" t="str">
        <f t="array" ref="D15">XLOOKUP(C15,'Master Data'!C:C,'Master Data'!D:D)</f>
        <v>Kolhapur</v>
      </c>
      <c r="E15" s="88" t="str">
        <f t="array" ref="E15">XLOOKUP(C15,'TSR Initiation'!C:C,'TSR Initiation'!E:E)</f>
        <v>29.03.2026</v>
      </c>
      <c r="F15" s="88" t="str">
        <f t="array" ref="F15">XLOOKUP(C15,'Master Data'!C:C,'Master Data'!E:E)</f>
        <v>Bharat Sanjay Vaidya</v>
      </c>
      <c r="G15" s="89" t="str">
        <f t="array" ref="G15">XLOOKUP(C15,'Master Data'!C:C,'Master Data'!F:F)</f>
        <v/>
      </c>
      <c r="H15" s="89" t="str">
        <f t="array" ref="H15">XLOOKUP(C15,'Master Data'!C:C,'Master Data'!G:G)</f>
        <v>Apana Ghar Self Construction</v>
      </c>
      <c r="I15" s="90" t="str">
        <f t="array" ref="I15">XLOOKUP(C15,'Master Data'!C:C,'Master Data'!H:H)</f>
        <v>All that piece and parcel of non-agricultural property admeasuring 47.46 Sq. Mtrs., together with a residential house constructed in the year 2011, built with brick and mud walls and having a cement sheet roof, admeasuring 330 Sq. Ft., constructed on the land bearing CTS No. 460, situated at Village – Chandur, Taluka – Hatkanangale, District – Kolhapur</v>
      </c>
      <c r="J15" s="91" t="s">
        <v>12</v>
      </c>
      <c r="K15" s="92"/>
      <c r="L15" s="92"/>
      <c r="M15" s="23" t="s">
        <v>857</v>
      </c>
      <c r="N15" s="23" t="s">
        <v>805</v>
      </c>
      <c r="O15" s="23"/>
    </row>
    <row r="16">
      <c r="A16" s="71">
        <v>573.0</v>
      </c>
      <c r="B16" s="71" t="s">
        <v>158</v>
      </c>
      <c r="C16" s="77">
        <v>7.700024041E10</v>
      </c>
      <c r="D16" s="88" t="str">
        <f t="array" ref="D16">XLOOKUP(C16,'Master Data'!C:C,'Master Data'!D:D)</f>
        <v>Hadapsar</v>
      </c>
      <c r="E16" s="88" t="str">
        <f t="array" ref="E16">XLOOKUP(C16,'TSR Initiation'!C:C,'TSR Initiation'!E:E)</f>
        <v>29.03.2026</v>
      </c>
      <c r="F16" s="88" t="str">
        <f t="array" ref="F16">XLOOKUP(C16,'Master Data'!C:C,'Master Data'!E:E)</f>
        <v>Abhijeet Auto Components Pvt Ltd</v>
      </c>
      <c r="G16" s="89" t="str">
        <f t="array" ref="G16">XLOOKUP(C16,'Master Data'!C:C,'Master Data'!F:F)</f>
        <v>1) Mr. Jitendrakumar Narayan Singh 
2) Mr. Arunkumar Narayan Singh 
3) Mr. Santoshkumar Narayan Singh
</v>
      </c>
      <c r="H16" s="89" t="str">
        <f t="array" ref="H16">XLOOKUP(C16,'Master Data'!C:C,'Master Data'!G:G)</f>
        <v>BT + TOP-UP</v>
      </c>
      <c r="I16" s="90" t="str">
        <f t="array" ref="I16">XLOOKUP(C16,'Master Data'!C:C,'Master Data'!H:H)</f>
        <v>All that piece and parcel of property admeasuring of H. 00-05 Ares, out of Survey No. 35, Hissa No. 2/1, having an area admeasuring of H. 01-30.50 Ares, together with Pot-Kharab area admeasuring of H. 00-33 Ares, i.e. total area admeasuring of H. 01-63.50 Ares, assessed at Rs. 02-62 Paise, situated at Village – Uruli Devachi, Taluka – Haveli, District – Pune</v>
      </c>
      <c r="J16" s="91" t="s">
        <v>12</v>
      </c>
      <c r="K16" s="92"/>
      <c r="L16" s="92"/>
      <c r="M16" s="23" t="s">
        <v>857</v>
      </c>
      <c r="N16" s="23" t="s">
        <v>805</v>
      </c>
      <c r="O16" s="23"/>
    </row>
    <row r="17">
      <c r="A17" s="93">
        <f t="array" ref="A17">XLOOKUP(C17,'TSR Initiation'!C:C,'TSR Initiation'!A:A)</f>
        <v>575</v>
      </c>
      <c r="B17" s="71" t="s">
        <v>858</v>
      </c>
      <c r="C17" s="10">
        <v>7.7000247265E10</v>
      </c>
      <c r="D17" s="88" t="str">
        <f t="array" ref="D17">XLOOKUP(C17,'Master Data'!C:C,'Master Data'!D:D)</f>
        <v>Kolhapur</v>
      </c>
      <c r="E17" s="88" t="str">
        <f t="array" ref="E17">XLOOKUP(C17,'TSR Initiation'!C:C,'TSR Initiation'!E:E)</f>
        <v>28.03.2026</v>
      </c>
      <c r="F17" s="88" t="str">
        <f t="array" ref="F17">XLOOKUP(C17,'Master Data'!C:C,'Master Data'!E:E)</f>
        <v>Mr.Umravati Jakkappa Patil</v>
      </c>
      <c r="G17" s="89" t="s">
        <v>58</v>
      </c>
      <c r="H17" s="89" t="str">
        <f t="array" ref="H17">XLOOKUP(C17,'Master Data'!C:C,'Master Data'!G:G)</f>
        <v>HL Premium Seller BT</v>
      </c>
      <c r="I17" s="90" t="str">
        <f t="array" ref="I17">XLOOKUP(C17,'Master Data'!C:C,'Master Data'!H:H)</f>
        <v>All that piece and parcel of non-agricultural property bearing Plot No. 5, having an area admeasuring of 104.80 sq. mtrs., together with construction of RCC building having an area admeasuring of 1150 sq. feets., carved out of Gat No. 282, Hissa No. 26, having an area admeasuring of H. 00-19 Ares, assessed at Rs. 00-22 Paise, situated at Village – Gokul Shirgaon, Taluka – Karveer, District – Kolhapur</v>
      </c>
      <c r="J17" s="91" t="s">
        <v>12</v>
      </c>
      <c r="K17" s="92"/>
      <c r="L17" s="92"/>
      <c r="M17" s="23" t="s">
        <v>857</v>
      </c>
      <c r="N17" s="23" t="s">
        <v>805</v>
      </c>
      <c r="O17" s="23"/>
    </row>
    <row r="18">
      <c r="A18" s="93">
        <f t="array" ref="A18">XLOOKUP(C18,'TSR Initiation'!C:C,'TSR Initiation'!A:A)</f>
        <v>574</v>
      </c>
      <c r="B18" s="71" t="s">
        <v>11</v>
      </c>
      <c r="C18" s="10">
        <v>7.7000240495E10</v>
      </c>
      <c r="D18" s="88" t="str">
        <f t="array" ref="D18">XLOOKUP(C18,'Master Data'!C:C,'Master Data'!D:D)</f>
        <v>Hadapsar</v>
      </c>
      <c r="E18" s="71" t="str">
        <f t="array" ref="E18">XLOOKUP(C18,'TSR Initiation'!C:C,'TSR Initiation'!E:E)</f>
        <v>02.04.2026</v>
      </c>
      <c r="F18" s="88" t="str">
        <f t="array" ref="F18">XLOOKUP(C18,'Master Data'!C:C,'Master Data'!E:E)</f>
        <v>Akash Kale</v>
      </c>
      <c r="G18" s="89" t="str">
        <f t="array" ref="G18">XLOOKUP(C18,'Master Data'!C:C,'Master Data'!F:F)</f>
        <v>Swati Kale</v>
      </c>
      <c r="H18" s="89" t="str">
        <f t="array" ref="H18">XLOOKUP(C18,'Master Data'!C:C,'Master Data'!G:G)</f>
        <v>Plot + Construction</v>
      </c>
      <c r="I18" s="90" t="str">
        <f t="array" ref="I18">XLOOKUP(C18,'Master Data'!C:C,'Master Data'!H:H)</f>
        <v>All that piece and parcel of property bearing Private Plot No. 40, having an area admeasuring of H. 00-00.98 Ares, i.e. 1058 sq. fees., out of the project known as Sai Balaji Greens carved out of land bearing Survey No. 7, Hissa No. 6/6, admeasuring of H. 00-21 Ares, assessed at Rs. 00-75 Ares, situated at Village – Manjari Budruk, Taluka – Haveli, District – Pune</v>
      </c>
      <c r="J18" s="91" t="s">
        <v>12</v>
      </c>
      <c r="K18" s="92"/>
      <c r="L18" s="92"/>
      <c r="M18" s="23" t="s">
        <v>857</v>
      </c>
      <c r="N18" s="23" t="s">
        <v>805</v>
      </c>
      <c r="O18" s="23"/>
    </row>
    <row r="19">
      <c r="A19" s="93">
        <f t="array" ref="A19">XLOOKUP(C19,'TSR Initiation'!C:C,'TSR Initiation'!A:A)</f>
        <v>576</v>
      </c>
      <c r="B19" s="71" t="s">
        <v>11</v>
      </c>
      <c r="C19" s="10">
        <v>7.700024022E10</v>
      </c>
      <c r="D19" s="88" t="str">
        <f t="array" ref="D19">XLOOKUP(C19,'Master Data'!C:C,'Master Data'!D:D)</f>
        <v>Kolhapur</v>
      </c>
      <c r="E19" s="71" t="str">
        <f t="array" ref="E19">XLOOKUP(C19,'TSR Initiation'!C:C,'TSR Initiation'!E:E)</f>
        <v>04.04.2026</v>
      </c>
      <c r="F19" s="88" t="str">
        <f t="array" ref="F19">XLOOKUP(C19,'Master Data'!C:C,'Master Data'!E:E)</f>
        <v>Subhash Shamrao Patil</v>
      </c>
      <c r="G19" s="89" t="str">
        <f t="array" ref="G19">XLOOKUP(C19,'Master Data'!C:C,'Master Data'!F:F)</f>
        <v>Suman Subhash Patil</v>
      </c>
      <c r="H19" s="89" t="str">
        <f t="array" ref="H19">XLOOKUP(C19,'Master Data'!C:C,'Master Data'!G:G)</f>
        <v>Apana Ghar Regular</v>
      </c>
      <c r="I19" s="90" t="str">
        <f t="array" ref="I19">XLOOKUP(C19,'Master Data'!C:C,'Master Data'!H:H)</f>
        <v>All that piece and parcel of non-agricultural property admeasuring of H. 00-02 Ares, i.e. 200 sq. mtrs., out of Survey No. 15, Hissa No. 3/1, having total area admeasuring of H. 00-32 Ares, assessed at Rs. 04-25 Paise, situated at Village – Kokrud, Taluka – Shirala, District – Sangli</v>
      </c>
      <c r="J19" s="91" t="s">
        <v>12</v>
      </c>
      <c r="K19" s="92"/>
      <c r="L19" s="92"/>
      <c r="M19" s="23" t="s">
        <v>857</v>
      </c>
      <c r="N19" s="23" t="s">
        <v>805</v>
      </c>
      <c r="O19" s="23"/>
    </row>
    <row r="20">
      <c r="A20" s="93">
        <f t="array" ref="A20">XLOOKUP(C20,'TSR Initiation'!C:C,'TSR Initiation'!A:A)</f>
        <v>578</v>
      </c>
      <c r="B20" s="71" t="s">
        <v>11</v>
      </c>
      <c r="C20" s="10">
        <v>7.7000225313E10</v>
      </c>
      <c r="D20" s="88" t="str">
        <f t="array" ref="D20">XLOOKUP(C20,'Master Data'!C:C,'Master Data'!D:D)</f>
        <v>Kolhapur</v>
      </c>
      <c r="E20" s="71" t="str">
        <f t="array" ref="E20">XLOOKUP(C20,'TSR Initiation'!C:C,'TSR Initiation'!E:E)</f>
        <v>06.04.2026</v>
      </c>
      <c r="F20" s="88" t="str">
        <f t="array" ref="F20">XLOOKUP(C20,'Master Data'!C:C,'Master Data'!E:E)</f>
        <v>Tanaji Rau Vithekar</v>
      </c>
      <c r="G20" s="89" t="str">
        <f t="array" ref="G20">XLOOKUP(C20,'Master Data'!C:C,'Master Data'!F:F)</f>
        <v/>
      </c>
      <c r="H20" s="89" t="str">
        <f t="array" ref="H20">XLOOKUP(C20,'Master Data'!C:C,'Master Data'!G:G)</f>
        <v>Apana Ghar Regular (HL Self Construction)</v>
      </c>
      <c r="I20" s="90" t="str">
        <f t="array" ref="I20">XLOOKUP(C20,'Master Data'!C:C,'Master Data'!H:H)</f>
        <v>All that piece and parcel of the non-agricultural property bearing CTS No. 65, admeasuring 174.09 Sq. Mtrs., together with an existing structure constructed of stone, brick and mud, having a built-up area admeasuring 52.12 Sq. Mtrs., situated at Village Akurde, Taluka Panhala, District Kolhapur</v>
      </c>
      <c r="J20" s="91" t="s">
        <v>12</v>
      </c>
      <c r="K20" s="92"/>
      <c r="L20" s="92"/>
      <c r="M20" s="23" t="s">
        <v>857</v>
      </c>
      <c r="N20" s="23" t="s">
        <v>859</v>
      </c>
      <c r="O20" s="23"/>
    </row>
    <row r="21">
      <c r="A21" s="93">
        <f t="array" ref="A21">XLOOKUP(C21,'TSR Initiation'!C:C,'TSR Initiation'!A:A)</f>
        <v>579</v>
      </c>
      <c r="B21" s="71" t="s">
        <v>11</v>
      </c>
      <c r="C21" s="10">
        <v>7.700025607E10</v>
      </c>
      <c r="D21" s="88" t="str">
        <f t="array" ref="D21">XLOOKUP(C21,'Master Data'!C:C,'Master Data'!D:D)</f>
        <v>Baner</v>
      </c>
      <c r="E21" s="71" t="str">
        <f t="array" ref="E21">XLOOKUP(C21,'TSR Initiation'!C:C,'TSR Initiation'!E:E)</f>
        <v>04.04.2026</v>
      </c>
      <c r="F21" s="88" t="str">
        <f t="array" ref="F21">XLOOKUP(C21,'Master Data'!C:C,'Master Data'!E:E)</f>
        <v>Subrata Nitai Patra</v>
      </c>
      <c r="G21" s="89" t="str">
        <f t="array" ref="G21">XLOOKUP(C21,'Master Data'!C:C,'Master Data'!F:F)</f>
        <v>Nil</v>
      </c>
      <c r="H21" s="89" t="str">
        <f t="array" ref="H21">XLOOKUP(C21,'Master Data'!C:C,'Master Data'!G:G)</f>
        <v>LAP BT + TOP UP</v>
      </c>
      <c r="I21" s="90" t="str">
        <f t="array" ref="I21">XLOOKUP(C21,'Master Data'!C:C,'Master Data'!H:H)</f>
        <v>All that piece and parcel of the property being Residential Apartment No. 7, admeasuring 74.34 Sq. Mtrs. built-up area, situated on the Third Floor, in the building known as “Vitthal Rukhmini Apartment”, constructed on the land bearing City Survey No. 477-A, situated at Raviwar Peth (Gaothan), Pune, Taluka Haveli, District Pune, within the local limits of Pune Municipal Corporation, Pune together with 12.86% undivided share in the common areas and facilities and all other rights, easements and appurtenances thereto.</v>
      </c>
      <c r="J21" s="91" t="s">
        <v>12</v>
      </c>
      <c r="K21" s="92"/>
      <c r="L21" s="92"/>
      <c r="M21" s="23" t="s">
        <v>857</v>
      </c>
      <c r="N21" s="23" t="s">
        <v>859</v>
      </c>
      <c r="O21" s="23"/>
    </row>
    <row r="22">
      <c r="A22" s="93">
        <f t="array" ref="A22">XLOOKUP(C22,'TSR Initiation'!C:C,'TSR Initiation'!A:A)</f>
        <v>580</v>
      </c>
      <c r="B22" s="71" t="s">
        <v>11</v>
      </c>
      <c r="C22" s="10">
        <v>7.7000251375E10</v>
      </c>
      <c r="D22" s="88" t="str">
        <f t="array" ref="D22">XLOOKUP(C22,'Master Data'!C:C,'Master Data'!D:D)</f>
        <v>Kolhapur</v>
      </c>
      <c r="E22" s="71" t="str">
        <f t="array" ref="E22">XLOOKUP(C22,'TSR Initiation'!C:C,'TSR Initiation'!E:E)</f>
        <v>07.04.2026</v>
      </c>
      <c r="F22" s="88" t="str">
        <f t="array" ref="F22">XLOOKUP(C22,'Master Data'!C:C,'Master Data'!E:E)</f>
        <v>Jagdish Mohanram Mahariya</v>
      </c>
      <c r="G22" s="89" t="str">
        <f t="array" ref="G22">XLOOKUP(C22,'Master Data'!C:C,'Master Data'!F:F)</f>
        <v>Dhannaram Mohanram Maharia</v>
      </c>
      <c r="H22" s="89" t="str">
        <f t="array" ref="H22">XLOOKUP(C22,'Master Data'!C:C,'Master Data'!G:G)</f>
        <v>LAP</v>
      </c>
      <c r="I22" s="90" t="str">
        <f t="array" ref="I22">XLOOKUP(C22,'Master Data'!C:C,'Master Data'!H:H)</f>
        <v>All that piece and parcel of property admeasuring of H. 00-14 Ares, out of Gat No. 54, having an area admeasuring of H. 00-85 Ares, together with Pot-Kharab area admeasuring of H. 00-09 Ares, assessed at Rs. 01-75 Paise, situated at Village – Vikaswadi, Taluka – Karveer, District – Kolhapur</v>
      </c>
      <c r="J22" s="91" t="s">
        <v>12</v>
      </c>
      <c r="K22" s="92"/>
      <c r="L22" s="92"/>
      <c r="M22" s="23" t="s">
        <v>857</v>
      </c>
      <c r="N22" s="23" t="s">
        <v>859</v>
      </c>
      <c r="O22" s="23"/>
    </row>
    <row r="23">
      <c r="A23" s="93">
        <f t="array" ref="A23">XLOOKUP(C23,'TSR Initiation'!C:C,'TSR Initiation'!A:A)</f>
        <v>581</v>
      </c>
      <c r="B23" s="71" t="s">
        <v>11</v>
      </c>
      <c r="C23" s="10">
        <v>7.792147873E9</v>
      </c>
      <c r="D23" s="88" t="str">
        <f t="array" ref="D23">XLOOKUP(C23,'Master Data'!C:C,'Master Data'!D:D)</f>
        <v>Baner</v>
      </c>
      <c r="E23" s="71" t="str">
        <f t="array" ref="E23">XLOOKUP(C23,'TSR Initiation'!C:C,'TSR Initiation'!E:E)</f>
        <v>09.04.2026</v>
      </c>
      <c r="F23" s="88" t="str">
        <f t="array" ref="F23">XLOOKUP(C23,'Master Data'!C:C,'Master Data'!E:E)</f>
        <v>Mahika Sales and Services Private Limited</v>
      </c>
      <c r="G23" s="89" t="str">
        <f t="array" ref="G23">XLOOKUP(C23,'Master Data'!C:C,'Master Data'!F:F)</f>
        <v>Mr. Mahendrakumar Pandit Patil 
Mrs. Kavita Mahendrakumar Patil</v>
      </c>
      <c r="H23" s="89" t="str">
        <f t="array" ref="H23">XLOOKUP(C23,'Master Data'!C:C,'Master Data'!G:G)</f>
        <v>Plot Purchase</v>
      </c>
      <c r="I23" s="90" t="str">
        <f t="array" ref="I23">XLOOKUP(C23,'Master Data'!C:C,'Master Data'!H:H)</f>
        <v>All that piece and parcel of the plot being Plot No. D–13, admeasuring 86.40 Sq. Mtrs., together with proportionate (pro-rata) built-up area admeasuring 49.784 Sq. Mtrs., aggregating to total area admeasuring 136.184 Sq. Mtrs., having total permissible built-up area admeasuring 144.82 Sq. Mtrs., being part of the sanctioned layout known as “Sai Kuber Jewel”, as per Layout Plan bearing No. BP/Layout/Dudulgaon/37/2024 dated 12.07.2024 sanctioned by Pimpri Chinchwad Municipal Corporation, constructed on the land bearing Survey No. 216/1A, admeasuring 3789 Sq. Mtrs., situated at Village Dudulgaon, within the limits of Pimpri Chinchwad Municipal Corporation, Taluka Haveli, District Pune, together with all rights, easements and appurtenances thereto</v>
      </c>
      <c r="J23" s="91" t="s">
        <v>12</v>
      </c>
      <c r="K23" s="92"/>
      <c r="L23" s="92"/>
      <c r="M23" s="23" t="s">
        <v>857</v>
      </c>
      <c r="N23" s="23" t="s">
        <v>859</v>
      </c>
      <c r="O23" s="23"/>
    </row>
    <row r="24">
      <c r="A24" s="93">
        <f t="array" ref="A24">XLOOKUP(C24,'TSR Initiation'!C:C,'TSR Initiation'!A:A)</f>
        <v>582</v>
      </c>
      <c r="B24" s="71" t="s">
        <v>11</v>
      </c>
      <c r="C24" s="10">
        <v>7.800236434E9</v>
      </c>
      <c r="D24" s="88" t="str">
        <f t="array" ref="D24">XLOOKUP(C24,'Master Data'!C:C,'Master Data'!D:D)</f>
        <v>Wakad</v>
      </c>
      <c r="E24" s="71" t="str">
        <f t="array" ref="E24">XLOOKUP(C24,'TSR Initiation'!C:C,'TSR Initiation'!E:E)</f>
        <v>07.04.2026</v>
      </c>
      <c r="F24" s="88" t="str">
        <f t="array" ref="F24">XLOOKUP(C24,'Master Data'!C:C,'Master Data'!E:E)</f>
        <v>Kanisfatima Imran Shaikh</v>
      </c>
      <c r="G24" s="89" t="str">
        <f t="array" ref="G24">XLOOKUP(C24,'Master Data'!C:C,'Master Data'!F:F)</f>
        <v>Imran Anwar Shaikh </v>
      </c>
      <c r="H24" s="89" t="str">
        <f t="array" ref="H24">XLOOKUP(C24,'Master Data'!C:C,'Master Data'!G:G)</f>
        <v>Resale</v>
      </c>
      <c r="I24" s="90" t="str">
        <f t="array" ref="I24">XLOOKUP(C24,'Master Data'!C:C,'Master Data'!H:H)</f>
        <v>All that piece and parcel of the property being Flat No. 122, admeasuring 693 Sq. Ft. i.e. 64.38 Sq. Mtrs. saleable area, situated on the Sixth Floor, in Wing “A” of the building known as “Waghere Towers”, constructed on the land bearing Survey No. 101/1B, CTS No. 6449 (part), situated at Village Pimpri Waghere, within the limits of Pimpri Chinchwad Municipal Corporation, Taluka Haveli, District Pune, together with all rights, easements and appurtenances thereto.</v>
      </c>
      <c r="J24" s="91" t="s">
        <v>12</v>
      </c>
      <c r="K24" s="92"/>
      <c r="L24" s="92"/>
      <c r="M24" s="23" t="s">
        <v>857</v>
      </c>
      <c r="N24" s="23" t="s">
        <v>859</v>
      </c>
      <c r="O24" s="23"/>
    </row>
    <row r="25">
      <c r="A25" s="93">
        <f t="array" ref="A25">XLOOKUP(C25,'TSR Initiation'!C:C,'TSR Initiation'!A:A)</f>
        <v>586</v>
      </c>
      <c r="B25" s="71" t="s">
        <v>11</v>
      </c>
      <c r="C25" s="10">
        <v>7.7000252808E10</v>
      </c>
      <c r="D25" s="88" t="str">
        <f t="array" ref="D25">XLOOKUP(C25,'Master Data'!C:C,'Master Data'!D:D)</f>
        <v>Baner</v>
      </c>
      <c r="E25" s="71" t="str">
        <f t="array" ref="E25">XLOOKUP(C25,'TSR Initiation'!C:C,'TSR Initiation'!E:E)</f>
        <v>07.04.2026</v>
      </c>
      <c r="F25" s="88" t="str">
        <f t="array" ref="F25">XLOOKUP(C25,'Master Data'!C:C,'Master Data'!E:E)</f>
        <v>Prem Wilfred alosias Paul Monis </v>
      </c>
      <c r="G25" s="89" t="str">
        <f t="array" ref="G25">XLOOKUP(C25,'Master Data'!C:C,'Master Data'!F:F)</f>
        <v>Zitha Pinto</v>
      </c>
      <c r="H25" s="89" t="str">
        <f t="array" ref="H25">XLOOKUP(C25,'Master Data'!C:C,'Master Data'!G:G)</f>
        <v>HL Resale</v>
      </c>
      <c r="I25" s="90" t="str">
        <f t="array" ref="I25">XLOOKUP(C25,'Master Data'!C:C,'Master Data'!H:H)</f>
        <v>All that piece and parcel of property bearing Flat No. B-404, having an area admeasuring of 55.28 sq. mtrs., i.e. 595 sq. feets., (Carpet), along with terrace area admeasuring of 4.18 sq. mtrs., i.e. 45 sq. feets., situated on the Fourth Floor, out of the project known as “Nital Residency”, constructed on the entire land property, i.e. Survey No. 35, Hissa No. 1, situated at Village – Narhe, Taluka – Haveli, District – Pune and within local limits of Pune Municipal Corporation, Pune.</v>
      </c>
      <c r="J25" s="91" t="s">
        <v>12</v>
      </c>
      <c r="K25" s="92"/>
      <c r="L25" s="92"/>
      <c r="M25" s="23" t="s">
        <v>857</v>
      </c>
      <c r="N25" s="23" t="s">
        <v>802</v>
      </c>
      <c r="O25" s="23"/>
    </row>
    <row r="26">
      <c r="A26" s="93">
        <f t="array" ref="A26">XLOOKUP(C26,'TSR Initiation'!C:C,'TSR Initiation'!A:A)</f>
        <v>587</v>
      </c>
      <c r="B26" s="71" t="s">
        <v>11</v>
      </c>
      <c r="C26" s="10">
        <v>7.7000251513E10</v>
      </c>
      <c r="D26" s="88" t="str">
        <f t="array" ref="D26">XLOOKUP(C26,'Master Data'!C:C,'Master Data'!D:D)</f>
        <v>Chinchwad</v>
      </c>
      <c r="E26" s="71" t="str">
        <f t="array" ref="E26">XLOOKUP(C26,'TSR Initiation'!C:C,'TSR Initiation'!E:E)</f>
        <v>10.04.2026</v>
      </c>
      <c r="F26" s="88" t="str">
        <f t="array" ref="F26">XLOOKUP(C26,'Master Data'!C:C,'Master Data'!E:E)</f>
        <v>Mr. Omprakash Sharma</v>
      </c>
      <c r="G26" s="89" t="str">
        <f t="array" ref="G26">XLOOKUP(C26,'Master Data'!C:C,'Master Data'!F:F)</f>
        <v>Mrs. Kiran Devi, W/o. Omprakash Sharma</v>
      </c>
      <c r="H26" s="89" t="str">
        <f t="array" ref="H26">XLOOKUP(C26,'Master Data'!C:C,'Master Data'!G:G)</f>
        <v>Builder Purchase</v>
      </c>
      <c r="I26" s="90" t="str">
        <f t="array" ref="I26">XLOOKUP(C26,'Master Data'!C:C,'Master Data'!H:H)</f>
        <v>All that piece and parcel of the Flat No.301 admeasuring 25.35 Sq. Mtrs. (Carpet Area) along with Enclosed Balcony admeasuring 7.45 Sq. Mtrs. and Open Balcony admeasuring 2.80 Sq. Mtrs. on the Third Floor, in the said project known as "Lotus Residency", constructed on the Private Plot No. 11 and 12 carved out of Survey No. 13/1A/3/2, situated at Village – Mamrudi, Taluka – Haveli, District – Pune and within local limits of Pimpri Chinchwad Municipal Corporation, Pimpri.</v>
      </c>
      <c r="J26" s="91" t="s">
        <v>12</v>
      </c>
      <c r="K26" s="92"/>
      <c r="L26" s="92"/>
      <c r="M26" s="23" t="s">
        <v>857</v>
      </c>
      <c r="N26" s="23" t="s">
        <v>802</v>
      </c>
      <c r="O26" s="23"/>
    </row>
    <row r="27">
      <c r="A27" s="93">
        <f t="array" ref="A27">XLOOKUP(C27,'TSR Initiation'!C:C,'TSR Initiation'!A:A)</f>
        <v>585</v>
      </c>
      <c r="B27" s="71" t="s">
        <v>11</v>
      </c>
      <c r="C27" s="10">
        <v>7.792145952E9</v>
      </c>
      <c r="D27" s="88" t="str">
        <f t="array" ref="D27">XLOOKUP(C27,'Master Data'!C:C,'Master Data'!D:D)</f>
        <v>Wakad</v>
      </c>
      <c r="E27" s="71" t="str">
        <f t="array" ref="E27">XLOOKUP(C27,'TSR Initiation'!C:C,'TSR Initiation'!E:E)</f>
        <v>09.04.2026</v>
      </c>
      <c r="F27" s="88" t="str">
        <f t="array" ref="F27">XLOOKUP(C27,'Master Data'!C:C,'Master Data'!E:E)</f>
        <v>Amar Keshav Khote</v>
      </c>
      <c r="G27" s="89" t="str">
        <f t="array" ref="G27">XLOOKUP(C27,'Master Data'!C:C,'Master Data'!F:F)</f>
        <v>Shubhangi Amar Khote</v>
      </c>
      <c r="H27" s="89" t="str">
        <f t="array" ref="H27">XLOOKUP(C27,'Master Data'!C:C,'Master Data'!G:G)</f>
        <v>Resale</v>
      </c>
      <c r="I27" s="90" t="str">
        <f t="array" ref="I27">XLOOKUP(C27,'Master Data'!C:C,'Master Data'!H:H)</f>
        <v>All that piece and parcel of the property being Apartment/Flat No. 311, admeasuring 37.77 Sq. Mtrs. carpet area, along with balcony admeasuring 4.59 Sq. Mtrs. and one covered car parking space, situated on the Second Residential Habitable Floor, in Building/Tower “D” of the project known as “Life Republic – Sector R-10 / Avenue-10 (Universe) Phase-4”, constructed on land bearing New Survey No. 86 (Old Survey No. 78/1 Part, 80, 81 Part and others), New Survey No. 74/B (Old Survey No. 74/2, 74/3, 74/9/2 and others) and out of Survey Nos. 124/1/1 (Part), 124/1/2 (Part), 124/2 (Part) and others, situated at Villages Jambe, Nere and Marunji, Taluka Mulshi, District Pune, together with all rights, easements and appurtenances thereto.</v>
      </c>
      <c r="J27" s="91" t="s">
        <v>12</v>
      </c>
      <c r="K27" s="92"/>
      <c r="L27" s="92"/>
      <c r="M27" s="23" t="s">
        <v>857</v>
      </c>
      <c r="N27" s="23" t="s">
        <v>802</v>
      </c>
      <c r="O27" s="23"/>
    </row>
    <row r="28">
      <c r="A28" s="93">
        <f t="array" ref="A28">XLOOKUP(C28,'TSR Initiation'!C:C,'TSR Initiation'!A:A)</f>
        <v>577</v>
      </c>
      <c r="B28" s="71" t="s">
        <v>11</v>
      </c>
      <c r="C28" s="10">
        <v>7.7000254383E10</v>
      </c>
      <c r="D28" s="88" t="str">
        <f t="array" ref="D28">XLOOKUP(C28,'Master Data'!C:C,'Master Data'!D:D)</f>
        <v>Kolhapur</v>
      </c>
      <c r="E28" s="71" t="str">
        <f t="array" ref="E28">XLOOKUP(C28,'TSR Initiation'!C:C,'TSR Initiation'!E:E)</f>
        <v>06.04.2026</v>
      </c>
      <c r="F28" s="88" t="str">
        <f t="array" ref="F28">XLOOKUP(C28,'Master Data'!C:C,'Master Data'!E:E)</f>
        <v>Tajmohammad</v>
      </c>
      <c r="G28" s="89" t="str">
        <f t="array" ref="G28">XLOOKUP(C28,'Master Data'!C:C,'Master Data'!F:F)</f>
        <v>Khairul Nesha</v>
      </c>
      <c r="H28" s="89" t="str">
        <f t="array" ref="H28">XLOOKUP(C28,'Master Data'!C:C,'Master Data'!G:G)</f>
        <v>Apana Ghar Regular</v>
      </c>
      <c r="I28" s="90" t="str">
        <f t="array" ref="I28">XLOOKUP(C28,'Master Data'!C:C,'Master Data'!H:H)</f>
        <v>All that piece and parcel of property admeasuring of Gat No. 298/1A/Plot No./37, having an area admeasuring of 66 sq. mtrs., together with RCC building consisting of Ground Floor having built-up area admeasuring of 52.80 sq. mtrs., and First Floor having built-up area admeasuring of 52.80 sq. mtrs., i.e. total built-up area admeasuring of 105.60 sq. mtrs., situated at Village – Kalambe Tarfe Thane, Taluka – Karveer, District – Kolhapur</v>
      </c>
      <c r="J28" s="91" t="s">
        <v>12</v>
      </c>
      <c r="K28" s="92"/>
      <c r="L28" s="92"/>
      <c r="M28" s="23" t="s">
        <v>857</v>
      </c>
      <c r="N28" s="23" t="s">
        <v>805</v>
      </c>
      <c r="O28" s="23"/>
    </row>
    <row r="29">
      <c r="A29" s="93">
        <f t="array" ref="A29">XLOOKUP(C29,'TSR Initiation'!C:C,'TSR Initiation'!A:A)</f>
        <v>590</v>
      </c>
      <c r="B29" s="71" t="s">
        <v>11</v>
      </c>
      <c r="C29" s="20" t="s">
        <v>118</v>
      </c>
      <c r="D29" s="88" t="str">
        <f t="array" ref="D29">XLOOKUP(C29,'Master Data'!C:C,'Master Data'!D:D)</f>
        <v>Main</v>
      </c>
      <c r="E29" s="71" t="str">
        <f t="array" ref="E29">XLOOKUP(C29,'TSR Initiation'!C:C,'TSR Initiation'!E:E)</f>
        <v>13.04.2026</v>
      </c>
      <c r="F29" s="88" t="str">
        <f t="array" ref="F29">XLOOKUP(C29,'Master Data'!C:C,'Master Data'!E:E)</f>
        <v>Aaiji Developers </v>
      </c>
      <c r="G29" s="89" t="str">
        <f t="array" ref="G29">XLOOKUP(C29,'Master Data'!C:C,'Master Data'!F:F)</f>
        <v>Jiwaram Magaji Choudhary 
Suresh Jiwaram Choudhary
Hemant Jiwaram Choudhary</v>
      </c>
      <c r="H29" s="89" t="str">
        <f t="array" ref="H29">XLOOKUP(C29,'Master Data'!C:C,'Master Data'!G:G)</f>
        <v>Lap Commercial</v>
      </c>
      <c r="I29" s="90" t="str">
        <f t="array" ref="I29">XLOOKUP(C29,'Master Data'!C:C,'Master Data'!H:H)</f>
        <v>All that piece and parcel of property bearing Office No. 401, having carpet area admeasuring of 714.50 sq. mtrs., situated on the Fourth Floor, out of the project known as “Solitaire Business Hub – Baner”, constructed on the entire land bearing Survey No. 3/7B,+ 9 situated at Village Baner, Taluka – Haveli, District – Pune and within local limits of Pune Municipal Corporation, Pune.</v>
      </c>
      <c r="J29" s="91" t="s">
        <v>12</v>
      </c>
      <c r="K29" s="92"/>
      <c r="L29" s="92"/>
      <c r="M29" s="23" t="s">
        <v>857</v>
      </c>
      <c r="N29" s="23" t="s">
        <v>814</v>
      </c>
      <c r="O29" s="23"/>
    </row>
    <row r="30">
      <c r="A30" s="93">
        <f t="array" ref="A30">XLOOKUP(C30,'TSR Initiation'!C:C,'TSR Initiation'!A:A)</f>
        <v>591</v>
      </c>
      <c r="B30" s="71" t="s">
        <v>11</v>
      </c>
      <c r="C30" s="20" t="s">
        <v>124</v>
      </c>
      <c r="D30" s="88" t="str">
        <f t="array" ref="D30">XLOOKUP(C30,'Master Data'!C:C,'Master Data'!D:D)</f>
        <v>Main</v>
      </c>
      <c r="E30" s="71" t="str">
        <f t="array" ref="E30">XLOOKUP(C30,'TSR Initiation'!C:C,'TSR Initiation'!E:E)</f>
        <v>13.04.2026</v>
      </c>
      <c r="F30" s="88" t="str">
        <f t="array" ref="F30">XLOOKUP(C30,'Master Data'!C:C,'Master Data'!E:E)</f>
        <v>Aaiji Developers </v>
      </c>
      <c r="G30" s="89" t="str">
        <f t="array" ref="G30">XLOOKUP(C30,'Master Data'!C:C,'Master Data'!F:F)</f>
        <v>Jiwaram Magaji Choudhary 
Suresh Jiwaram Choudhary
Hemant Jiwaram Choudhary</v>
      </c>
      <c r="H30" s="89" t="str">
        <f t="array" ref="H30">XLOOKUP(C30,'Master Data'!C:C,'Master Data'!G:G)</f>
        <v>Lap Commercial</v>
      </c>
      <c r="I30" s="90" t="str">
        <f t="array" ref="I30">XLOOKUP(C30,'Master Data'!C:C,'Master Data'!H:H)</f>
        <v>All that piece and parcel of property bearing Office No. 501, having carpet area admeasuring of 714.50 sq. mtrs., situated on the Fifth Floor, out of the project known as “Solitaire Business Hub – Baner”, constructed on the entire land bearing Survey No. 3/7B,+ 9 situated at Village Baner, Taluka – Haveli, District – Pune and within local limits of Pune Municipal Corporation, Pune.</v>
      </c>
      <c r="J30" s="91" t="s">
        <v>12</v>
      </c>
      <c r="K30" s="92"/>
      <c r="L30" s="92"/>
      <c r="M30" s="23" t="s">
        <v>857</v>
      </c>
      <c r="N30" s="23" t="s">
        <v>814</v>
      </c>
      <c r="O30" s="23"/>
    </row>
    <row r="31">
      <c r="A31" s="93">
        <f t="array" ref="A31">XLOOKUP(C31,'TSR Initiation'!C:C,'TSR Initiation'!A:A)</f>
        <v>584</v>
      </c>
      <c r="B31" s="71" t="s">
        <v>11</v>
      </c>
      <c r="C31" s="10">
        <v>7.7000249626E10</v>
      </c>
      <c r="D31" s="88" t="str">
        <f t="array" ref="D31">XLOOKUP(C31,'Master Data'!C:C,'Master Data'!D:D)</f>
        <v>Kharadi</v>
      </c>
      <c r="E31" s="71" t="str">
        <f t="array" ref="E31">XLOOKUP(C31,'TSR Initiation'!C:C,'TSR Initiation'!E:E)</f>
        <v>08.04.2026</v>
      </c>
      <c r="F31" s="88" t="str">
        <f t="array" ref="F31">XLOOKUP(C31,'Master Data'!C:C,'Master Data'!E:E)</f>
        <v>Amit Arvind Kadam</v>
      </c>
      <c r="G31" s="89" t="str">
        <f t="array" ref="G31">XLOOKUP(C31,'Master Data'!C:C,'Master Data'!F:F)</f>
        <v>Pallavi Amit Kadam</v>
      </c>
      <c r="H31" s="89" t="str">
        <f t="array" ref="H31">XLOOKUP(C31,'Master Data'!C:C,'Master Data'!G:G)</f>
        <v>Balance Transfer</v>
      </c>
      <c r="I31" s="90" t="str">
        <f t="array" ref="I31">XLOOKUP(C31,'Master Data'!C:C,'Master Data'!H:H)</f>
        <v>All that piece and parcel of the property being Apartment No. 1304, admeasuring 53.52 Sq. Mtrs. carpet area, along with adjoining open balcony admeasuring 7.68 Sq. Mtrs., situated on the Thirteenth Floor, in Building No. “B” of the project known as “Yashada Supreme”, constructed on land bearing Gat No. 96 admeasuring 2 H 25 R (including Pot Kharaba area 0 H 3 R) and Gat No. 97 admeasuring 0 H 64 R (including Pot Kharaba area 0 H 1 R), aggregating to total land admeasuring 2 H 30 R, situated at Village Dudulgaon, Taluka Haveli, District Pune, within the limits of Pimpri Chinchwad Municipal Corporation, together with all rights, easements and appurtenances thereto.</v>
      </c>
      <c r="J31" s="91" t="s">
        <v>12</v>
      </c>
      <c r="K31" s="92"/>
      <c r="L31" s="92"/>
      <c r="M31" s="23" t="s">
        <v>857</v>
      </c>
      <c r="N31" s="23" t="s">
        <v>859</v>
      </c>
      <c r="O31" s="23"/>
    </row>
    <row r="32">
      <c r="A32" s="93">
        <f t="array" ref="A32">XLOOKUP(C32,'TSR Initiation'!C:C,'TSR Initiation'!A:A)</f>
        <v>591</v>
      </c>
      <c r="B32" s="71" t="s">
        <v>11</v>
      </c>
      <c r="C32" s="94">
        <v>7.7000244624E10</v>
      </c>
      <c r="D32" s="88" t="str">
        <f t="array" ref="D32">XLOOKUP(C32,'Master Data'!C:C,'Master Data'!D:D)</f>
        <v>Baner</v>
      </c>
      <c r="E32" s="71" t="str">
        <f t="array" ref="E32">XLOOKUP(C32,'TSR Initiation'!C:C,'TSR Initiation'!E:E)</f>
        <v>10.04.2026</v>
      </c>
      <c r="F32" s="88" t="str">
        <f t="array" ref="F32">XLOOKUP(C32,'Master Data'!C:C,'Master Data'!E:E)</f>
        <v>Rekha Ankush Kongale</v>
      </c>
      <c r="G32" s="89" t="str">
        <f t="array" ref="G32">XLOOKUP(C32,'Master Data'!C:C,'Master Data'!F:F)</f>
        <v>Ankush Vyankat Kongale</v>
      </c>
      <c r="H32" s="89" t="str">
        <f t="array" ref="H32">XLOOKUP(C32,'Master Data'!C:C,'Master Data'!G:G)</f>
        <v>BUILDER PURCHASE</v>
      </c>
      <c r="I32" s="90" t="str">
        <f t="array" ref="I32">XLOOKUP(C32,'Master Data'!C:C,'Master Data'!H:H)</f>
        <v>All that piece and parcel of the residential premises being Flat No. 705, situated at Seventh Floor, admeasuring about 427.87 Sq. ft. = 39.76 Sq. mtrs. carpet alongwith balcony admeasuring about 50.26 Sq. ft. = 4.67 Sq. mtrs. thus total admeasuring about 478.13 Sq. ft. = 44.42 Sq. mtrs. in the building of Nakshatra Residency Cooperative Housing Society Ltd. constructed on land Survey No. 43, Hissa No. 7/2A/1/1 and Survey No. 43, Hissa No. 7/2B, situated at Village Katraj, Taluka Haveli, District Pune and within local limits of Pune Municipal Corportion, Pune.</v>
      </c>
      <c r="J32" s="91" t="s">
        <v>12</v>
      </c>
      <c r="K32" s="92"/>
      <c r="L32" s="92"/>
      <c r="M32" s="23" t="s">
        <v>857</v>
      </c>
      <c r="N32" s="23" t="s">
        <v>814</v>
      </c>
      <c r="O32" s="23"/>
    </row>
    <row r="33">
      <c r="A33" s="93">
        <f t="array" ref="A33">XLOOKUP(C33,'TSR Initiation'!C:C,'TSR Initiation'!A:A)</f>
        <v>583</v>
      </c>
      <c r="B33" s="71" t="s">
        <v>11</v>
      </c>
      <c r="C33" s="10">
        <v>7.7000251172E10</v>
      </c>
      <c r="D33" s="88" t="str">
        <f t="array" ref="D33">XLOOKUP(C33,'Master Data'!C:C,'Master Data'!D:D)</f>
        <v>Vishrantwadi</v>
      </c>
      <c r="E33" s="71" t="str">
        <f t="array" ref="E33">XLOOKUP(C33,'TSR Initiation'!C:C,'TSR Initiation'!E:E)</f>
        <v>15.04.2026</v>
      </c>
      <c r="F33" s="88" t="str">
        <f t="array" ref="F33">XLOOKUP(C33,'Master Data'!C:C,'Master Data'!E:E)</f>
        <v>Seema Abhijeet Rithe</v>
      </c>
      <c r="G33" s="89" t="str">
        <f t="array" ref="G33">XLOOKUP(C33,'Master Data'!C:C,'Master Data'!F:F)</f>
        <v> Nilesh Soundade</v>
      </c>
      <c r="H33" s="89" t="str">
        <f t="array" ref="H33">XLOOKUP(C33,'Master Data'!C:C,'Master Data'!G:G)</f>
        <v>Resale</v>
      </c>
      <c r="I33" s="90" t="str">
        <f t="array" ref="I33">XLOOKUP(C33,'Master Data'!C:C,'Master Data'!H:H)</f>
        <v>All that piece and parcel of the property being Flat No. 351, admeasuring 928 Sq. Ft. i.e. 86.25 Sq. Mtrs. carpet area, along with terrace admeasuring 109 Sq. Ft. i.e. 10.13 Sq. Mtrs., situated on the Third Floor, in Building No. “I” (Tropica I Co-operative Housing Society Limited) of the project known as “Tropica”, constructed on land bearing Survey Nos. 56/1A, 57/2, 58/1A and 57/1B, situated at Village Ravet, Taluka Haveli, District Pune, within the limits of Pimpri Chinchwad Municipal Corporation, together with Car Parking No. 727 (below central podium garden), bearing Property No. 1150103129.00 and Electricity Consumer No. 170074482328, along with all rights, easements and appurtenances thereto.</v>
      </c>
      <c r="J33" s="91" t="s">
        <v>12</v>
      </c>
      <c r="K33" s="92"/>
      <c r="L33" s="92"/>
      <c r="M33" s="23" t="s">
        <v>857</v>
      </c>
      <c r="N33" s="23" t="s">
        <v>814</v>
      </c>
      <c r="O33" s="23"/>
    </row>
    <row r="34">
      <c r="A34" s="93">
        <f t="array" ref="A34">XLOOKUP(C34,'TSR Initiation'!C:C,'TSR Initiation'!A:A)</f>
        <v>594</v>
      </c>
      <c r="B34" s="71" t="s">
        <v>11</v>
      </c>
      <c r="C34" s="26">
        <v>7.700025465E10</v>
      </c>
      <c r="D34" s="88" t="str">
        <f t="array" ref="D34">XLOOKUP(C34,'Master Data'!C:C,'Master Data'!D:D)</f>
        <v>Wakad</v>
      </c>
      <c r="E34" s="71" t="str">
        <f t="array" ref="E34">XLOOKUP(C34,'TSR Initiation'!C:C,'TSR Initiation'!E:E)</f>
        <v>14.04.2026</v>
      </c>
      <c r="F34" s="88" t="str">
        <f t="array" ref="F34">XLOOKUP(C34,'Master Data'!C:C,'Master Data'!E:E)</f>
        <v> Bhagwandatta Varma </v>
      </c>
      <c r="G34" s="89" t="str">
        <f t="array" ref="G34">XLOOKUP(C34,'Master Data'!C:C,'Master Data'!F:F)</f>
        <v>Nirmala Varma </v>
      </c>
      <c r="H34" s="89" t="str">
        <f t="array" ref="H34">XLOOKUP(C34,'Master Data'!C:C,'Master Data'!G:G)</f>
        <v>Lap</v>
      </c>
      <c r="I34" s="90" t="str">
        <f t="array" ref="I34">XLOOKUP(C34,'Master Data'!C:C,'Master Data'!H:H)</f>
        <v>All that piece and parcel of the property being Flat No. 13, admeasuring 850 Sq. Ft. i.e. 78.99 Sq. Mtrs., situated on the Second Floor, in Wing “B” of Building “B”, in the building known as “Swapnanagari”, constructed on land bearing Gat Nos. 381, 382, 383, 384, 385, 386, 370, 390 and 484/3, admeasuring total non-agricultural area 44,476.91 Sq. Mtrs., situated at Village Chakan, Taluka Khed, District Pune, together with all rights, easements and appurtenances thereto.</v>
      </c>
      <c r="J34" s="91" t="s">
        <v>12</v>
      </c>
      <c r="K34" s="92"/>
      <c r="L34" s="92"/>
      <c r="M34" s="23" t="s">
        <v>857</v>
      </c>
      <c r="N34" s="23" t="s">
        <v>819</v>
      </c>
      <c r="O34" s="23"/>
    </row>
    <row r="35">
      <c r="A35" s="93">
        <f t="array" ref="A35">XLOOKUP(C35,'TSR Initiation'!C:C,'TSR Initiation'!A:A)</f>
        <v>589</v>
      </c>
      <c r="B35" s="71" t="s">
        <v>11</v>
      </c>
      <c r="C35" s="6">
        <v>7.792151842E9</v>
      </c>
      <c r="D35" s="88" t="str">
        <f t="array" ref="D35">XLOOKUP(C35,'Master Data'!C:C,'Master Data'!D:D)</f>
        <v>Wakad</v>
      </c>
      <c r="E35" s="71" t="str">
        <f t="array" ref="E35">XLOOKUP(C35,'TSR Initiation'!C:C,'TSR Initiation'!E:E)</f>
        <v>13.04.2026</v>
      </c>
      <c r="F35" s="88" t="str">
        <f t="array" ref="F35">XLOOKUP(C35,'Master Data'!C:C,'Master Data'!E:E)</f>
        <v>Prabhakar Nagesh Tandale</v>
      </c>
      <c r="G35" s="89" t="str">
        <f t="array" ref="G35">XLOOKUP(C35,'Master Data'!C:C,'Master Data'!F:F)</f>
        <v>Aruna Prabhakar Tandale</v>
      </c>
      <c r="H35" s="89" t="str">
        <f t="array" ref="H35">XLOOKUP(C35,'Master Data'!C:C,'Master Data'!G:G)</f>
        <v>Builder Purchase Non APF</v>
      </c>
      <c r="I35" s="90" t="str">
        <f t="array" ref="I35">XLOOKUP(C35,'Master Data'!C:C,'Master Data'!H:H)</f>
        <v>All that piece and parcel of the Flat No. 403, admeasuring Carpet Area 37.44 Sq. Mtrs. along with Sit-out Area 3.57 Sq. Mtrs., situated on the Fourth Floor, in Building “D” (EWS) of the project known as “Gangadham Towers”, constructed on the land bearing CTS No. 370, Hissa No. 4 (earlier Survey No. 578, Hissa No. 2), situated at Village Bibwewadi (Munjeri), Taluka Pune City, District Pune, within the limits of Pune Municipal Corporation.</v>
      </c>
      <c r="J35" s="91" t="s">
        <v>12</v>
      </c>
      <c r="K35" s="92"/>
      <c r="L35" s="92"/>
      <c r="M35" s="23" t="s">
        <v>857</v>
      </c>
      <c r="N35" s="23" t="s">
        <v>819</v>
      </c>
      <c r="O35" s="23"/>
    </row>
    <row r="36">
      <c r="A36" s="93">
        <f t="array" ref="A36">XLOOKUP(C36,'TSR Initiation'!C:C,'TSR Initiation'!A:A)</f>
        <v>595</v>
      </c>
      <c r="B36" s="71" t="s">
        <v>11</v>
      </c>
      <c r="C36" s="6">
        <v>7.7000256348E10</v>
      </c>
      <c r="D36" s="88" t="str">
        <f t="array" ref="D36">XLOOKUP(C36,'Master Data'!C:C,'Master Data'!D:D)</f>
        <v>Main</v>
      </c>
      <c r="E36" s="71" t="str">
        <f t="array" ref="E36">XLOOKUP(C36,'TSR Initiation'!C:C,'TSR Initiation'!E:E)</f>
        <v>15.04.2026</v>
      </c>
      <c r="F36" s="88" t="str">
        <f t="array" ref="F36">XLOOKUP(C36,'Master Data'!C:C,'Master Data'!E:E)</f>
        <v>Mayur Shankar Amrale </v>
      </c>
      <c r="G36" s="89" t="str">
        <f t="array" ref="G36">XLOOKUP(C36,'Master Data'!C:C,'Master Data'!F:F)</f>
        <v>Kunal Shankar Amrale</v>
      </c>
      <c r="H36" s="89" t="str">
        <f t="array" ref="H36">XLOOKUP(C36,'Master Data'!C:C,'Master Data'!G:G)</f>
        <v>Case self contraction</v>
      </c>
      <c r="I36" s="90" t="str">
        <f t="array" ref="I36">XLOOKUP(C36,'Master Data'!C:C,'Master Data'!H:H)</f>
        <v>All that piece and parcel of property bearing CTS No. 41, having an area admeasuring of 164.31 sq. mtrs., situated at Village – Ambethan, Taluka – Khed, District – Pune.</v>
      </c>
      <c r="J36" s="91" t="s">
        <v>12</v>
      </c>
      <c r="K36" s="92"/>
      <c r="L36" s="92"/>
      <c r="M36" s="23" t="s">
        <v>857</v>
      </c>
      <c r="N36" s="23" t="s">
        <v>819</v>
      </c>
      <c r="O36" s="23"/>
    </row>
    <row r="37">
      <c r="A37" s="93">
        <f t="array" ref="A37">XLOOKUP(C37,'TSR Initiation'!C:C,'TSR Initiation'!A:A)</f>
        <v>596</v>
      </c>
      <c r="B37" s="71" t="s">
        <v>11</v>
      </c>
      <c r="C37" s="26">
        <v>7.7000232406E10</v>
      </c>
      <c r="D37" s="88" t="str">
        <f t="array" ref="D37">XLOOKUP(C37,'Master Data'!C:C,'Master Data'!D:D)</f>
        <v>Baner</v>
      </c>
      <c r="E37" s="71" t="str">
        <f t="array" ref="E37">XLOOKUP(C37,'TSR Initiation'!C:C,'TSR Initiation'!E:E)</f>
        <v>14.04.2026</v>
      </c>
      <c r="F37" s="88" t="str">
        <f t="array" ref="F37">XLOOKUP(C37,'Master Data'!C:C,'Master Data'!E:E)</f>
        <v>Saumya Umeshkumar Trivedi</v>
      </c>
      <c r="G37" s="89" t="str">
        <f t="array" ref="G37">XLOOKUP(C37,'Master Data'!C:C,'Master Data'!F:F)</f>
        <v/>
      </c>
      <c r="H37" s="89" t="str">
        <f t="array" ref="H37">XLOOKUP(C37,'Master Data'!C:C,'Master Data'!G:G)</f>
        <v> HL Resale</v>
      </c>
      <c r="I37" s="90" t="str">
        <f t="array" ref="I37">XLOOKUP(C37,'Master Data'!C:C,'Master Data'!H:H)</f>
        <v>All that piece and parcel of the Flat No. 601, admeasuring Carpet Area 41.17 Sq. Mtrs. i.e. 443 Sq. Ft. along with additional saleable terrace area admeasuring 3.25 Sq. Mtrs. i.e. 35 Sq. Ft., situated on the Sixth Floor of Wing “H” in the project known as “Akruti Countrywoods”, constructed on land bearing Survey Nos. 45/1/1, 45/1/4, 45/1/4/1, 45/1/4/6, 45/1/4/8A, 45/2/1, 45/2/2, 45/3/1, 45/3/2, 45/3/3, 45/3/9, 45/3/11, 45/3/14 (part), 45/3/15, 45/3/16, 45/3/17, 45/3/18, 45/4/1, 45/4/2 (part), 45/5/1, 45/5/2, 45/5/4, 45/5/5 and its sub-divisions, 45/5/6, 45/5/7, 45/5/9, 45/5/13, 45/5/15, 45/5/16, 45/6/1 (part), 45/6/2, 45/6/3, 45/6/4 and its sub-divisions, 45/6/5, 45/6/6, 45/7/1, 45/7/2, 45/7/3, 45/7/4, 45/7/5 and its sub-divisions, 45/7/6 (part), 45/7/7, 45/7/8 and its sub-divisions, 45/7/9 and its sub-divisions, 45/3/10, 45/3/12, 45/3/13, 45/3/19, 45/3/20, 45/3/21, 45/3/22 and its sub-divisions, 45/5/3, 45/5/8, 45/5/10, 45/5/11, 45/5/12 and its sub-divisions, 45/5/14, together admeasuring in aggregate about 17 Hectares 29.3386 Ares i.e. 172,933.86 Sq. Mtrs., out of which land admeasuring 54,339.99 Sq. Mtrs. is developed for the said project, situated at Village Kondhwa Budruk, Taluka Haveli, District Pune, within the limits of Pune Municipal Corporation, together with all rights, easements and appurtenances attached thereto.</v>
      </c>
      <c r="J37" s="91" t="s">
        <v>12</v>
      </c>
      <c r="K37" s="92"/>
      <c r="L37" s="92"/>
      <c r="M37" s="23" t="s">
        <v>857</v>
      </c>
      <c r="N37" s="23" t="s">
        <v>819</v>
      </c>
      <c r="O37" s="23"/>
    </row>
    <row r="38">
      <c r="A38" s="93">
        <f t="array" ref="A38">XLOOKUP(C38,'TSR Initiation'!C:C,'TSR Initiation'!A:A)</f>
        <v>598</v>
      </c>
      <c r="B38" s="71" t="s">
        <v>11</v>
      </c>
      <c r="C38" s="26">
        <v>7.7000236583E10</v>
      </c>
      <c r="D38" s="88" t="str">
        <f t="array" ref="D38">XLOOKUP(C38,'Master Data'!C:C,'Master Data'!D:D)</f>
        <v>Main</v>
      </c>
      <c r="E38" s="71" t="str">
        <f t="array" ref="E38">XLOOKUP(C38,'TSR Initiation'!C:C,'TSR Initiation'!E:E)</f>
        <v>15.04.2026</v>
      </c>
      <c r="F38" s="88" t="str">
        <f t="array" ref="F38">XLOOKUP(C38,'Master Data'!C:C,'Master Data'!E:E)</f>
        <v>waman jadhav</v>
      </c>
      <c r="G38" s="89" t="str">
        <f t="array" ref="G38">XLOOKUP(C38,'Master Data'!C:C,'Master Data'!F:F)</f>
        <v>mahananda jadhav</v>
      </c>
      <c r="H38" s="89" t="str">
        <f t="array" ref="H38">XLOOKUP(C38,'Master Data'!C:C,'Master Data'!G:G)</f>
        <v>resale( seller BT)</v>
      </c>
      <c r="I38" s="90" t="str">
        <f t="array" ref="I38">XLOOKUP(C38,'Master Data'!C:C,'Master Data'!H:H)</f>
        <v>All that piece and parcel of the Flat No. 1, admeasuring 48.60 Sq. Mtrs., together with adjoining terrace admeasuring 46 Sq. Ft. i.e. 4.27 Sq. Mtrs. (built-up), situated on the First Floor of the building known as “Pratibha Apartment”, constructed on land bearing Survey Nos. 23, 24, 55, 57 and 58 corresponding to City Survey No. 23, out of Plot No. 80, situated at Village Karvenagar, Taluka Haveli, District Pune.</v>
      </c>
      <c r="J38" s="91" t="s">
        <v>12</v>
      </c>
      <c r="K38" s="92"/>
      <c r="L38" s="92"/>
      <c r="M38" s="23" t="s">
        <v>857</v>
      </c>
      <c r="N38" s="23" t="s">
        <v>819</v>
      </c>
      <c r="O38" s="23"/>
    </row>
    <row r="39">
      <c r="A39" s="93">
        <f t="array" ref="A39">XLOOKUP(C39,'TSR Initiation'!C:C,'TSR Initiation'!A:A)</f>
        <v>600</v>
      </c>
      <c r="B39" s="71" t="s">
        <v>11</v>
      </c>
      <c r="C39" s="10">
        <v>7.7000258297E10</v>
      </c>
      <c r="D39" s="88" t="str">
        <f t="array" ref="D39">XLOOKUP(C39,'Master Data'!C:C,'Master Data'!D:D)</f>
        <v>Kolhapur</v>
      </c>
      <c r="E39" s="71" t="str">
        <f t="array" ref="E39">XLOOKUP(C39,'TSR Initiation'!C:C,'TSR Initiation'!E:E)</f>
        <v>13.04.2026</v>
      </c>
      <c r="F39" s="88" t="str">
        <f t="array" ref="F39">XLOOKUP(C39,'Master Data'!C:C,'Master Data'!E:E)</f>
        <v>Anand Madhukar Patil</v>
      </c>
      <c r="G39" s="89" t="str">
        <f t="array" ref="G39">XLOOKUP(C39,'Master Data'!C:C,'Master Data'!F:F)</f>
        <v>Rupali Anand patil</v>
      </c>
      <c r="H39" s="89" t="str">
        <f t="array" ref="H39">XLOOKUP(C39,'Master Data'!C:C,'Master Data'!G:G)</f>
        <v>Regular HL BT+ TOP-UP</v>
      </c>
      <c r="I39" s="90" t="str">
        <f t="array" ref="I39">XLOOKUP(C39,'Master Data'!C:C,'Master Data'!H:H)</f>
        <v>All that piece and parcel of the property bearing Plot No. 64A out of Gut No. 546/1/B/64/A (formed under Gunthewari), admeasuring 204.46 Sq. Mtrs. i.e. 2200 Sq. Ft., situated at E Ward, Kasba Bawda, within the limits of Kolhapur Municipal Corporation, together with a structure thereon comprising a tin shed construction admeasuring 45.00 Sq. Mtrs. (built-up), along with all rights, easements and appurtenances attached thereto</v>
      </c>
      <c r="J39" s="91" t="s">
        <v>12</v>
      </c>
      <c r="K39" s="92"/>
      <c r="L39" s="92"/>
      <c r="M39" s="23" t="s">
        <v>857</v>
      </c>
      <c r="N39" s="23" t="s">
        <v>819</v>
      </c>
      <c r="O39" s="23"/>
    </row>
    <row r="40">
      <c r="A40" s="93">
        <f t="array" ref="A40">XLOOKUP(C40,'TSR Initiation'!C:C,'TSR Initiation'!A:A)</f>
        <v>599</v>
      </c>
      <c r="B40" s="71" t="s">
        <v>11</v>
      </c>
      <c r="C40" s="10">
        <v>7.7000255326E10</v>
      </c>
      <c r="D40" s="88" t="str">
        <f t="array" ref="D40">XLOOKUP(C40,'Master Data'!C:C,'Master Data'!D:D)</f>
        <v>Kolhapur</v>
      </c>
      <c r="E40" s="71" t="str">
        <f t="array" ref="E40">XLOOKUP(C40,'TSR Initiation'!C:C,'TSR Initiation'!E:E)</f>
        <v>09.04.2026</v>
      </c>
      <c r="F40" s="88" t="str">
        <f t="array" ref="F40">XLOOKUP(C40,'Master Data'!C:C,'Master Data'!E:E)</f>
        <v>Santosh Hirappa Sutar</v>
      </c>
      <c r="G40" s="89" t="str">
        <f t="array" ref="G40">XLOOKUP(C40,'Master Data'!C:C,'Master Data'!F:F)</f>
        <v>Suraj Hirappa Sutar</v>
      </c>
      <c r="H40" s="89" t="str">
        <f t="array" ref="H40">XLOOKUP(C40,'Master Data'!C:C,'Master Data'!G:G)</f>
        <v>Non Home Loan LAP</v>
      </c>
      <c r="I40" s="90" t="str">
        <f t="array" ref="I40">XLOOKUP(C40,'Master Data'!C:C,'Master Data'!H:H)</f>
        <v>All that piece and parcel of properties bearing-
a.        Plot No. 1, having an area admeasuring of 147.98 sq. mtrs., 
b.        Plot No. 2, having an area admeasuring of 141.47 sq. mtrs., 
c.        Plot No. 3, having an area admeasuring of 150.67 sq. mtrs., 
d.        Plot No. 4, having an area admeasuring of 159.88 sq. mtrs., 
i.e. total area admeasuring of 600 sq. mtrs., carved out of entire land bearing R.S. No. 237/3/A, having total area admeasuring of H. 00-17.95 Ares, assessed at Rs. 02-10 Paise, situated at Village – Gokul Shirgaon, Taluka – Karveer, District – Kolhapur</v>
      </c>
      <c r="J40" s="91" t="s">
        <v>12</v>
      </c>
      <c r="K40" s="92"/>
      <c r="L40" s="92"/>
      <c r="M40" s="23" t="s">
        <v>857</v>
      </c>
      <c r="N40" s="23" t="s">
        <v>819</v>
      </c>
      <c r="O40" s="23"/>
    </row>
    <row r="41">
      <c r="A41" s="93">
        <f t="array" ref="A41">XLOOKUP(C41,'TSR Initiation'!C:C,'TSR Initiation'!A:A)</f>
        <v>601</v>
      </c>
      <c r="B41" s="71" t="s">
        <v>11</v>
      </c>
      <c r="C41" s="10">
        <v>7.7000256309E10</v>
      </c>
      <c r="D41" s="88" t="str">
        <f t="array" ref="D41">XLOOKUP(C41,'Master Data'!C:C,'Master Data'!D:D)</f>
        <v>Kolhapur</v>
      </c>
      <c r="E41" s="71" t="str">
        <f t="array" ref="E41">XLOOKUP(C41,'TSR Initiation'!C:C,'TSR Initiation'!E:E)</f>
        <v>13.04.2026</v>
      </c>
      <c r="F41" s="88" t="str">
        <f t="array" ref="F41">XLOOKUP(C41,'Master Data'!C:C,'Master Data'!E:E)</f>
        <v>Dipak Sambhaji Kadam</v>
      </c>
      <c r="G41" s="89" t="str">
        <f t="array" ref="G41">XLOOKUP(C41,'Master Data'!C:C,'Master Data'!F:F)</f>
        <v>Rahul Sambhaji Kadam Bharati Rahul Kadam</v>
      </c>
      <c r="H41" s="89" t="str">
        <f t="array" ref="H41">XLOOKUP(C41,'Master Data'!C:C,'Master Data'!G:G)</f>
        <v>Regular P+C</v>
      </c>
      <c r="I41" s="90" t="str">
        <f t="array" ref="I41">XLOOKUP(C41,'Master Data'!C:C,'Master Data'!H:H)</f>
        <v>A ward Karvir Kolhapur S.No.896</v>
      </c>
      <c r="J41" s="91" t="s">
        <v>12</v>
      </c>
      <c r="K41" s="92"/>
      <c r="L41" s="92"/>
      <c r="M41" s="23" t="s">
        <v>857</v>
      </c>
      <c r="N41" s="23" t="s">
        <v>821</v>
      </c>
      <c r="O41" s="23"/>
    </row>
    <row r="42">
      <c r="A42" s="93">
        <f t="array" ref="A42">XLOOKUP(C42,'TSR Initiation'!C:C,'TSR Initiation'!A:A)</f>
        <v>602</v>
      </c>
      <c r="B42" s="71" t="s">
        <v>11</v>
      </c>
      <c r="C42" s="6">
        <v>7.7000251849E10</v>
      </c>
      <c r="D42" s="88" t="str">
        <f t="array" ref="D42">XLOOKUP(C42,'Master Data'!C:C,'Master Data'!D:D)</f>
        <v>Kolhapur</v>
      </c>
      <c r="E42" s="71" t="str">
        <f t="array" ref="E42">XLOOKUP(C42,'TSR Initiation'!C:C,'TSR Initiation'!E:E)</f>
        <v>13.04.2026</v>
      </c>
      <c r="F42" s="88" t="str">
        <f t="array" ref="F42">XLOOKUP(C42,'Master Data'!C:C,'Master Data'!E:E)</f>
        <v> Suhas Appasaheb Gavali</v>
      </c>
      <c r="G42" s="89" t="str">
        <f t="array" ref="G42">XLOOKUP(C42,'Master Data'!C:C,'Master Data'!F:F)</f>
        <v>Rajshri Suhas Gavali</v>
      </c>
      <c r="H42" s="89" t="str">
        <f t="array" ref="H42">XLOOKUP(C42,'Master Data'!C:C,'Master Data'!G:G)</f>
        <v>Regular Lap BT+Topup</v>
      </c>
      <c r="I42" s="90" t="str">
        <f t="array" ref="I42">XLOOKUP(C42,'Master Data'!C:C,'Master Data'!H:H)</f>
        <v>A ward Karvir Kolhapur S.No. 858</v>
      </c>
      <c r="J42" s="91" t="s">
        <v>12</v>
      </c>
      <c r="K42" s="92"/>
      <c r="L42" s="92"/>
      <c r="M42" s="23" t="s">
        <v>857</v>
      </c>
      <c r="N42" s="23" t="s">
        <v>821</v>
      </c>
      <c r="O42" s="23"/>
    </row>
    <row r="43">
      <c r="A43" s="93">
        <f t="array" ref="A43">XLOOKUP(C43,'TSR Initiation'!C:C,'TSR Initiation'!A:A)</f>
        <v>603</v>
      </c>
      <c r="B43" s="71" t="s">
        <v>11</v>
      </c>
      <c r="C43" s="6">
        <v>7.7000255771E10</v>
      </c>
      <c r="D43" s="88" t="str">
        <f t="array" ref="D43">XLOOKUP(C43,'Master Data'!C:C,'Master Data'!D:D)</f>
        <v>Kolhapur</v>
      </c>
      <c r="E43" s="71" t="str">
        <f t="array" ref="E43">XLOOKUP(C43,'TSR Initiation'!C:C,'TSR Initiation'!E:E)</f>
        <v>13.04.2026</v>
      </c>
      <c r="F43" s="88" t="str">
        <f t="array" ref="F43">XLOOKUP(C43,'Master Data'!C:C,'Master Data'!E:E)</f>
        <v> Satish Mahadev Vetale</v>
      </c>
      <c r="G43" s="89" t="str">
        <f t="array" ref="G43">XLOOKUP(C43,'Master Data'!C:C,'Master Data'!F:F)</f>
        <v> Radhika Satish Vetale</v>
      </c>
      <c r="H43" s="89" t="str">
        <f t="array" ref="H43">XLOOKUP(C43,'Master Data'!C:C,'Master Data'!G:G)</f>
        <v>BT + TOP-UP</v>
      </c>
      <c r="I43" s="90" t="str">
        <f t="array" ref="I43">XLOOKUP(C43,'Master Data'!C:C,'Master Data'!H:H)</f>
        <v>Kasababavda Kolhapur S.No.1476</v>
      </c>
      <c r="J43" s="91" t="s">
        <v>12</v>
      </c>
      <c r="K43" s="92"/>
      <c r="L43" s="92"/>
      <c r="M43" s="23" t="s">
        <v>857</v>
      </c>
      <c r="N43" s="23" t="s">
        <v>821</v>
      </c>
      <c r="O43" s="23"/>
    </row>
    <row r="44">
      <c r="A44" s="93">
        <f t="array" ref="A44">XLOOKUP(C44,'TSR Initiation'!C:C,'TSR Initiation'!A:A)</f>
        <v>604</v>
      </c>
      <c r="B44" s="71" t="s">
        <v>11</v>
      </c>
      <c r="C44" s="26">
        <v>7.70002477E10</v>
      </c>
      <c r="D44" s="88" t="str">
        <f t="array" ref="D44">XLOOKUP(C44,'Master Data'!C:C,'Master Data'!D:D)</f>
        <v>Main</v>
      </c>
      <c r="E44" s="71" t="str">
        <f t="array" ref="E44">XLOOKUP(C44,'TSR Initiation'!C:C,'TSR Initiation'!E:E)</f>
        <v>15.04.2026</v>
      </c>
      <c r="F44" s="88" t="str">
        <f t="array" ref="F44">XLOOKUP(C44,'Master Data'!C:C,'Master Data'!E:E)</f>
        <v>Anil Dhananjay Akhade (Project - Mauli Park)</v>
      </c>
      <c r="G44" s="89" t="str">
        <f t="array" ref="G44">XLOOKUP(C44,'Master Data'!C:C,'Master Data'!F:F)</f>
        <v/>
      </c>
      <c r="H44" s="89" t="str">
        <f t="array" ref="H44">XLOOKUP(C44,'Master Data'!C:C,'Master Data'!G:G)</f>
        <v>APF_1</v>
      </c>
      <c r="I44" s="90" t="str">
        <f t="array" ref="I44">XLOOKUP(C44,'Master Data'!C:C,'Master Data'!H:H)</f>
        <v>Pune. Khadakwasala. S. No. 33</v>
      </c>
      <c r="J44" s="91" t="s">
        <v>12</v>
      </c>
      <c r="K44" s="92"/>
      <c r="L44" s="92"/>
      <c r="M44" s="23" t="s">
        <v>857</v>
      </c>
      <c r="N44" s="23" t="s">
        <v>821</v>
      </c>
      <c r="O44" s="23"/>
    </row>
    <row r="45">
      <c r="A45" s="93">
        <f t="array" ref="A45">XLOOKUP(C45,'TSR Initiation'!C:C,'TSR Initiation'!A:A)</f>
        <v>606</v>
      </c>
      <c r="B45" s="71" t="s">
        <v>11</v>
      </c>
      <c r="C45" s="25">
        <v>7.7000242496E10</v>
      </c>
      <c r="D45" s="88" t="str">
        <f t="array" ref="D45">XLOOKUP(C45,'Master Data'!C:C,'Master Data'!D:D)</f>
        <v>Kharadi </v>
      </c>
      <c r="E45" s="71" t="str">
        <f t="array" ref="E45">XLOOKUP(C45,'TSR Initiation'!C:C,'TSR Initiation'!E:E)</f>
        <v>16.04.2026</v>
      </c>
      <c r="F45" s="88" t="str">
        <f t="array" ref="F45">XLOOKUP(C45,'Master Data'!C:C,'Master Data'!E:E)</f>
        <v>Sambhaji Vasant Choudhary </v>
      </c>
      <c r="G45" s="89" t="str">
        <f t="array" ref="G45">XLOOKUP(C45,'Master Data'!C:C,'Master Data'!F:F)</f>
        <v/>
      </c>
      <c r="H45" s="89" t="str">
        <f t="array" ref="H45">XLOOKUP(C45,'Master Data'!C:C,'Master Data'!G:G)</f>
        <v>Plot + Contruction</v>
      </c>
      <c r="I45" s="90" t="str">
        <f t="array" ref="I45">XLOOKUP(C45,'Master Data'!C:C,'Master Data'!H:H)</f>
        <v>All that piece and parcel of non-agricultural property admeasuring of H. 00-04 Ares, out of Gat No. 991, having an area admeasuring of H. 01-32 Ares, assessed at Rs. 03-06 Paise, situated at Village – Ranjangao Ganpati, Taluka – Shirur, District – Pune</v>
      </c>
      <c r="J45" s="91" t="s">
        <v>12</v>
      </c>
      <c r="K45" s="92"/>
      <c r="L45" s="92"/>
      <c r="M45" s="23" t="s">
        <v>857</v>
      </c>
      <c r="N45" s="23" t="s">
        <v>821</v>
      </c>
      <c r="O45" s="23"/>
    </row>
    <row r="46">
      <c r="A46" s="93">
        <f t="array" ref="A46">XLOOKUP(C46,'TSR Initiation'!C:C,'TSR Initiation'!A:A)</f>
        <v>607</v>
      </c>
      <c r="B46" s="71" t="s">
        <v>11</v>
      </c>
      <c r="C46" s="26">
        <v>3.64010445963E11</v>
      </c>
      <c r="D46" s="88" t="str">
        <f t="array" ref="D46">XLOOKUP(C46,'Master Data'!C:C,'Master Data'!D:D)</f>
        <v>Kolhapur</v>
      </c>
      <c r="E46" s="71" t="str">
        <f t="array" ref="E46">XLOOKUP(C46,'TSR Initiation'!C:C,'TSR Initiation'!E:E)</f>
        <v>16.04.2026</v>
      </c>
      <c r="F46" s="88" t="str">
        <f t="array" ref="F46">XLOOKUP(C46,'Master Data'!C:C,'Master Data'!E:E)</f>
        <v> Virendra Krushnat Patil</v>
      </c>
      <c r="G46" s="89" t="str">
        <f t="array" ref="G46">XLOOKUP(C46,'Master Data'!C:C,'Master Data'!F:F)</f>
        <v>Nil</v>
      </c>
      <c r="H46" s="89" t="str">
        <f t="array" ref="H46">XLOOKUP(C46,'Master Data'!C:C,'Master Data'!G:G)</f>
        <v>home loan</v>
      </c>
      <c r="I46" s="90" t="str">
        <f t="array" ref="I46">XLOOKUP(C46,'Master Data'!C:C,'Master Data'!H:H)</f>
        <v>All that piece and parcel of property admeasuring of 31.66 sq. mtrs., out of non-agricultural property bearing CTS No. 2874, having an area admeasuring of 47.5 sq. mtrs., situated at Village – Kodoli, Taluka – Panhala, District Kolhapur.</v>
      </c>
      <c r="J46" s="91" t="s">
        <v>12</v>
      </c>
      <c r="K46" s="92"/>
      <c r="L46" s="92"/>
      <c r="M46" s="23" t="s">
        <v>857</v>
      </c>
      <c r="N46" s="23" t="s">
        <v>821</v>
      </c>
      <c r="O46" s="23"/>
    </row>
    <row r="47">
      <c r="A47" s="93">
        <f t="array" ref="A47">XLOOKUP(C47,'TSR Initiation'!C:C,'TSR Initiation'!A:A)</f>
        <v>608</v>
      </c>
      <c r="B47" s="71" t="s">
        <v>11</v>
      </c>
      <c r="C47" s="71">
        <v>7.700245883E9</v>
      </c>
      <c r="D47" s="88" t="str">
        <f t="array" ref="D47">XLOOKUP(C47,'Master Data'!C:C,'Master Data'!D:D)</f>
        <v>Kharadi</v>
      </c>
      <c r="E47" s="71" t="str">
        <f t="array" ref="E47">XLOOKUP(C47,'TSR Initiation'!C:C,'TSR Initiation'!E:E)</f>
        <v>17.04.2026</v>
      </c>
      <c r="F47" s="88" t="str">
        <f t="array" ref="F47">XLOOKUP(C47,'Master Data'!C:C,'Master Data'!E:E)</f>
        <v>Gaurav Paigude</v>
      </c>
      <c r="G47" s="89" t="str">
        <f t="array" ref="G47">XLOOKUP(C47,'Master Data'!C:C,'Master Data'!F:F)</f>
        <v>Shobha Paigude</v>
      </c>
      <c r="H47" s="89" t="str">
        <f t="array" ref="H47">XLOOKUP(C47,'Master Data'!C:C,'Master Data'!G:G)</f>
        <v>BT</v>
      </c>
      <c r="I47" s="90" t="str">
        <f t="array" ref="I47">XLOOKUP(C47,'Master Data'!C:C,'Master Data'!H:H)</f>
        <v>All that piece and parcel of Flat No. 10, admeasuring of 500 sq. ft. (i.e. 46.46 sq. mtrs.) saleable area, situated on the Second Floor of the building known as “Pari Heights”, constructed on land bearing Survey No. 45, Hissa No. 6, admeasuring in aggregate 00 Hectare 37 Are (including Pot Kharaba), assessed at Rs. 00.31 Paise, situated at Village Mouje Nere, Taluka Haveli, District Pune and within local limits of Pune Municipal Corporation, Pune.</v>
      </c>
      <c r="J47" s="91" t="s">
        <v>12</v>
      </c>
      <c r="K47" s="92"/>
      <c r="L47" s="92"/>
      <c r="M47" s="23" t="s">
        <v>857</v>
      </c>
      <c r="N47" s="23" t="s">
        <v>821</v>
      </c>
      <c r="O47" s="23"/>
    </row>
    <row r="48">
      <c r="A48" s="93">
        <f t="array" ref="A48">XLOOKUP(C48,'TSR Initiation'!C:C,'TSR Initiation'!A:A)</f>
        <v>605</v>
      </c>
      <c r="B48" s="71" t="s">
        <v>11</v>
      </c>
      <c r="C48" s="26" t="s">
        <v>379</v>
      </c>
      <c r="D48" s="88" t="str">
        <f t="array" ref="D48">XLOOKUP(C48,'Master Data'!C:C,'Master Data'!D:D)</f>
        <v>Main</v>
      </c>
      <c r="E48" s="71" t="str">
        <f t="array" ref="E48">XLOOKUP(C48,'TSR Initiation'!C:C,'TSR Initiation'!E:E)</f>
        <v>18.04.2026</v>
      </c>
      <c r="F48" s="88" t="str">
        <f t="array" ref="F48">XLOOKUP(C48,'Master Data'!C:C,'Master Data'!E:E)</f>
        <v>Skylark Apartments RVR 7A at Riverview City</v>
      </c>
      <c r="G48" s="89" t="str">
        <f t="array" ref="G48">XLOOKUP(C48,'Master Data'!C:C,'Master Data'!F:F)</f>
        <v/>
      </c>
      <c r="H48" s="89" t="str">
        <f t="array" ref="H48">XLOOKUP(C48,'Master Data'!C:C,'Master Data'!G:G)</f>
        <v>APF_2</v>
      </c>
      <c r="I48" s="90" t="str">
        <f t="array" ref="I48">XLOOKUP(C48,'Master Data'!C:C,'Master Data'!H:H)</f>
        <v>Pune. Kadmakvasti. S. No. 540</v>
      </c>
      <c r="J48" s="91" t="s">
        <v>860</v>
      </c>
      <c r="K48" s="92"/>
      <c r="L48" s="92"/>
      <c r="M48" s="23" t="s">
        <v>857</v>
      </c>
      <c r="N48" s="23" t="s">
        <v>823</v>
      </c>
      <c r="O48" s="23"/>
    </row>
    <row r="49">
      <c r="A49" s="93">
        <f t="array" ref="A49">XLOOKUP(C49,'TSR Initiation'!C:C,'TSR Initiation'!A:A)</f>
        <v>610</v>
      </c>
      <c r="B49" s="71" t="s">
        <v>11</v>
      </c>
      <c r="C49" s="71">
        <v>7.7000222267E10</v>
      </c>
      <c r="D49" s="88" t="str">
        <f t="array" ref="D49">XLOOKUP(C49,'Master Data'!C:C,'Master Data'!D:D)</f>
        <v>Vishrantwadi</v>
      </c>
      <c r="E49" s="71" t="str">
        <f t="array" ref="E49">XLOOKUP(C49,'TSR Initiation'!C:C,'TSR Initiation'!E:E)</f>
        <v>15.04.2026</v>
      </c>
      <c r="F49" s="88" t="str">
        <f t="array" ref="F49">XLOOKUP(C49,'Master Data'!C:C,'Master Data'!E:E)</f>
        <v>Aditya Vijay Wadekar</v>
      </c>
      <c r="G49" s="89" t="str">
        <f t="array" ref="G49">XLOOKUP(C49,'Master Data'!C:C,'Master Data'!F:F)</f>
        <v>Vijay Sitaram Wadekar</v>
      </c>
      <c r="H49" s="89" t="str">
        <f t="array" ref="H49">XLOOKUP(C49,'Master Data'!C:C,'Master Data'!G:G)</f>
        <v>Resale</v>
      </c>
      <c r="I49" s="90" t="str">
        <f t="array" ref="I49">XLOOKUP(C49,'Master Data'!C:C,'Master Data'!H:H)</f>
        <v>All that piece and parcel of property bearing Flat No. A-11, having an area admeasuring of 875 sq. feets., i.e. 81.31 sq. mtrs., situated on the Third Floor, out of the project known as “Rajlaxmi Glory”, constructed on the entire land property, i.e. Plot No. 2, carved out of Gat No. 490/1, (Old Gat No. 1842), situated at Village – Medankarwadi, Taluka – Khed, District – Pune.</v>
      </c>
      <c r="J49" s="91" t="s">
        <v>12</v>
      </c>
      <c r="K49" s="92"/>
      <c r="L49" s="92"/>
      <c r="M49" s="23" t="s">
        <v>857</v>
      </c>
      <c r="N49" s="23" t="s">
        <v>823</v>
      </c>
      <c r="O49" s="23"/>
    </row>
    <row r="50">
      <c r="A50" s="93">
        <f t="array" ref="A50">XLOOKUP(C50,'TSR Initiation'!C:C,'TSR Initiation'!A:A)</f>
        <v>611</v>
      </c>
      <c r="B50" s="71" t="s">
        <v>11</v>
      </c>
      <c r="C50" s="25">
        <v>7.7000261957E10</v>
      </c>
      <c r="D50" s="88" t="str">
        <f t="array" ref="D50">XLOOKUP(C50,'Master Data'!C:C,'Master Data'!D:D)</f>
        <v>Chinchwad</v>
      </c>
      <c r="E50" s="71" t="str">
        <f t="array" ref="E50">XLOOKUP(C50,'TSR Initiation'!C:C,'TSR Initiation'!E:E)</f>
        <v>17.04.2026</v>
      </c>
      <c r="F50" s="88" t="str">
        <f t="array" ref="F50">XLOOKUP(C50,'Master Data'!C:C,'Master Data'!E:E)</f>
        <v>MRUNALINI Vishwas Tongale</v>
      </c>
      <c r="G50" s="89" t="str">
        <f t="array" ref="G50">XLOOKUP(C50,'Master Data'!C:C,'Master Data'!F:F)</f>
        <v>Viraj Vishwas Tongale </v>
      </c>
      <c r="H50" s="89" t="str">
        <f t="array" ref="H50">XLOOKUP(C50,'Master Data'!C:C,'Master Data'!G:G)</f>
        <v>LAP</v>
      </c>
      <c r="I50" s="90" t="str">
        <f t="array" ref="I50">XLOOKUP(C50,'Master Data'!C:C,'Master Data'!H:H)</f>
        <v>All that piece and parcel of property bearing Shop (Store) No. 32, having an area admeasuring of 175 sq. feets., i.e. 16.26 sq. mtrs., situated on the Ground Floor, out of the project known as “Khandage Arcade”, constructed on the land bearing CTS No. 1158 to 1184, situated at Village – Talegaon Dabhade (Shahari), Taluka – Mawal, District – Pune.</v>
      </c>
      <c r="J50" s="91" t="s">
        <v>12</v>
      </c>
      <c r="K50" s="92"/>
      <c r="L50" s="92"/>
      <c r="M50" s="23" t="s">
        <v>857</v>
      </c>
      <c r="N50" s="23" t="s">
        <v>823</v>
      </c>
      <c r="O50" s="23"/>
    </row>
    <row r="51">
      <c r="A51" s="93">
        <f t="array" ref="A51">XLOOKUP(C51,'TSR Initiation'!C:C,'TSR Initiation'!A:A)</f>
        <v>612</v>
      </c>
      <c r="B51" s="71" t="s">
        <v>11</v>
      </c>
      <c r="C51" s="6">
        <v>7.7000240185E10</v>
      </c>
      <c r="D51" s="88" t="str">
        <f t="array" ref="D51">XLOOKUP(C51,'Master Data'!C:C,'Master Data'!D:D)</f>
        <v>Main</v>
      </c>
      <c r="E51" s="71" t="str">
        <f t="array" ref="E51">XLOOKUP(C51,'TSR Initiation'!C:C,'TSR Initiation'!E:E)</f>
        <v>19.04.2026</v>
      </c>
      <c r="F51" s="88" t="str">
        <f t="array" ref="F51">XLOOKUP(C51,'Master Data'!C:C,'Master Data'!E:E)</f>
        <v>Dnyaneshwar Balasaheb Kale</v>
      </c>
      <c r="G51" s="89" t="str">
        <f t="array" ref="G51">XLOOKUP(C51,'Master Data'!C:C,'Master Data'!F:F)</f>
        <v/>
      </c>
      <c r="H51" s="89" t="str">
        <f t="array" ref="H51">XLOOKUP(C51,'Master Data'!C:C,'Master Data'!G:G)</f>
        <v>Seller BT</v>
      </c>
      <c r="I51" s="90" t="str">
        <f t="array" ref="I51">XLOOKUP(C51,'Master Data'!C:C,'Master Data'!H:H)</f>
        <v>All that piece and parcel of Flat No. 304, Wing C, on the 3rd Floor, admeasuring 35.64 sq. mtrs. carpet area, along with enclosed balcony admeasuring 4.5 sq. mtrs., cupboard area admeasuring 0.44 sq. mtrs., dry balcony admeasuring 3 sq. mtrs., open terrace admeasuring 4.6 sq. mtrs., and one covered car parking space, in the project known as "Dynamic Grandeur – Phase 2 Essensia" (as per Index II) and forming part of the concerned Co-operative Housing Society, constructed on the land bearing: Survey No. 53 Hissa No. 4/2 admeasuring 0 Hectare 65 Ares, and Survey No. 54 (Part) admeasuring total 9 Hectares 32 Ares out of which 1 Hectare 60 Ares, and Survey No. 53/1 admeasuring 88 Ares, Survey No. 53/2 admeasuring 88 Ares, and Survey No. 53/3 admeasuring 82 Ares, out of the total land admeasuring 15,968.67 sq. mtrs., situated at Village Undri, Pune, within the limits of Pune Municipal Corporation and the jurisdiction of the Sub-Registrar, Haveli, Pune.</v>
      </c>
      <c r="J51" s="91" t="s">
        <v>12</v>
      </c>
      <c r="K51" s="92"/>
      <c r="L51" s="92"/>
      <c r="M51" s="23" t="s">
        <v>857</v>
      </c>
      <c r="N51" s="23" t="s">
        <v>823</v>
      </c>
      <c r="O51" s="23"/>
    </row>
    <row r="52">
      <c r="A52" s="93">
        <f t="array" ref="A52">XLOOKUP(C52,'TSR Initiation'!C:C,'TSR Initiation'!A:A)</f>
        <v>614</v>
      </c>
      <c r="B52" s="71" t="s">
        <v>11</v>
      </c>
      <c r="C52" s="26">
        <v>7.792151834E9</v>
      </c>
      <c r="D52" s="88" t="str">
        <f t="array" ref="D52">XLOOKUP(C52,'Master Data'!C:C,'Master Data'!D:D)</f>
        <v>wakad</v>
      </c>
      <c r="E52" s="71" t="str">
        <f t="array" ref="E52">XLOOKUP(C52,'TSR Initiation'!C:C,'TSR Initiation'!E:E)</f>
        <v>20.04.2026</v>
      </c>
      <c r="F52" s="88" t="str">
        <f t="array" ref="F52">XLOOKUP(C52,'Master Data'!C:C,'Master Data'!E:E)</f>
        <v>Sakib Biradar</v>
      </c>
      <c r="G52" s="89" t="str">
        <f t="array" ref="G52">XLOOKUP(C52,'Master Data'!C:C,'Master Data'!F:F)</f>
        <v>Shirin Biradar</v>
      </c>
      <c r="H52" s="89" t="str">
        <f t="array" ref="H52">XLOOKUP(C52,'Master Data'!C:C,'Master Data'!G:G)</f>
        <v>Resale</v>
      </c>
      <c r="I52" s="90" t="str">
        <f t="array" ref="I52">XLOOKUP(C52,'Master Data'!C:C,'Master Data'!H:H)</f>
        <v>Bhosari S.No. 484</v>
      </c>
      <c r="J52" s="91" t="s">
        <v>12</v>
      </c>
      <c r="K52" s="92"/>
      <c r="L52" s="92"/>
      <c r="M52" s="23" t="s">
        <v>857</v>
      </c>
      <c r="N52" s="23" t="s">
        <v>823</v>
      </c>
      <c r="O52" s="23"/>
    </row>
    <row r="53">
      <c r="A53" s="93">
        <f t="array" ref="A53">XLOOKUP(C53,'TSR Initiation'!C:C,'TSR Initiation'!A:A)</f>
        <v>615</v>
      </c>
      <c r="B53" s="71" t="s">
        <v>11</v>
      </c>
      <c r="C53" s="71" t="s">
        <v>435</v>
      </c>
      <c r="D53" s="88" t="str">
        <f t="array" ref="D53">XLOOKUP(C53,'Master Data'!C:C,'Master Data'!D:D)</f>
        <v>Main</v>
      </c>
      <c r="E53" s="71" t="str">
        <f t="array" ref="E53">XLOOKUP(C53,'TSR Initiation'!C:C,'TSR Initiation'!E:E)</f>
        <v>16.04.2026</v>
      </c>
      <c r="F53" s="88" t="str">
        <f t="array" ref="F53">XLOOKUP(C53,'Master Data'!C:C,'Master Data'!E:E)</f>
        <v>RIVERAIN CLASSIC</v>
      </c>
      <c r="G53" s="89" t="str">
        <f t="array" ref="G53">XLOOKUP(C53,'Master Data'!C:C,'Master Data'!F:F)</f>
        <v/>
      </c>
      <c r="H53" s="89" t="s">
        <v>435</v>
      </c>
      <c r="I53" s="90" t="str">
        <f t="array" ref="I53">XLOOKUP(C53,'Master Data'!C:C,'Master Data'!H:H)</f>
        <v>All that piece and parcel of land admeasuring about 3254 sq. mtrs. out of final plot bearing No. 103, having S. No. 450/2A/1/1 and 450/2A/2, situated at village Ghorpadi, Sangamwadi, Taluka Haveli and District Pune, which is within the local limits of Pune Municipal Corporation and within the jurisdiction of Sub Registrar Haveli, Pune</v>
      </c>
      <c r="J53" s="91" t="s">
        <v>861</v>
      </c>
      <c r="K53" s="92"/>
      <c r="L53" s="92"/>
      <c r="M53" s="23" t="s">
        <v>857</v>
      </c>
      <c r="N53" s="23" t="s">
        <v>827</v>
      </c>
      <c r="O53" s="23"/>
    </row>
    <row r="54">
      <c r="A54" s="93">
        <f t="array" ref="A54">XLOOKUP(C54,'TSR Initiation'!C:C,'TSR Initiation'!A:A)</f>
        <v>616</v>
      </c>
      <c r="B54" s="71" t="s">
        <v>11</v>
      </c>
      <c r="C54" s="83">
        <v>7.7000258379E10</v>
      </c>
      <c r="D54" s="88" t="str">
        <f t="array" ref="D54">XLOOKUP(C54,'Master Data'!C:C,'Master Data'!D:D)</f>
        <v>Baner</v>
      </c>
      <c r="E54" s="71" t="str">
        <f t="array" ref="E54">XLOOKUP(C54,'TSR Initiation'!C:C,'TSR Initiation'!E:E)</f>
        <v>18.04.2026</v>
      </c>
      <c r="F54" s="88" t="str">
        <f t="array" ref="F54">XLOOKUP(C54,'Master Data'!C:C,'Master Data'!E:E)</f>
        <v>Mohammad Shoeb</v>
      </c>
      <c r="G54" s="89" t="str">
        <f t="array" ref="G54">XLOOKUP(C54,'Master Data'!C:C,'Master Data'!F:F)</f>
        <v/>
      </c>
      <c r="H54" s="89" t="str">
        <f t="array" ref="H54">XLOOKUP(C54,'Master Data'!C:C,'Master Data'!G:G)</f>
        <v>self contraction</v>
      </c>
      <c r="I54" s="90" t="str">
        <f t="array" ref="I54">XLOOKUP(C54,'Master Data'!C:C,'Master Data'!H:H)</f>
        <v>All that piece and parcel of property admeasuring of H. 00-01.39 Ares, i.e. 1500 sq. feets., out of Survey No. 7, Hissa No. 1, having total area admeasuring of H. 04-67 Ares, together with Pot-Kharab area admeasuring of H. 00-09 Ares, i.e. total area admeasuring of H. 04-76 Ares, assessed at Rs. 02-44 Paise, situated at Village – Marunji, Taluka – Mulshi, District – Pune</v>
      </c>
      <c r="J54" s="91" t="s">
        <v>12</v>
      </c>
      <c r="K54" s="92"/>
      <c r="L54" s="92"/>
      <c r="M54" s="23" t="s">
        <v>857</v>
      </c>
      <c r="N54" s="23" t="s">
        <v>827</v>
      </c>
      <c r="O54" s="23"/>
    </row>
    <row r="55">
      <c r="A55" s="93">
        <f t="array" ref="A55">XLOOKUP(C55,'TSR Initiation'!C:C,'TSR Initiation'!A:A)</f>
        <v>620</v>
      </c>
      <c r="B55" s="71" t="s">
        <v>11</v>
      </c>
      <c r="C55" s="50">
        <v>7.7000258312E10</v>
      </c>
      <c r="D55" s="88" t="str">
        <f t="array" ref="D55">XLOOKUP(C55,'Master Data'!C:C,'Master Data'!D:D)</f>
        <v>Chinchwad</v>
      </c>
      <c r="E55" s="71" t="str">
        <f t="array" ref="E55">XLOOKUP(C55,'TSR Initiation'!C:C,'TSR Initiation'!E:E)</f>
        <v>15.04.2026</v>
      </c>
      <c r="F55" s="88" t="str">
        <f t="array" ref="F55">XLOOKUP(C55,'Master Data'!C:C,'Master Data'!E:E)</f>
        <v>Tejpal Navalmal Jain</v>
      </c>
      <c r="G55" s="89" t="str">
        <f t="array" ref="G55">XLOOKUP(C55,'Master Data'!C:C,'Master Data'!F:F)</f>
        <v>Sunita Tejpal Jain</v>
      </c>
      <c r="H55" s="89" t="str">
        <f t="array" ref="H55">XLOOKUP(C55,'Master Data'!C:C,'Master Data'!G:G)</f>
        <v>LAP</v>
      </c>
      <c r="I55" s="90" t="str">
        <f t="array" ref="I55">XLOOKUP(C55,'Master Data'!C:C,'Master Data'!H:H)</f>
        <v>All that piece and parcel of Shop No. 7, situated on the Ground Floor, admeasuring 192 Sq. Ft. carpet area (i.e. 17.84 Sq. Mtrs.) along with loft area admeasuring 96 Sq. Ft. (i.e. 8.92 Sq. Mtrs.), aggregating to 240 Sq. Ft. built-up area (i.e. 22.30 Sq. Mtrs.) and equivalent to 324 Sq. Ft. saleable area (i.e. 30.11 Sq. Mtrs.), together with car parking admeasuring 100 Sq. Ft. (i.e. 9.29 Sq. Mtrs.), situated in the building known as “Business Plaza”, constructed on the entire land property, i.e. Final Plot No. 230, Town Planning Scheme III, Ghorpade Peth (Old Ganj Peth), Pune, within the limits of Pune Municipal Corporation and within the jurisdiction of Sub-Registrar Haveli, District Pune.</v>
      </c>
      <c r="J55" s="91" t="s">
        <v>12</v>
      </c>
      <c r="K55" s="92"/>
      <c r="L55" s="92"/>
      <c r="M55" s="23" t="s">
        <v>857</v>
      </c>
      <c r="N55" s="23" t="s">
        <v>827</v>
      </c>
      <c r="O55" s="23"/>
    </row>
    <row r="56">
      <c r="A56" s="93">
        <f t="array" ref="A56">XLOOKUP(C56,'TSR Initiation'!C:C,'TSR Initiation'!A:A)</f>
        <v>617</v>
      </c>
      <c r="B56" s="71" t="s">
        <v>11</v>
      </c>
      <c r="C56" s="26">
        <v>7.7000259987E10</v>
      </c>
      <c r="D56" s="88" t="str">
        <f t="array" ref="D56">XLOOKUP(C56,'Master Data'!C:C,'Master Data'!D:D)</f>
        <v>Kharadi</v>
      </c>
      <c r="E56" s="71" t="str">
        <f t="array" ref="E56">XLOOKUP(C56,'TSR Initiation'!C:C,'TSR Initiation'!E:E)</f>
        <v>18.04.2026</v>
      </c>
      <c r="F56" s="88" t="str">
        <f t="array" ref="F56">XLOOKUP(C56,'Master Data'!C:C,'Master Data'!E:E)</f>
        <v>Juber Mahmadhusen Shaikh</v>
      </c>
      <c r="G56" s="89" t="str">
        <f t="array" ref="G56">XLOOKUP(C56,'Master Data'!C:C,'Master Data'!F:F)</f>
        <v/>
      </c>
      <c r="H56" s="89" t="str">
        <f t="array" ref="H56">XLOOKUP(C56,'Master Data'!C:C,'Master Data'!G:G)</f>
        <v>BT TOP UP </v>
      </c>
      <c r="I56" s="90" t="str">
        <f t="array" ref="I56">XLOOKUP(C56,'Master Data'!C:C,'Master Data'!H:H)</f>
        <v>Avalwadi (Wagholi) S.No.861</v>
      </c>
      <c r="J56" s="91" t="s">
        <v>12</v>
      </c>
      <c r="K56" s="92"/>
      <c r="L56" s="92"/>
      <c r="M56" s="23" t="s">
        <v>857</v>
      </c>
      <c r="N56" s="23" t="s">
        <v>827</v>
      </c>
      <c r="O56" s="23"/>
    </row>
    <row r="57">
      <c r="A57" s="93">
        <f t="array" ref="A57">XLOOKUP(C57,'TSR Initiation'!C:C,'TSR Initiation'!A:A)</f>
        <v>618</v>
      </c>
      <c r="B57" s="71" t="s">
        <v>11</v>
      </c>
      <c r="C57" s="26">
        <v>7.7000257036E10</v>
      </c>
      <c r="D57" s="88" t="str">
        <f t="array" ref="D57">XLOOKUP(C57,'Master Data'!C:C,'Master Data'!D:D)</f>
        <v>Kharadi</v>
      </c>
      <c r="E57" s="71" t="str">
        <f t="array" ref="E57">XLOOKUP(C57,'TSR Initiation'!C:C,'TSR Initiation'!E:E)</f>
        <v>18.04.2026</v>
      </c>
      <c r="F57" s="88" t="str">
        <f t="array" ref="F57">XLOOKUP(C57,'Master Data'!C:C,'Master Data'!E:E)</f>
        <v>Haresh Pawar</v>
      </c>
      <c r="G57" s="89" t="str">
        <f t="array" ref="G57">XLOOKUP(C57,'Master Data'!C:C,'Master Data'!F:F)</f>
        <v/>
      </c>
      <c r="H57" s="89" t="str">
        <f t="array" ref="H57">XLOOKUP(C57,'Master Data'!C:C,'Master Data'!G:G)</f>
        <v>HL Resell Purchase</v>
      </c>
      <c r="I57" s="90" t="str">
        <f t="array" ref="I57">XLOOKUP(C57,'Master Data'!C:C,'Master Data'!H:H)</f>
        <v>All that piece and parcel of property bearing Flat No. 10, having an area admeasuring of 438.25 sq. feets., i.e. 40.72 sq. mtrs., situated on the Second Floor, out of the project known as “Swami Samarth”, constructed on the entire land property, i.e. Plot No. 19, carved out of Gat No. 285, situated at Village – Karegaon, Taluka – Shirur, District – Pune.</v>
      </c>
      <c r="J57" s="91" t="s">
        <v>12</v>
      </c>
      <c r="K57" s="92"/>
      <c r="L57" s="92"/>
      <c r="M57" s="23" t="s">
        <v>857</v>
      </c>
      <c r="N57" s="23" t="s">
        <v>827</v>
      </c>
      <c r="O57" s="23"/>
    </row>
    <row r="58">
      <c r="A58" s="93">
        <f t="array" ref="A58">XLOOKUP(C58,'TSR Initiation'!C:C,'TSR Initiation'!A:A)</f>
        <v>622</v>
      </c>
      <c r="B58" s="71" t="s">
        <v>11</v>
      </c>
      <c r="C58" s="26">
        <v>7.7000258586E10</v>
      </c>
      <c r="D58" s="88" t="str">
        <f t="array" ref="D58">XLOOKUP(C58,'Master Data'!C:C,'Master Data'!D:D)</f>
        <v>wakad</v>
      </c>
      <c r="E58" s="71" t="str">
        <f t="array" ref="E58">XLOOKUP(C58,'TSR Initiation'!C:C,'TSR Initiation'!E:E)</f>
        <v>18.04.2026</v>
      </c>
      <c r="F58" s="88" t="str">
        <f t="array" ref="F58">XLOOKUP(C58,'Master Data'!C:C,'Master Data'!E:E)</f>
        <v>Satish Sudam More</v>
      </c>
      <c r="G58" s="89" t="str">
        <f t="array" ref="G58">XLOOKUP(C58,'Master Data'!C:C,'Master Data'!F:F)</f>
        <v>Anita Satish More</v>
      </c>
      <c r="H58" s="89" t="str">
        <f t="array" ref="H58">XLOOKUP(C58,'Master Data'!C:C,'Master Data'!G:G)</f>
        <v>Resale Home Loan</v>
      </c>
      <c r="I58" s="90" t="str">
        <f t="array" ref="I58">XLOOKUP(C58,'Master Data'!C:C,'Master Data'!H:H)</f>
        <v>All that piece and parcel of the unit/rowhouse Flat No. 4 situating on the ground floor area 30.38 Sq. Mtrs. 327.00 Sq. Ft. with provision of M.S. stairs from out side alongwith 8.18% undivided share except the piece of land specifically sold to any of the purchaser/s in the land bearing Plot No. 23, (City Survey No. 1930) at Anandnagar Colony, Survey No. 26 (New), 24 (Old), Talegaon Dabhade, Taluka – Maval, District – Pune admeasuring 665.00 Sq. Mtrs. Situated at Village Talegaon Dabhade, Taluka – Maval, District – Pune within the limits of Sub Registrar Taluka Maval and within the limits of Talegaon Dabhade Municipal Council</v>
      </c>
      <c r="J58" s="91" t="s">
        <v>12</v>
      </c>
      <c r="K58" s="92"/>
      <c r="L58" s="92"/>
      <c r="M58" s="23" t="s">
        <v>857</v>
      </c>
      <c r="N58" s="23" t="s">
        <v>827</v>
      </c>
      <c r="O58" s="23"/>
    </row>
    <row r="59">
      <c r="A59" s="93">
        <f t="array" ref="A59">XLOOKUP(C59,'TSR Initiation'!C:C,'TSR Initiation'!A:A)</f>
        <v>613</v>
      </c>
      <c r="B59" s="71" t="s">
        <v>11</v>
      </c>
      <c r="C59" s="26" t="s">
        <v>431</v>
      </c>
      <c r="D59" s="88" t="str">
        <f t="array" ref="D59">XLOOKUP(C59,'Master Data'!C:C,'Master Data'!D:D)</f>
        <v>Vishrantwadi</v>
      </c>
      <c r="E59" s="71" t="str">
        <f t="array" ref="E59">XLOOKUP(C59,'TSR Initiation'!C:C,'TSR Initiation'!E:E)</f>
        <v>20.04.2026</v>
      </c>
      <c r="F59" s="88" t="str">
        <f t="array" ref="F59">XLOOKUP(C59,'Master Data'!C:C,'Master Data'!E:E)</f>
        <v>Vishal Appasaheb Moholkar </v>
      </c>
      <c r="G59" s="89" t="str">
        <f t="array" ref="G59">XLOOKUP(C59,'Master Data'!C:C,'Master Data'!F:F)</f>
        <v>Vaibhav Appasaheb Moholkar</v>
      </c>
      <c r="H59" s="89" t="str">
        <f t="array" ref="H59">XLOOKUP(C59,'Master Data'!C:C,'Master Data'!G:G)</f>
        <v>BT</v>
      </c>
      <c r="I59" s="90" t="str">
        <f t="array" ref="I59">XLOOKUP(C59,'Master Data'!C:C,'Master Data'!H:H)</f>
        <v>All that piece and parcel of Shop No. 1, admeasuring 26.01 Sq. Mtrs. (i.e. 280 Sq. Ft.), together with 1.20% undivided share in the land, situated on the Ground Floor in the building known as “Sneha Complex Condominium”, constructed on Final Plot No. 359/B/1 of Town Planning Scheme No. 1, bearing CTS No. 1032/B/1, situated at Village Shivajinagar (Bhamburda), Taluka – Haveli, District – Pune and within local limits of Pune Municipal Corporation, Pune.</v>
      </c>
      <c r="J59" s="91" t="s">
        <v>12</v>
      </c>
      <c r="K59" s="92"/>
      <c r="L59" s="92"/>
      <c r="M59" s="23" t="s">
        <v>857</v>
      </c>
      <c r="N59" s="23" t="s">
        <v>829</v>
      </c>
      <c r="O59" s="23"/>
    </row>
    <row r="60">
      <c r="A60" s="93">
        <f t="array" ref="A60">XLOOKUP(C60,'TSR Initiation'!C:C,'TSR Initiation'!A:A)</f>
        <v>613</v>
      </c>
      <c r="B60" s="71" t="s">
        <v>11</v>
      </c>
      <c r="C60" s="26" t="s">
        <v>490</v>
      </c>
      <c r="D60" s="88" t="str">
        <f t="array" ref="D60">XLOOKUP(C60,'Master Data'!C:C,'Master Data'!D:D)</f>
        <v>Vishrantwadi</v>
      </c>
      <c r="E60" s="71" t="str">
        <f t="array" ref="E60">XLOOKUP(C60,'TSR Initiation'!C:C,'TSR Initiation'!E:E)</f>
        <v>20.04.2026</v>
      </c>
      <c r="F60" s="88" t="str">
        <f t="array" ref="F60">XLOOKUP(C60,'Master Data'!C:C,'Master Data'!E:E)</f>
        <v>Vishal Appasaheb Moholkar </v>
      </c>
      <c r="G60" s="89" t="str">
        <f t="array" ref="G60">XLOOKUP(C60,'Master Data'!C:C,'Master Data'!F:F)</f>
        <v>Vaibhav Appasaheb Moholkar</v>
      </c>
      <c r="H60" s="89" t="str">
        <f t="array" ref="H60">XLOOKUP(C60,'Master Data'!C:C,'Master Data'!G:G)</f>
        <v>BT</v>
      </c>
      <c r="I60" s="90" t="str">
        <f t="array" ref="I60">XLOOKUP(C60,'Master Data'!C:C,'Master Data'!H:H)</f>
        <v>All that piece and parcel of Shop No. 2, admeasuring 29.54 Sq. Mtrs. (i.e. 318 Sq. Ft.), together with 1.20% undivided share in the land as per Deed of Apartment and 1.733% undivided share as per Deed of Declaration, situated on the Ground Floor in the building known as “Sneh Complex Condominium”, constructed on Final Plot No. 359/B/1 of Town Planning Scheme No. 1, bearing CTS No. 1032/B/1, situated at Village Shivajinagar (Bhamburda), Taluka – Haveli, District – Pune and within the local limits of Pune Municipal Corporation, Pune.</v>
      </c>
      <c r="J60" s="91" t="s">
        <v>12</v>
      </c>
      <c r="K60" s="92"/>
      <c r="L60" s="92"/>
      <c r="M60" s="23" t="s">
        <v>857</v>
      </c>
      <c r="N60" s="23" t="s">
        <v>829</v>
      </c>
      <c r="O60" s="23"/>
    </row>
    <row r="61">
      <c r="A61" s="93">
        <f t="array" ref="A61">XLOOKUP(C61,'TSR Initiation'!C:C,'TSR Initiation'!A:A)</f>
        <v>613</v>
      </c>
      <c r="B61" s="71" t="s">
        <v>11</v>
      </c>
      <c r="C61" s="26" t="s">
        <v>492</v>
      </c>
      <c r="D61" s="88" t="str">
        <f t="array" ref="D61">XLOOKUP(C61,'Master Data'!C:C,'Master Data'!D:D)</f>
        <v>Vishrantwadi</v>
      </c>
      <c r="E61" s="71" t="str">
        <f t="array" ref="E61">XLOOKUP(C61,'TSR Initiation'!C:C,'TSR Initiation'!E:E)</f>
        <v>20.04.2026</v>
      </c>
      <c r="F61" s="88" t="str">
        <f t="array" ref="F61">XLOOKUP(C61,'Master Data'!C:C,'Master Data'!E:E)</f>
        <v>Vishal Appasaheb Moholkar </v>
      </c>
      <c r="G61" s="89" t="str">
        <f t="array" ref="G61">XLOOKUP(C61,'Master Data'!C:C,'Master Data'!F:F)</f>
        <v>Vaibhav Appasaheb Moholkar</v>
      </c>
      <c r="H61" s="89" t="str">
        <f t="array" ref="H61">XLOOKUP(C61,'Master Data'!C:C,'Master Data'!G:G)</f>
        <v>BT</v>
      </c>
      <c r="I61" s="90" t="str">
        <f t="array" ref="I61">XLOOKUP(C61,'Master Data'!C:C,'Master Data'!H:H)</f>
        <v>All that piece and parcel of Shop No. 3, admeasuring 13.19 Sq. Mtrs. (i.e. 142 Sq. Ft.), together with 0.773% undivided share in the land as per Deed of Declaration, situated on the Ground Floor in the building known as “Sneh Complex Condominium”, constructed on Final Plot No. 359/B/1 of Town Planning Scheme No. 1, bearing CTS No. 1032/B/1, situated at Village Shivajinagar (Bhamburda), Taluka – Haveli, District – Pune and within the local limits of Pune Municipal Corporation, Pune.</v>
      </c>
      <c r="J61" s="91" t="s">
        <v>12</v>
      </c>
      <c r="K61" s="92"/>
      <c r="L61" s="92"/>
      <c r="M61" s="23" t="s">
        <v>857</v>
      </c>
      <c r="N61" s="23" t="s">
        <v>829</v>
      </c>
      <c r="O61" s="23"/>
    </row>
    <row r="62">
      <c r="A62" s="93">
        <f t="array" ref="A62">XLOOKUP(C62,'TSR Initiation'!C:C,'TSR Initiation'!A:A)</f>
        <v>623</v>
      </c>
      <c r="B62" s="71" t="s">
        <v>11</v>
      </c>
      <c r="C62" s="26">
        <v>7.7000250405E10</v>
      </c>
      <c r="D62" s="88" t="str">
        <f t="array" ref="D62">XLOOKUP(C62,'Master Data'!C:C,'Master Data'!D:D)</f>
        <v>Vishrantwadi</v>
      </c>
      <c r="E62" s="71" t="str">
        <f t="array" ref="E62">XLOOKUP(C62,'TSR Initiation'!C:C,'TSR Initiation'!E:E)</f>
        <v>21.04.2026</v>
      </c>
      <c r="F62" s="88" t="str">
        <f t="array" ref="F62">XLOOKUP(C62,'Master Data'!C:C,'Master Data'!E:E)</f>
        <v>Krishna Manik Patil</v>
      </c>
      <c r="G62" s="89" t="str">
        <f t="array" ref="G62">XLOOKUP(C62,'Master Data'!C:C,'Master Data'!F:F)</f>
        <v>Karuna Krishna Patil</v>
      </c>
      <c r="H62" s="89" t="str">
        <f t="array" ref="H62">XLOOKUP(C62,'Master Data'!C:C,'Master Data'!G:G)</f>
        <v>LAP</v>
      </c>
      <c r="I62" s="90" t="str">
        <f t="array" ref="I62">XLOOKUP(C62,'Master Data'!C:C,'Master Data'!H:H)</f>
        <v>All that piece and parcel of property bearing Private Plot No. 26, admeasuring of H. 00-00.92.93 Ares, i.e. 1000 sq. feets., out of the Survey No.84, Hissa No. 5, having total area admeasuring of H. 05-84.75 Ares, assessed at Rs. 05-85 Paise, situated at Village – Lohgaon, Taluka – Haveli, District – Pune</v>
      </c>
      <c r="J62" s="91" t="s">
        <v>12</v>
      </c>
      <c r="K62" s="92"/>
      <c r="L62" s="92"/>
      <c r="M62" s="23" t="s">
        <v>857</v>
      </c>
      <c r="N62" s="23" t="s">
        <v>829</v>
      </c>
      <c r="O62" s="23"/>
    </row>
    <row r="63">
      <c r="A63" s="93">
        <f t="array" ref="A63">XLOOKUP(C63,'TSR Initiation'!C:C,'TSR Initiation'!A:A)</f>
        <v>624</v>
      </c>
      <c r="B63" s="71" t="s">
        <v>11</v>
      </c>
      <c r="C63" s="6">
        <v>7.700024538E10</v>
      </c>
      <c r="D63" s="88" t="str">
        <f t="array" ref="D63">XLOOKUP(C63,'Master Data'!C:C,'Master Data'!D:D)</f>
        <v>Wakad</v>
      </c>
      <c r="E63" s="71" t="str">
        <f t="array" ref="E63">XLOOKUP(C63,'TSR Initiation'!C:C,'TSR Initiation'!E:E)</f>
        <v>20.04.2026</v>
      </c>
      <c r="F63" s="88" t="str">
        <f t="array" ref="F63">XLOOKUP(C63,'Master Data'!C:C,'Master Data'!E:E)</f>
        <v>Bhushan Sonawane</v>
      </c>
      <c r="G63" s="89" t="str">
        <f t="array" ref="G63">XLOOKUP(C63,'Master Data'!C:C,'Master Data'!F:F)</f>
        <v/>
      </c>
      <c r="H63" s="89" t="str">
        <f t="array" ref="H63">XLOOKUP(C63,'Master Data'!C:C,'Master Data'!G:G)</f>
        <v>Resale</v>
      </c>
      <c r="I63" s="90" t="str">
        <f t="array" ref="I63">XLOOKUP(C63,'Master Data'!C:C,'Master Data'!H:H)</f>
        <v>All that piece and parcel of Flat No. 403 on the Fourth Floor, admeasuring 610 Sq. Ft. built-up area (i.e. 56.69 Sq. Mtrs.), along with terrace, in the building known as “Laxmi Villa”, constructed on land bearing C.T.S. No. 531 and C.T.S. No. 532, total admeasuring 536.5 Sq. Mtrs., situated at Village Punawale (Gaothan), Taluka Mulshi, District Pune, within the local limits of Pimpri Chinchwad Municipal Corporation and within the jurisdiction of Sub-Registrar Haveli, along with all common amenities and facilities.</v>
      </c>
      <c r="J63" s="91" t="s">
        <v>12</v>
      </c>
      <c r="K63" s="92"/>
      <c r="L63" s="92"/>
      <c r="M63" s="23" t="s">
        <v>857</v>
      </c>
      <c r="N63" s="23" t="s">
        <v>829</v>
      </c>
      <c r="O63" s="23"/>
    </row>
    <row r="64">
      <c r="A64" s="93">
        <f t="array" ref="A64">XLOOKUP(C64,'TSR Initiation'!C:C,'TSR Initiation'!A:A)</f>
        <v>625</v>
      </c>
      <c r="B64" s="71" t="s">
        <v>11</v>
      </c>
      <c r="C64" s="6" t="s">
        <v>510</v>
      </c>
      <c r="D64" s="88" t="str">
        <f t="array" ref="D64">XLOOKUP(C64,'Master Data'!C:C,'Master Data'!D:D)</f>
        <v>Main</v>
      </c>
      <c r="E64" s="71" t="str">
        <f t="array" ref="E64">XLOOKUP(C64,'TSR Initiation'!C:C,'TSR Initiation'!E:E)</f>
        <v>21.04.2026</v>
      </c>
      <c r="F64" s="88" t="str">
        <f t="array" ref="F64">XLOOKUP(C64,'Master Data'!C:C,'Master Data'!E:E)</f>
        <v>Sandeep Jadhav</v>
      </c>
      <c r="G64" s="89" t="str">
        <f t="array" ref="G64">XLOOKUP(C64,'Master Data'!C:C,'Master Data'!F:F)</f>
        <v/>
      </c>
      <c r="H64" s="89" t="str">
        <f t="array" ref="H64">XLOOKUP(C64,'Master Data'!C:C,'Master Data'!G:G)</f>
        <v>LAP - Commercial</v>
      </c>
      <c r="I64" s="90" t="str">
        <f t="array" ref="I64">XLOOKUP(C64,'Master Data'!C:C,'Master Data'!H:H)</f>
        <v>All that piece and parcel of Unit No. G-01, having built-up area admeasuring of 457.728 sq. mtrs., situated on the Ground Floor, out of the project known as "Bellissima", being constructed on the land project land, i.e. Surve No. 271/1, 275/A, 275/B and 275, situated at Village – Baner, Taluka – Haveli, District – Pune and within local limits of Pune Municipal Corporation, Pune.</v>
      </c>
      <c r="J64" s="91" t="s">
        <v>12</v>
      </c>
      <c r="K64" s="92"/>
      <c r="L64" s="92"/>
      <c r="M64" s="23" t="s">
        <v>857</v>
      </c>
      <c r="N64" s="23" t="s">
        <v>829</v>
      </c>
      <c r="O64" s="23"/>
    </row>
    <row r="65">
      <c r="A65" s="93">
        <f t="array" ref="A65">XLOOKUP(C65,'TSR Initiation'!C:C,'TSR Initiation'!A:A)</f>
        <v>625</v>
      </c>
      <c r="B65" s="71" t="s">
        <v>11</v>
      </c>
      <c r="C65" s="6" t="s">
        <v>520</v>
      </c>
      <c r="D65" s="88" t="str">
        <f t="array" ref="D65">XLOOKUP(C65,'Master Data'!C:C,'Master Data'!D:D)</f>
        <v>Main</v>
      </c>
      <c r="E65" s="71" t="str">
        <f t="array" ref="E65">XLOOKUP(C65,'TSR Initiation'!C:C,'TSR Initiation'!E:E)</f>
        <v>21.04.2026</v>
      </c>
      <c r="F65" s="88" t="str">
        <f t="array" ref="F65">XLOOKUP(C65,'Master Data'!C:C,'Master Data'!E:E)</f>
        <v>Sandeep Jadhav</v>
      </c>
      <c r="G65" s="89" t="str">
        <f t="array" ref="G65">XLOOKUP(C65,'Master Data'!C:C,'Master Data'!F:F)</f>
        <v/>
      </c>
      <c r="H65" s="89" t="str">
        <f t="array" ref="H65">XLOOKUP(C65,'Master Data'!C:C,'Master Data'!G:G)</f>
        <v>LAP - Commercial</v>
      </c>
      <c r="I65" s="90" t="str">
        <f t="array" ref="I65">XLOOKUP(C65,'Master Data'!C:C,'Master Data'!H:H)</f>
        <v>All that piece and parcel of Unit No. G-02, having built-up area admeasuring of 463.699 sq. mtrs., situated on the Ground Floor, out of the project known as "Bellissima", being constructed on the land project land, i.e. Surve No. 271/1, 275/A, 275/B and 275, situated at Village – Baner, Taluka – Haveli, District – Pune and within local limits of Pune Municipal Corporation, Pune.</v>
      </c>
      <c r="J65" s="91" t="s">
        <v>12</v>
      </c>
      <c r="K65" s="92"/>
      <c r="L65" s="92"/>
      <c r="M65" s="23" t="s">
        <v>857</v>
      </c>
      <c r="N65" s="23" t="s">
        <v>829</v>
      </c>
      <c r="O65" s="23"/>
    </row>
    <row r="66">
      <c r="A66" s="93">
        <f t="array" ref="A66">XLOOKUP(C66,'TSR Initiation'!C:C,'TSR Initiation'!A:A)</f>
        <v>625</v>
      </c>
      <c r="B66" s="71" t="s">
        <v>11</v>
      </c>
      <c r="C66" s="6" t="s">
        <v>522</v>
      </c>
      <c r="D66" s="88" t="str">
        <f t="array" ref="D66">XLOOKUP(C66,'Master Data'!C:C,'Master Data'!D:D)</f>
        <v>Main</v>
      </c>
      <c r="E66" s="71" t="str">
        <f t="array" ref="E66">XLOOKUP(C66,'TSR Initiation'!C:C,'TSR Initiation'!E:E)</f>
        <v>21.04.2026</v>
      </c>
      <c r="F66" s="88" t="str">
        <f t="array" ref="F66">XLOOKUP(C66,'Master Data'!C:C,'Master Data'!E:E)</f>
        <v>Sandeep Jadhav</v>
      </c>
      <c r="G66" s="89" t="str">
        <f t="array" ref="G66">XLOOKUP(C66,'Master Data'!C:C,'Master Data'!F:F)</f>
        <v/>
      </c>
      <c r="H66" s="89" t="str">
        <f t="array" ref="H66">XLOOKUP(C66,'Master Data'!C:C,'Master Data'!G:G)</f>
        <v>LAP - Commercial</v>
      </c>
      <c r="I66" s="90" t="str">
        <f t="array" ref="I66">XLOOKUP(C66,'Master Data'!C:C,'Master Data'!H:H)</f>
        <v>All that piece and parcel of Unit No. G-01, having built-up area admeasuring of 120.33 sq. mtrs., situated on the Ground Floor, out of the project known as "Bellissima", being constructed on the land project land, i.e. Surve No. 271/1, 275/A, 275/B and 275, situated at Village – Baner, Taluka – Haveli, District – Pune and within local limits of Pune Municipal Corporation, Pune.</v>
      </c>
      <c r="J66" s="91" t="s">
        <v>12</v>
      </c>
      <c r="K66" s="92"/>
      <c r="L66" s="92"/>
      <c r="M66" s="23" t="s">
        <v>857</v>
      </c>
      <c r="N66" s="23" t="s">
        <v>829</v>
      </c>
      <c r="O66" s="23"/>
    </row>
    <row r="67">
      <c r="A67" s="93">
        <f t="array" ref="A67">XLOOKUP(C67,'TSR Initiation'!C:C,'TSR Initiation'!A:A)</f>
        <v>627</v>
      </c>
      <c r="B67" s="71" t="s">
        <v>11</v>
      </c>
      <c r="C67" s="6">
        <v>7.7000253356E10</v>
      </c>
      <c r="D67" s="88" t="str">
        <f t="array" ref="D67">XLOOKUP(C67,'Master Data'!C:C,'Master Data'!D:D)</f>
        <v>Kolhapur</v>
      </c>
      <c r="E67" s="71" t="str">
        <f t="array" ref="E67">XLOOKUP(C67,'TSR Initiation'!C:C,'TSR Initiation'!E:E)</f>
        <v>21.04.2026</v>
      </c>
      <c r="F67" s="88" t="str">
        <f t="array" ref="F67">XLOOKUP(C67,'Master Data'!C:C,'Master Data'!E:E)</f>
        <v>Mr. Akshay Suresh Patil</v>
      </c>
      <c r="G67" s="89" t="str">
        <f t="array" ref="G67">XLOOKUP(C67,'Master Data'!C:C,'Master Data'!F:F)</f>
        <v>Savita Suresh Patil</v>
      </c>
      <c r="H67" s="89" t="str">
        <f t="array" ref="H67">XLOOKUP(C67,'Master Data'!C:C,'Master Data'!G:G)</f>
        <v>Apana Ghar Regular Under Construction</v>
      </c>
      <c r="I67" s="90" t="str">
        <f t="array" ref="I67">XLOOKUP(C67,'Master Data'!C:C,'Master Data'!H:H)</f>
        <v>All that piece and parcel of land property bearing non-agricultural Plot No. 34, having an area admeasuring of 160.34 sq.mtrs., carved out of Gat No. 307/A and Gat No. 307/B, both situated at Village – Vathar Tarf Vadgaon, Taluka – Hatkanangale, District – Kolhapur.</v>
      </c>
      <c r="J67" s="91" t="s">
        <v>12</v>
      </c>
      <c r="K67" s="92"/>
      <c r="L67" s="92"/>
      <c r="M67" s="23" t="s">
        <v>857</v>
      </c>
      <c r="N67" s="23" t="s">
        <v>829</v>
      </c>
      <c r="O67" s="23"/>
    </row>
    <row r="68">
      <c r="A68" s="93">
        <f t="array" ref="A68">XLOOKUP(C68,'TSR Initiation'!C:C,'TSR Initiation'!A:A)</f>
        <v>626</v>
      </c>
      <c r="B68" s="71" t="s">
        <v>11</v>
      </c>
      <c r="C68" s="26">
        <v>7.7000248652E10</v>
      </c>
      <c r="D68" s="88" t="str">
        <f t="array" ref="D68">XLOOKUP(C68,'Master Data'!C:C,'Master Data'!D:D)</f>
        <v>Kharadi</v>
      </c>
      <c r="E68" s="71" t="str">
        <f t="array" ref="E68">XLOOKUP(C68,'TSR Initiation'!C:C,'TSR Initiation'!E:E)</f>
        <v>21.04.2026</v>
      </c>
      <c r="F68" s="88" t="str">
        <f t="array" ref="F68">XLOOKUP(C68,'Master Data'!C:C,'Master Data'!E:E)</f>
        <v>Harshal Nayan Patil</v>
      </c>
      <c r="G68" s="89" t="str">
        <f t="array" ref="G68">XLOOKUP(C68,'Master Data'!C:C,'Master Data'!F:F)</f>
        <v>Sunita Patil</v>
      </c>
      <c r="H68" s="89" t="str">
        <f t="array" ref="H68">XLOOKUP(C68,'Master Data'!C:C,'Master Data'!G:G)</f>
        <v>Builder Purchase</v>
      </c>
      <c r="I68" s="90" t="str">
        <f t="array" ref="I68">XLOOKUP(C68,'Master Data'!C:C,'Master Data'!H:H)</f>
        <v>All that residential Apartment/Flat bearing No. 107, situated on the 1st Floor, having carpet area admeasuring 49.81 Sq. Mtrs., along with enclosed balcony area admeasuring 7.77 Sq. Mtrs. and attached sit-out/dry balcony area admeasuring 2.80 Sq. Mtrs., in ‘A’ Wing of the project known as “Prism City Skylife”, constructed on the entire land, i.e. Survey No. 534/1 and 535/2, both situated at Village Charholi Budruk, Taluka Haveli, District Pune, within the limits of Pimpri Chinchwad Municipal Corporation, Pimpri.</v>
      </c>
      <c r="J68" s="91" t="s">
        <v>12</v>
      </c>
      <c r="K68" s="92"/>
      <c r="L68" s="92"/>
      <c r="M68" s="23" t="s">
        <v>857</v>
      </c>
      <c r="N68" s="23" t="s">
        <v>829</v>
      </c>
      <c r="O68" s="23"/>
    </row>
    <row r="69">
      <c r="A69" s="93">
        <f t="array" ref="A69">XLOOKUP(C69,'TSR Initiation'!C:C,'TSR Initiation'!A:A)</f>
        <v>609</v>
      </c>
      <c r="B69" s="71" t="s">
        <v>11</v>
      </c>
      <c r="C69" s="30" t="s">
        <v>224</v>
      </c>
      <c r="D69" s="88" t="str">
        <f t="array" ref="D69">XLOOKUP(C69,'Master Data'!C:C,'Master Data'!D:D)</f>
        <v>Main</v>
      </c>
      <c r="E69" s="71" t="str">
        <f t="array" ref="E69">XLOOKUP(C69,'TSR Initiation'!C:C,'TSR Initiation'!E:E)</f>
        <v>17.04.2026</v>
      </c>
      <c r="F69" s="88" t="str">
        <f t="array" ref="F69">XLOOKUP(C69,'Master Data'!C:C,'Master Data'!E:E)</f>
        <v>M/s. Wakadkar Brothers</v>
      </c>
      <c r="G69" s="89" t="str">
        <f t="array" ref="G69">XLOOKUP(C69,'Master Data'!C:C,'Master Data'!F:F)</f>
        <v>Mr. Vishal Yashwant Wakadkar
Mr. Yashwant Sopan Wakadkar</v>
      </c>
      <c r="H69" s="89" t="str">
        <f t="array" ref="H69">XLOOKUP(C69,'Master Data'!C:C,'Master Data'!G:G)</f>
        <v>LAP - RESI</v>
      </c>
      <c r="I69" s="90" t="str">
        <f t="array" ref="I69">XLOOKUP(C69,'Master Data'!C:C,'Master Data'!H:H)</f>
        <v>All that residential Flat bearing No. 406, situated on the 4th Floor, admeasuring 631 Sq. Ft. saleable built-up area along with terrace, in the project known as “Atelier”, constructed on the land bearing Survey No. 173/1/1B, situated at Village Mouje Wakad, Taluka Mulshi, District Pune, within the limits of Pimpri Chinchwad Municipal Corporation.</v>
      </c>
      <c r="J69" s="91" t="s">
        <v>12</v>
      </c>
      <c r="K69" s="92"/>
      <c r="L69" s="92"/>
      <c r="M69" s="23" t="s">
        <v>857</v>
      </c>
      <c r="N69" s="23" t="s">
        <v>826</v>
      </c>
      <c r="O69" s="23"/>
    </row>
    <row r="70">
      <c r="A70" s="93">
        <f t="array" ref="A70">XLOOKUP(C70,'TSR Initiation'!C:C,'TSR Initiation'!A:A)</f>
        <v>630</v>
      </c>
      <c r="B70" s="71" t="s">
        <v>11</v>
      </c>
      <c r="C70" s="25">
        <v>7.7333239804E10</v>
      </c>
      <c r="D70" s="88" t="str">
        <f t="array" ref="D70">XLOOKUP(C70,'Master Data'!C:C,'Master Data'!D:D)</f>
        <v>Main</v>
      </c>
      <c r="E70" s="71" t="str">
        <f t="array" ref="E70">XLOOKUP(C70,'TSR Initiation'!C:C,'TSR Initiation'!E:E)</f>
        <v>17.04.2026</v>
      </c>
      <c r="F70" s="88" t="str">
        <f t="array" ref="F70">XLOOKUP(C70,'Master Data'!C:C,'Master Data'!E:E)</f>
        <v>Vitthal Maruti Mane</v>
      </c>
      <c r="G70" s="89" t="str">
        <f t="array" ref="G70">XLOOKUP(C70,'Master Data'!C:C,'Master Data'!F:F)</f>
        <v/>
      </c>
      <c r="H70" s="89" t="str">
        <f t="array" ref="H70">XLOOKUP(C70,'Master Data'!C:C,'Master Data'!G:G)</f>
        <v>Balance Transfer</v>
      </c>
      <c r="I70" s="90" t="str">
        <f t="array" ref="I70">XLOOKUP(C70,'Master Data'!C:C,'Master Data'!H:H)</f>
        <v>All that piece and parcel of property bearing L Room No. 210, having an area admeasuring of 25.95 Sq. Mtrs. (Carpet Area 15.09 Sq. Mtrs. + Terrace Area 10.86 Sq. Mtrs.), situated on the Second Floor, in Building known as “Udyam Bizcasa”, out of the project known as “Udyam Bizcasa”, constructed/to be constructed on the entire land property, i.e. Survey No. 128/2 (Old Survey No. 128), situated at Village – Saswad, Taluka – Purandar, District – Pune and within local limits of Saswad Municipal Council.</v>
      </c>
      <c r="J70" s="91" t="s">
        <v>12</v>
      </c>
      <c r="K70" s="92"/>
      <c r="L70" s="92"/>
      <c r="M70" s="23" t="s">
        <v>857</v>
      </c>
      <c r="N70" s="23" t="s">
        <v>826</v>
      </c>
      <c r="O70" s="23"/>
    </row>
    <row r="71">
      <c r="A71" s="93" t="str">
        <f t="array" ref="A71">XLOOKUP(C71,'TSR Initiation'!C:C,'TSR Initiation'!A:A)</f>
        <v>609_2</v>
      </c>
      <c r="B71" s="71" t="s">
        <v>11</v>
      </c>
      <c r="C71" s="30" t="s">
        <v>231</v>
      </c>
      <c r="D71" s="88" t="str">
        <f t="array" ref="D71">XLOOKUP(C71,'Master Data'!C:C,'Master Data'!D:D)</f>
        <v>Main</v>
      </c>
      <c r="E71" s="71" t="str">
        <f t="array" ref="E71">XLOOKUP(C71,'TSR Initiation'!C:C,'TSR Initiation'!E:E)</f>
        <v>17.04.2026</v>
      </c>
      <c r="F71" s="88" t="str">
        <f t="array" ref="F71">XLOOKUP(C71,'Master Data'!C:C,'Master Data'!E:E)</f>
        <v>M/s. Wakadkar Brothers</v>
      </c>
      <c r="G71" s="89" t="str">
        <f t="array" ref="G71">XLOOKUP(C71,'Master Data'!C:C,'Master Data'!F:F)</f>
        <v>Mr. Vishal Yashwant Wakadkar
Mr. Yashwant Sopan Wakadkar</v>
      </c>
      <c r="H71" s="89" t="str">
        <f t="array" ref="H71">XLOOKUP(C71,'Master Data'!C:C,'Master Data'!G:G)</f>
        <v>LAP - RESI</v>
      </c>
      <c r="I71" s="90" t="str">
        <f t="array" ref="I71">XLOOKUP(C71,'Master Data'!C:C,'Master Data'!H:H)</f>
        <v>All that piece and parcel of property bearing Flat/Apartment No. B-206, having an area admeasuring 65.82 Sq. Mtrs. (Carpet Area 51.10 Sq. Mtrs. + Enclosed Balcony Area 6.11 Sq. Mtrs. + Dry Balcony Area 2.21 Sq. Mtrs. + Terrace Area 6.40 Sq. Mtrs.), situated on the Second Floor, in Wing ‘B’, out of the project known as “Viva ABCD”, constructed/to be constructed on the entire land property bearing Survey Nos. 130/3/1, 130/3/2 and 130/2/4, situated at Village – Wakad, Taluka – Mulshi, District – Pune, within the limits of Pimpri Chinchwad Municipal Corporation.</v>
      </c>
      <c r="J71" s="91" t="s">
        <v>12</v>
      </c>
      <c r="K71" s="92"/>
      <c r="L71" s="92"/>
      <c r="M71" s="23" t="s">
        <v>857</v>
      </c>
      <c r="N71" s="23" t="s">
        <v>826</v>
      </c>
      <c r="O71" s="23"/>
    </row>
    <row r="72">
      <c r="A72" s="93" t="str">
        <f t="array" ref="A72">XLOOKUP(C72,'TSR Initiation'!C:C,'TSR Initiation'!A:A)</f>
        <v>609_3</v>
      </c>
      <c r="B72" s="71" t="s">
        <v>11</v>
      </c>
      <c r="C72" s="30" t="s">
        <v>234</v>
      </c>
      <c r="D72" s="88" t="str">
        <f t="array" ref="D72">XLOOKUP(C72,'Master Data'!C:C,'Master Data'!D:D)</f>
        <v>Main</v>
      </c>
      <c r="E72" s="71" t="str">
        <f t="array" ref="E72">XLOOKUP(C72,'TSR Initiation'!C:C,'TSR Initiation'!E:E)</f>
        <v>17.04.2026</v>
      </c>
      <c r="F72" s="88" t="str">
        <f t="array" ref="F72">XLOOKUP(C72,'Master Data'!C:C,'Master Data'!E:E)</f>
        <v>M/s. Wakadkar Brothers</v>
      </c>
      <c r="G72" s="89" t="str">
        <f t="array" ref="G72">XLOOKUP(C72,'Master Data'!C:C,'Master Data'!F:F)</f>
        <v>Mr. Vishal Yashwant Wakadkar
Mr. Yashwant Sopan Wakadkar</v>
      </c>
      <c r="H72" s="89" t="str">
        <f t="array" ref="H72">XLOOKUP(C72,'Master Data'!C:C,'Master Data'!G:G)</f>
        <v>LAP - RESI</v>
      </c>
      <c r="I72" s="90" t="str">
        <f t="array" ref="I72">XLOOKUP(C72,'Master Data'!C:C,'Master Data'!H:H)</f>
        <v>All that piece and parcel of property bearing Flat/Apartment No. C-107, having an area admeasuring 76.58 Sq. Mtrs. (Carpet Area 58.42 Sq. Mtrs. + Enclosed Balcony Area 5.34 Sq. Mtrs. + Dry Balcony Area 2.21 Sq. Mtrs. + Terrace Area 10.61 Sq. Mtrs.), situated on the First Floor, in Wing ‘C’, out of the project known as “Viva ABCD”, constructed/to be constructed on the entire land property bearing Survey Nos. 130/3/1, 130/3/2 and 130/2/4, situated at Village – Wakad, Taluka – Mulshi, District – Pune, within the limits of Pimpri Chinchwad Municipal Corporation, along with one car parking space.</v>
      </c>
      <c r="J72" s="91" t="s">
        <v>12</v>
      </c>
      <c r="K72" s="92"/>
      <c r="L72" s="92"/>
      <c r="M72" s="23" t="s">
        <v>857</v>
      </c>
      <c r="N72" s="23" t="s">
        <v>826</v>
      </c>
      <c r="O72" s="23"/>
    </row>
    <row r="73">
      <c r="A73" s="93">
        <f t="array" ref="A73">XLOOKUP(C73,'TSR Initiation'!C:C,'TSR Initiation'!A:A)</f>
        <v>631</v>
      </c>
      <c r="B73" s="71" t="s">
        <v>11</v>
      </c>
      <c r="C73" s="43">
        <v>7.79214982E9</v>
      </c>
      <c r="D73" s="88" t="str">
        <f t="array" ref="D73">XLOOKUP(C73,'Master Data'!C:C,'Master Data'!D:D)</f>
        <v>Chinchwad</v>
      </c>
      <c r="E73" s="71" t="str">
        <f t="array" ref="E73">XLOOKUP(C73,'TSR Initiation'!C:C,'TSR Initiation'!E:E)</f>
        <v>21.04.2026</v>
      </c>
      <c r="F73" s="88" t="str">
        <f t="array" ref="F73">XLOOKUP(C73,'Master Data'!C:C,'Master Data'!E:E)</f>
        <v>PANKAJ RAMESH JADHAO</v>
      </c>
      <c r="G73" s="89" t="str">
        <f t="array" ref="G73">XLOOKUP(C73,'Master Data'!C:C,'Master Data'!F:F)</f>
        <v>DNYANESHWARI PRADIPRAO MAHALLE</v>
      </c>
      <c r="H73" s="89" t="str">
        <f t="array" ref="H73">XLOOKUP(C73,'Master Data'!C:C,'Master Data'!G:G)</f>
        <v>Builder Purchase</v>
      </c>
      <c r="I73" s="90" t="str">
        <f t="array" ref="I73">XLOOKUP(C73,'Master Data'!C:C,'Master Data'!H:H)</f>
        <v>All that piece and parcel of property bearing Flat No. 305, having an area admeasuring 71.44 Sq. Mtrs. (Carpet Area) along with Open Balcony Area 3.62 Sq. Mtrs. and Utility Area 1.91 Sq. Mtrs., situated on the Third Floor, in Tower No. 7, out of the project known as “Gera’s Isle of Joy – Project C”, constructed/to be constructed on the entire land property, i.e. Gat Nos. 1255/73, 1255/65, 1255/66, 1255/69, 1255/70, 1255/71, 1255/72 (Part) and 1267 (Part), situated at Village – Wagholi, Taluka – Haveli, District – Pune and within local limits of Pune Municipal Corporation.</v>
      </c>
      <c r="J73" s="91" t="s">
        <v>12</v>
      </c>
      <c r="K73" s="92"/>
      <c r="L73" s="92"/>
      <c r="M73" s="23" t="s">
        <v>857</v>
      </c>
      <c r="N73" s="23" t="s">
        <v>826</v>
      </c>
      <c r="O73" s="23"/>
    </row>
    <row r="74">
      <c r="A74" s="93">
        <f t="array" ref="A74">XLOOKUP(C74,'TSR Initiation'!C:C,'TSR Initiation'!A:A)</f>
        <v>632</v>
      </c>
      <c r="B74" s="71" t="s">
        <v>11</v>
      </c>
      <c r="C74" s="6">
        <v>7.7000263661E10</v>
      </c>
      <c r="D74" s="88" t="str">
        <f t="array" ref="D74">XLOOKUP(C74,'Master Data'!C:C,'Master Data'!D:D)</f>
        <v>Chinchwad</v>
      </c>
      <c r="E74" s="71" t="str">
        <f t="array" ref="E74">XLOOKUP(C74,'TSR Initiation'!C:C,'TSR Initiation'!E:E)</f>
        <v>21.04.2026</v>
      </c>
      <c r="F74" s="88" t="str">
        <f t="array" ref="F74">XLOOKUP(C74,'Master Data'!C:C,'Master Data'!E:E)</f>
        <v>Kiran Namdev Shinde</v>
      </c>
      <c r="G74" s="89" t="str">
        <f t="array" ref="G74">XLOOKUP(C74,'Master Data'!C:C,'Master Data'!F:F)</f>
        <v>Nirmalsharada Trading LLP
Rupali Kiran Shinde</v>
      </c>
      <c r="H74" s="89" t="str">
        <f t="array" ref="H74">XLOOKUP(C74,'Master Data'!C:C,'Master Data'!G:G)</f>
        <v>LAP</v>
      </c>
      <c r="I74" s="90" t="str">
        <f t="array" ref="I74">XLOOKUP(C74,'Master Data'!C:C,'Master Data'!H:H)</f>
        <v>All that piece and parcel of Shop No. 02, situated on the Ground Floor, admeasuring 323.03 square feet i.e. 30.02 square metres (carpet area), in Building No. “B”, in the building known as “Sai Vivek Co-operative Housing Society Ltd.”, together with membership rights in the said society, and along with proportionate undivided share in the land and common areas, amenities and facilities appurtenant thereto, constructed on land bearing Survey No. 77/4, lying and situated at Village Ravet, Taluka Haveli, District Pune, within the limits of Pimpri Chinchwad Municipal Corporation, Pimpri.</v>
      </c>
      <c r="J74" s="91" t="s">
        <v>12</v>
      </c>
      <c r="K74" s="92"/>
      <c r="L74" s="92"/>
      <c r="M74" s="23" t="s">
        <v>857</v>
      </c>
      <c r="N74" s="23" t="s">
        <v>834</v>
      </c>
      <c r="O74" s="23"/>
    </row>
    <row r="75">
      <c r="A75" s="93">
        <f t="array" ref="A75">XLOOKUP(C75,'TSR Initiation'!C:C,'TSR Initiation'!A:A)</f>
        <v>634</v>
      </c>
      <c r="B75" s="71" t="s">
        <v>11</v>
      </c>
      <c r="C75" s="71" t="s">
        <v>556</v>
      </c>
      <c r="D75" s="88" t="str">
        <f t="array" ref="D75">XLOOKUP(C75,'Master Data'!C:C,'Master Data'!D:D)</f>
        <v>APF</v>
      </c>
      <c r="E75" s="71" t="str">
        <f t="array" ref="E75">XLOOKUP(C75,'TSR Initiation'!C:C,'TSR Initiation'!E:E)</f>
        <v>23.04.2026</v>
      </c>
      <c r="F75" s="88" t="str">
        <f t="array" ref="F75">XLOOKUP(C75,'Master Data'!C:C,'Master Data'!E:E)</f>
        <v>Avighna Heights</v>
      </c>
      <c r="G75" s="89" t="str">
        <f t="array" ref="G75">XLOOKUP(C75,'Master Data'!C:C,'Master Data'!F:F)</f>
        <v/>
      </c>
      <c r="H75" s="89" t="str">
        <f t="array" ref="H75">XLOOKUP(C75,'Master Data'!C:C,'Master Data'!G:G)</f>
        <v>APF</v>
      </c>
      <c r="I75" s="90" t="str">
        <f t="array" ref="I75">XLOOKUP(C75,'Master Data'!C:C,'Master Data'!H:H)</f>
        <v>All those pieces and parcels of land bearing N.A. Plot No. 53 and N.A. Plot No. 54, situate at Vadgaon, Taluka – Maval, District – Pune, formed out of Survey No. 81 + 81/2 + 281/2B, admeasuring in aggregate 905.20 Sq. Mtrs. (i.e. Plot No. 53 admeasuring 418.50 Sq. Mtrs. and Plot No. 54 admeasuring 486.70 Sq. Mtrs.), assessed at 00 Rs. 14 Ps.,</v>
      </c>
      <c r="J75" s="91" t="s">
        <v>12</v>
      </c>
      <c r="K75" s="92"/>
      <c r="L75" s="92"/>
      <c r="M75" s="23" t="s">
        <v>857</v>
      </c>
      <c r="N75" s="23" t="s">
        <v>834</v>
      </c>
      <c r="O75" s="23"/>
    </row>
    <row r="76">
      <c r="A76" s="93">
        <f t="array" ref="A76">XLOOKUP(C76,'TSR Initiation'!C:C,'TSR Initiation'!A:A)</f>
        <v>633</v>
      </c>
      <c r="B76" s="71" t="s">
        <v>11</v>
      </c>
      <c r="C76" s="85">
        <v>7.7000257998E10</v>
      </c>
      <c r="D76" s="88" t="str">
        <f t="array" ref="D76">XLOOKUP(C76,'Master Data'!C:C,'Master Data'!D:D)</f>
        <v>Chinchwad</v>
      </c>
      <c r="E76" s="71" t="str">
        <f t="array" ref="E76">XLOOKUP(C76,'TSR Initiation'!C:C,'TSR Initiation'!E:E)</f>
        <v>20.04.2026</v>
      </c>
      <c r="F76" s="88" t="str">
        <f t="array" ref="F76">XLOOKUP(C76,'Master Data'!C:C,'Master Data'!E:E)</f>
        <v>SANDEEP UTTAM UNDALKAR</v>
      </c>
      <c r="G76" s="89" t="str">
        <f t="array" ref="G76">XLOOKUP(C76,'Master Data'!C:C,'Master Data'!F:F)</f>
        <v>ROHINI SANDEEP UNDALKAR</v>
      </c>
      <c r="H76" s="89" t="str">
        <f t="array" ref="H76">XLOOKUP(C76,'Master Data'!C:C,'Master Data'!G:G)</f>
        <v>Builder Purchase</v>
      </c>
      <c r="I76" s="90" t="str">
        <f t="array" ref="I76">XLOOKUP(C76,'Master Data'!C:C,'Master Data'!H:H)</f>
        <v>Moshi S.No.272/ Borhadewadi S. No. 272</v>
      </c>
      <c r="J76" s="91" t="s">
        <v>12</v>
      </c>
      <c r="K76" s="92"/>
      <c r="L76" s="92"/>
      <c r="M76" s="23" t="s">
        <v>857</v>
      </c>
      <c r="N76" s="23" t="s">
        <v>834</v>
      </c>
      <c r="O76" s="23"/>
    </row>
    <row r="77">
      <c r="A77" s="93">
        <f t="array" ref="A77">XLOOKUP(C77,'TSR Initiation'!C:C,'TSR Initiation'!A:A)</f>
        <v>635</v>
      </c>
      <c r="B77" s="71" t="s">
        <v>11</v>
      </c>
      <c r="C77" s="71" t="s">
        <v>560</v>
      </c>
      <c r="D77" s="88" t="str">
        <f t="array" ref="D77">XLOOKUP(C77,'Master Data'!C:C,'Master Data'!D:D)</f>
        <v>APF(Hadpsar)</v>
      </c>
      <c r="E77" s="71" t="str">
        <f t="array" ref="E77">XLOOKUP(C77,'TSR Initiation'!C:C,'TSR Initiation'!E:E)</f>
        <v>20.04.2026</v>
      </c>
      <c r="F77" s="88" t="str">
        <f t="array" ref="F77">XLOOKUP(C77,'Master Data'!C:C,'Master Data'!E:E)</f>
        <v>Santiago Skyarc (Anjani Gatha)</v>
      </c>
      <c r="G77" s="89" t="str">
        <f t="array" ref="G77">XLOOKUP(C77,'Master Data'!C:C,'Master Data'!F:F)</f>
        <v/>
      </c>
      <c r="H77" s="89" t="str">
        <f t="array" ref="H77">XLOOKUP(C77,'Master Data'!C:C,'Master Data'!G:G)</f>
        <v>APF</v>
      </c>
      <c r="I77" s="90" t="str">
        <f t="array" ref="I77">XLOOKUP(C77,'Master Data'!C:C,'Master Data'!H:H)</f>
        <v>Chikhali S.No.1582</v>
      </c>
      <c r="J77" s="91" t="s">
        <v>12</v>
      </c>
      <c r="K77" s="92"/>
      <c r="L77" s="92"/>
      <c r="M77" s="23" t="s">
        <v>857</v>
      </c>
      <c r="N77" s="23" t="s">
        <v>834</v>
      </c>
      <c r="O77" s="23"/>
    </row>
    <row r="78">
      <c r="A78" s="93">
        <f t="array" ref="A78">XLOOKUP(C78,'TSR Initiation'!C:C,'TSR Initiation'!A:A)</f>
        <v>636</v>
      </c>
      <c r="B78" s="71" t="s">
        <v>11</v>
      </c>
      <c r="C78" s="6" t="s">
        <v>581</v>
      </c>
      <c r="D78" s="88" t="str">
        <f t="array" ref="D78">XLOOKUP(C78,'Master Data'!C:C,'Master Data'!D:D)</f>
        <v>Main</v>
      </c>
      <c r="E78" s="71" t="str">
        <f t="array" ref="E78">XLOOKUP(C78,'TSR Initiation'!C:C,'TSR Initiation'!E:E)</f>
        <v>20.04.2026</v>
      </c>
      <c r="F78" s="88" t="str">
        <f t="array" ref="F78">XLOOKUP(C78,'Master Data'!C:C,'Master Data'!E:E)</f>
        <v>Vitthal Residency</v>
      </c>
      <c r="G78" s="89" t="str">
        <f t="array" ref="G78">XLOOKUP(C78,'Master Data'!C:C,'Master Data'!F:F)</f>
        <v/>
      </c>
      <c r="H78" s="89" t="str">
        <f t="array" ref="H78">XLOOKUP(C78,'Master Data'!C:C,'Master Data'!G:G)</f>
        <v>APF</v>
      </c>
      <c r="I78" s="90" t="str">
        <f t="array" ref="I78">XLOOKUP(C78,'Master Data'!C:C,'Master Data'!H:H)</f>
        <v>Pune. Khedshivapur. Milkat No. 154, </v>
      </c>
      <c r="J78" s="91" t="s">
        <v>12</v>
      </c>
      <c r="K78" s="92"/>
      <c r="L78" s="92"/>
      <c r="M78" s="23" t="s">
        <v>857</v>
      </c>
      <c r="N78" s="23" t="s">
        <v>834</v>
      </c>
      <c r="O78" s="23"/>
    </row>
    <row r="79">
      <c r="A79" s="93">
        <f t="array" ref="A79">XLOOKUP(C79,'TSR Initiation'!C:C,'TSR Initiation'!A:A)</f>
        <v>637</v>
      </c>
      <c r="B79" s="71" t="s">
        <v>11</v>
      </c>
      <c r="C79" s="26">
        <v>7.7000249613E10</v>
      </c>
      <c r="D79" s="88" t="str">
        <f t="array" ref="D79">XLOOKUP(C79,'Master Data'!C:C,'Master Data'!D:D)</f>
        <v>Kharadi</v>
      </c>
      <c r="E79" s="71" t="str">
        <f t="array" ref="E79">XLOOKUP(C79,'TSR Initiation'!C:C,'TSR Initiation'!E:E)</f>
        <v>20.04.2026</v>
      </c>
      <c r="F79" s="88" t="str">
        <f t="array" ref="F79">XLOOKUP(C79,'Master Data'!C:C,'Master Data'!E:E)</f>
        <v>Rambabu mishra </v>
      </c>
      <c r="G79" s="89" t="str">
        <f t="array" ref="G79">XLOOKUP(C79,'Master Data'!C:C,'Master Data'!F:F)</f>
        <v/>
      </c>
      <c r="H79" s="89" t="str">
        <f t="array" ref="H79">XLOOKUP(C79,'Master Data'!C:C,'Master Data'!G:G)</f>
        <v>BT</v>
      </c>
      <c r="I79" s="90" t="str">
        <f t="array" ref="I79">XLOOKUP(C79,'Master Data'!C:C,'Master Data'!H:H)</f>
        <v>Manjari Budrukh S.No.130</v>
      </c>
      <c r="J79" s="91" t="s">
        <v>12</v>
      </c>
      <c r="K79" s="92"/>
      <c r="L79" s="92"/>
      <c r="M79" s="23" t="s">
        <v>857</v>
      </c>
      <c r="N79" s="23" t="s">
        <v>834</v>
      </c>
      <c r="O79" s="23"/>
    </row>
    <row r="80">
      <c r="A80" s="93">
        <f t="array" ref="A80">XLOOKUP(C80,'TSR Initiation'!C:C,'TSR Initiation'!A:A)</f>
        <v>639</v>
      </c>
      <c r="B80" s="71" t="s">
        <v>11</v>
      </c>
      <c r="C80" s="25">
        <v>7.70002537E10</v>
      </c>
      <c r="D80" s="88" t="str">
        <f t="array" ref="D80">XLOOKUP(C80,'Master Data'!C:C,'Master Data'!D:D)</f>
        <v>Kolhapur</v>
      </c>
      <c r="E80" s="71" t="str">
        <f t="array" ref="E80">XLOOKUP(C80,'TSR Initiation'!C:C,'TSR Initiation'!E:E)</f>
        <v>14.04.2026</v>
      </c>
      <c r="F80" s="88" t="str">
        <f t="array" ref="F80">XLOOKUP(C80,'Master Data'!C:C,'Master Data'!E:E)</f>
        <v>Pawan Tukaram Bhosale </v>
      </c>
      <c r="G80" s="89" t="str">
        <f t="array" ref="G80">XLOOKUP(C80,'Master Data'!C:C,'Master Data'!F:F)</f>
        <v>Sharada Tukaram Bhosale</v>
      </c>
      <c r="H80" s="89" t="str">
        <f t="array" ref="H80">XLOOKUP(C80,'Master Data'!C:C,'Master Data'!G:G)</f>
        <v>Resale Purchase - Apana Ghar Regular</v>
      </c>
      <c r="I80" s="90" t="str">
        <f t="array" ref="I80">XLOOKUP(C80,'Master Data'!C:C,'Master Data'!H:H)</f>
        <v>All that piece and parcel of Flat No. 201, admeasuring 47.08 Sq. Mtrs. carpet area and 62.45 Sq. Mtrs. super built-up area, situated on the Second Floor of the building known as “Tulip Buds”, constructed on land bearing R.S. No. 529/1, T.P. Scheme No. 3, Final Plot No. 30 (Part), situated at Kasba Karveer, Taluka Karveer, ‘E’ Ward, Kolhapur.</v>
      </c>
      <c r="J80" s="91" t="s">
        <v>12</v>
      </c>
      <c r="K80" s="92"/>
      <c r="L80" s="92"/>
      <c r="M80" s="23" t="s">
        <v>857</v>
      </c>
      <c r="N80" s="23" t="s">
        <v>834</v>
      </c>
      <c r="O80" s="23"/>
    </row>
    <row r="81">
      <c r="A81" s="93">
        <f t="array" ref="A81">XLOOKUP(C81,'TSR Initiation'!C:C,'TSR Initiation'!A:A)</f>
        <v>641</v>
      </c>
      <c r="B81" s="71" t="s">
        <v>11</v>
      </c>
      <c r="C81" s="26">
        <v>7.7000236127E10</v>
      </c>
      <c r="D81" s="88" t="str">
        <f t="array" ref="D81">XLOOKUP(C81,'Master Data'!C:C,'Master Data'!D:D)</f>
        <v>Main</v>
      </c>
      <c r="E81" s="71" t="str">
        <f t="array" ref="E81">XLOOKUP(C81,'TSR Initiation'!C:C,'TSR Initiation'!E:E)</f>
        <v>20.04.2026</v>
      </c>
      <c r="F81" s="88" t="str">
        <f t="array" ref="F81">XLOOKUP(C81,'Master Data'!C:C,'Master Data'!E:E)</f>
        <v>Sharanbasppa khyamanna Sangundi </v>
      </c>
      <c r="G81" s="89" t="str">
        <f t="array" ref="G81">XLOOKUP(C81,'Master Data'!C:C,'Master Data'!F:F)</f>
        <v>Asharani sharanbasppa Sangundi</v>
      </c>
      <c r="H81" s="89" t="str">
        <f t="array" ref="H81">XLOOKUP(C81,'Master Data'!C:C,'Master Data'!G:G)</f>
        <v> HL BT + Top Up </v>
      </c>
      <c r="I81" s="90" t="str">
        <f t="array" ref="I81">XLOOKUP(C81,'Master Data'!C:C,'Master Data'!H:H)</f>
        <v>All that piece and parcel of Flat No. 802, situated on the Eighth Floor in “C” Wing of the residential project known as “Dwaraka Square”, constructed on land bearing Survey No. 187/1 (Old Survey No. 587/1) admeasuring 00 Hectare 22 Ares, Survey No. 187/2 (Old Survey No. 587/2) admeasuring 00 Hectare 43 Ares, Survey No. 187/3 (Old Survey No. 587/3) admeasuring 00 Hectare 46 Ares, Survey No. 188/1 (Old Survey No. 586/1) admeasuring 00 Hectare 04 Ares, Survey No. 188/2A (Old Survey No. 586/2) admeasuring 00 Hectare 21 Ares, Survey No. 188/2B (Old Survey No. 586/2B) admeasuring 00 Hectare 16 Ares, Survey No. 188/3 (Old Survey No. 588/3) admeasuring 00 Hectare 24 Ares and Survey No. 188/4 (Old Survey No. 586/4) admeasuring 00 Hectare 18 Ares, situated at Village Chovisawadi, Taluka Haveli, District Pune, within the limits of Pune Municipal Corporation; said flat admeasuring 32.17 Sq. Mtrs. carpet area, along with enclosed balcony area admeasuring 4.52 Sq. Mtrs., cupboard area admeasuring 0.16 Sq. Mtrs., and terrace area admeasuring 8.24 Sq. Mtrs.</v>
      </c>
      <c r="J81" s="91" t="s">
        <v>12</v>
      </c>
      <c r="K81" s="92"/>
      <c r="L81" s="92"/>
      <c r="M81" s="23" t="s">
        <v>857</v>
      </c>
      <c r="N81" s="23" t="s">
        <v>834</v>
      </c>
      <c r="O81" s="23"/>
    </row>
    <row r="82">
      <c r="A82" s="93">
        <f t="array" ref="A82">XLOOKUP(C82,'TSR Initiation'!C:C,'TSR Initiation'!A:A)</f>
        <v>642</v>
      </c>
      <c r="B82" s="71" t="s">
        <v>11</v>
      </c>
      <c r="C82" s="26">
        <v>7.7000257714E10</v>
      </c>
      <c r="D82" s="88" t="str">
        <f t="array" ref="D82">XLOOKUP(C82,'Master Data'!C:C,'Master Data'!D:D)</f>
        <v>kolhapur</v>
      </c>
      <c r="E82" s="71" t="str">
        <f t="array" ref="E82">XLOOKUP(C82,'TSR Initiation'!C:C,'TSR Initiation'!E:E)</f>
        <v>20.04.2026</v>
      </c>
      <c r="F82" s="88" t="str">
        <f t="array" ref="F82">XLOOKUP(C82,'Master Data'!C:C,'Master Data'!E:E)</f>
        <v>Pradip Appasaheb Sawant</v>
      </c>
      <c r="G82" s="89" t="str">
        <f t="array" ref="G82">XLOOKUP(C82,'Master Data'!C:C,'Master Data'!F:F)</f>
        <v>Jyoti Pradip Sawant</v>
      </c>
      <c r="H82" s="89" t="str">
        <f t="array" ref="H82">XLOOKUP(C82,'Master Data'!C:C,'Master Data'!G:G)</f>
        <v>builder purchase 
Apna ghar Dreamz</v>
      </c>
      <c r="I82" s="90" t="str">
        <f t="array" ref="I82">XLOOKUP(C82,'Master Data'!C:C,'Master Data'!H:H)</f>
        <v>All that piece and parcel of property bearing Row House Unit No. 2, having ½ land area out of the entire land property i.e. 56.25 sq. mtrs., along with the construction of RCC building constructed thereon consisting of two floor having total built-up area admeasuring of 86.90 sq. mtrs., (as per assessment 92.09 sq. mtrs.,), having corresponding Grampanchayat Milkat No. 7748/1, constructed on the entire land property, i.e. Plot No. 20, admeasuring about 112.50 Sq. Mtrs., being part of Gat No. 344/3, situated at Village Uchgaon, Taluka Karveer, District Kolhapur.</v>
      </c>
      <c r="J82" s="91" t="s">
        <v>12</v>
      </c>
      <c r="K82" s="92"/>
      <c r="L82" s="92"/>
      <c r="M82" s="23" t="s">
        <v>857</v>
      </c>
      <c r="N82" s="23" t="s">
        <v>835</v>
      </c>
      <c r="O82" s="23"/>
    </row>
    <row r="83">
      <c r="A83" s="93">
        <f t="array" ref="A83">XLOOKUP(C83,'TSR Initiation'!C:C,'TSR Initiation'!A:A)</f>
        <v>643</v>
      </c>
      <c r="B83" s="71" t="s">
        <v>11</v>
      </c>
      <c r="C83" s="26">
        <v>7.7000256336E10</v>
      </c>
      <c r="D83" s="88" t="str">
        <f t="array" ref="D83">XLOOKUP(C83,'Master Data'!C:C,'Master Data'!D:D)</f>
        <v>Kolhapure</v>
      </c>
      <c r="E83" s="71" t="str">
        <f t="array" ref="E83">XLOOKUP(C83,'TSR Initiation'!C:C,'TSR Initiation'!E:E)</f>
        <v>20.04.2026</v>
      </c>
      <c r="F83" s="88" t="str">
        <f t="array" ref="F83">XLOOKUP(C83,'Master Data'!C:C,'Master Data'!E:E)</f>
        <v>Abhijeet Ananda Mane Patil</v>
      </c>
      <c r="G83" s="89" t="str">
        <f t="array" ref="G83">XLOOKUP(C83,'Master Data'!C:C,'Master Data'!F:F)</f>
        <v>Supriya Abhijeet Mane Patil</v>
      </c>
      <c r="H83" s="89" t="str">
        <f t="array" ref="H83">XLOOKUP(C83,'Master Data'!C:C,'Master Data'!G:G)</f>
        <v>Apana Ghar Regular P + C </v>
      </c>
      <c r="I83" s="90" t="str">
        <f t="array" ref="I83">XLOOKUP(C83,'Master Data'!C:C,'Master Data'!H:H)</f>
        <v>All that piece and parcel of open non-agricultural plot bearing Plot No. 66, admeasuring 138.13 Sq. Mtrs., carved out of land bearing Gat No. 70/A admeasuring 0 H 76 R and Gat No. 70/B admeasuring 3 H 22.60 R (Pot Kharab 0 H 02 R), situated at Village Bahirewadi, Taluka Panhala, District Kolhapur, within the jurisdiction of Sub-Registrar Panhala.
The said plot is forming part of a layout known as “Savi Park”, developed on the aforesaid land.
</v>
      </c>
      <c r="J83" s="91" t="s">
        <v>12</v>
      </c>
      <c r="K83" s="92"/>
      <c r="L83" s="92"/>
      <c r="M83" s="23" t="s">
        <v>857</v>
      </c>
      <c r="N83" s="23" t="s">
        <v>835</v>
      </c>
      <c r="O83" s="23"/>
    </row>
    <row r="84">
      <c r="A84" s="93">
        <f t="array" ref="A84">XLOOKUP(C84,'TSR Initiation'!C:C,'TSR Initiation'!A:A)</f>
        <v>640</v>
      </c>
      <c r="B84" s="71" t="s">
        <v>11</v>
      </c>
      <c r="C84" s="6">
        <v>3.64010451442E11</v>
      </c>
      <c r="D84" s="88" t="str">
        <f t="array" ref="D84">XLOOKUP(C84,'Master Data'!C:C,'Master Data'!D:D)</f>
        <v>Main</v>
      </c>
      <c r="E84" s="71" t="str">
        <f t="array" ref="E84">XLOOKUP(C84,'TSR Initiation'!C:C,'TSR Initiation'!E:E)</f>
        <v>21.03.2026</v>
      </c>
      <c r="F84" s="88" t="str">
        <f t="array" ref="F84">XLOOKUP(C84,'Master Data'!C:C,'Master Data'!E:E)</f>
        <v>Rohit Ramesh Salekar</v>
      </c>
      <c r="G84" s="89" t="str">
        <f t="array" ref="G84">XLOOKUP(C84,'Master Data'!C:C,'Master Data'!F:F)</f>
        <v>Kushal Ramesh Salekar</v>
      </c>
      <c r="H84" s="89" t="str">
        <f t="array" ref="H84">XLOOKUP(C84,'Master Data'!C:C,'Master Data'!G:G)</f>
        <v>Builder Purchase</v>
      </c>
      <c r="I84" s="90" t="str">
        <f t="array" ref="I84">XLOOKUP(C84,'Master Data'!C:C,'Master Data'!H:H)</f>
        <v>All that piece and parcel of property bearing Flat No. 401, having an area admeasuring 51.98 Sq. Mtrs. (Carpet Area) along with exclusive area of 4.75 Sq. Mtrs., situated on the Fourth Floor, in the building out of the project known as “PRAJAKT RESIDENCE”, constructed/to be constructed on the entire land property, i.e. Survey No. 21/5, situated at Village – Dhayari, Taluka – Haveli, District – Pune and within the local limits of Pune Municipal Corporation.</v>
      </c>
      <c r="J84" s="91" t="s">
        <v>12</v>
      </c>
      <c r="K84" s="92"/>
      <c r="L84" s="92"/>
      <c r="M84" s="23" t="s">
        <v>857</v>
      </c>
      <c r="N84" s="23" t="s">
        <v>835</v>
      </c>
      <c r="O84" s="23"/>
    </row>
    <row r="85">
      <c r="A85" s="93">
        <f t="array" ref="A85">XLOOKUP(C85,'TSR Initiation'!C:C,'TSR Initiation'!A:A)</f>
        <v>645</v>
      </c>
      <c r="B85" s="71" t="s">
        <v>11</v>
      </c>
      <c r="C85" s="6">
        <v>7.700026179E10</v>
      </c>
      <c r="D85" s="88" t="str">
        <f t="array" ref="D85">XLOOKUP(C85,'Master Data'!C:C,'Master Data'!D:D)</f>
        <v>Main</v>
      </c>
      <c r="E85" s="71" t="str">
        <f t="array" ref="E85">XLOOKUP(C85,'TSR Initiation'!C:C,'TSR Initiation'!E:E)</f>
        <v>24.04.2026</v>
      </c>
      <c r="F85" s="88" t="str">
        <f t="array" ref="F85">XLOOKUP(C85,'Master Data'!C:C,'Master Data'!E:E)</f>
        <v>Mahalunge Real Estate Developers Pvt. Ltd.</v>
      </c>
      <c r="G85" s="89" t="str">
        <f t="array" ref="G85">XLOOKUP(C85,'Master Data'!C:C,'Master Data'!F:F)</f>
        <v>4e2038fbf4974653</v>
      </c>
      <c r="H85" s="89" t="str">
        <f t="array" ref="H85">XLOOKUP(C85,'Master Data'!C:C,'Master Data'!G:G)</f>
        <v>LAP Commercial</v>
      </c>
      <c r="I85" s="90" t="str">
        <f t="array" ref="I85">XLOOKUP(C85,'Master Data'!C:C,'Master Data'!H:H)</f>
        <v>Pune. Wakad. S. No. 153</v>
      </c>
      <c r="J85" s="91" t="s">
        <v>12</v>
      </c>
      <c r="K85" s="92"/>
      <c r="L85" s="92"/>
      <c r="M85" s="23" t="s">
        <v>857</v>
      </c>
      <c r="N85" s="23" t="s">
        <v>835</v>
      </c>
      <c r="O85" s="23"/>
    </row>
    <row r="86">
      <c r="A86" s="93">
        <f t="array" ref="A86">XLOOKUP(C86,'TSR Initiation'!C:C,'TSR Initiation'!A:A)</f>
        <v>638</v>
      </c>
      <c r="B86" s="71" t="s">
        <v>11</v>
      </c>
      <c r="C86" s="26">
        <v>7.7000257119E10</v>
      </c>
      <c r="D86" s="88" t="str">
        <f t="array" ref="D86">XLOOKUP(C86,'Master Data'!C:C,'Master Data'!D:D)</f>
        <v>Kharadi</v>
      </c>
      <c r="E86" s="71" t="str">
        <f t="array" ref="E86">XLOOKUP(C86,'TSR Initiation'!C:C,'TSR Initiation'!E:E)</f>
        <v>21.04.2026</v>
      </c>
      <c r="F86" s="88" t="str">
        <f t="array" ref="F86">XLOOKUP(C86,'Master Data'!C:C,'Master Data'!E:E)</f>
        <v>RAJU KATRAVATH</v>
      </c>
      <c r="G86" s="89" t="str">
        <f t="array" ref="G86">XLOOKUP(C86,'Master Data'!C:C,'Master Data'!F:F)</f>
        <v> LAXMI BAI RAJU KATHRAVATH </v>
      </c>
      <c r="H86" s="89" t="str">
        <f t="array" ref="H86">XLOOKUP(C86,'Master Data'!C:C,'Master Data'!G:G)</f>
        <v> HLBT</v>
      </c>
      <c r="I86" s="90" t="str">
        <f t="array" ref="I86">XLOOKUP(C86,'Master Data'!C:C,'Master Data'!H:H)</f>
        <v>All that piece and parcel of property bearing Flat No. A-26, admeasuring 35.95 Sq. Mtrs. (Carpet Area) i.e. 386.82 Sq. Ft., along with attached terrace admeasuring 3.85 Sq. Mtrs. (41.42 Sq. Ft.) and dry balcony admeasuring 1.80 Sq. Mtrs. (19.36 Sq. Ft.), aggregating to a total area of 41.60 Sq. Mtrs. (447.61 Sq. Ft.), situated on the Third Floor, in Wing ‘A’, in the project known as “AMBAR VILAS”, constructed on the land bearing Gat No. 1713A, admeasuring 00 Hectare 14.5 Ares, situated at Village – Loni Kalbhor, Taluka – Haveli, District – Pune, within the local limits of the concerned authority, together with one car parking space.</v>
      </c>
      <c r="J86" s="91" t="s">
        <v>12</v>
      </c>
      <c r="K86" s="92"/>
      <c r="L86" s="92"/>
      <c r="M86" s="23" t="s">
        <v>857</v>
      </c>
      <c r="N86" s="23" t="s">
        <v>835</v>
      </c>
      <c r="O86" s="23"/>
    </row>
    <row r="87">
      <c r="A87" s="93">
        <f t="array" ref="A87">XLOOKUP(C87,'TSR Initiation'!C:C,'TSR Initiation'!A:A)</f>
        <v>644</v>
      </c>
      <c r="B87" s="71" t="s">
        <v>11</v>
      </c>
      <c r="C87" s="84">
        <v>7.7000256826E10</v>
      </c>
      <c r="D87" s="88" t="str">
        <f t="array" ref="D87">XLOOKUP(C87,'Master Data'!C:C,'Master Data'!D:D)</f>
        <v>Chinchwad</v>
      </c>
      <c r="E87" s="71" t="str">
        <f t="array" ref="E87">XLOOKUP(C87,'TSR Initiation'!C:C,'TSR Initiation'!E:E)</f>
        <v>23.04.2026</v>
      </c>
      <c r="F87" s="88" t="str">
        <f t="array" ref="F87">XLOOKUP(C87,'Master Data'!C:C,'Master Data'!E:E)</f>
        <v>Ganesh Bhagwan Dhurkar</v>
      </c>
      <c r="G87" s="89" t="str">
        <f t="array" ref="G87">XLOOKUP(C87,'Master Data'!C:C,'Master Data'!F:F)</f>
        <v>Sushma Ganesh Durkar</v>
      </c>
      <c r="H87" s="89" t="str">
        <f t="array" ref="H87">XLOOKUP(C87,'Master Data'!C:C,'Master Data'!G:G)</f>
        <v>Builder Purchase</v>
      </c>
      <c r="I87" s="90" t="str">
        <f t="array" ref="I87">XLOOKUP(C87,'Master Data'!C:C,'Master Data'!H:H)</f>
        <v>All that piece and parcel of property bearing Flat No. 701, having an area admeasuring 69.88 sq. mtrs. carpet area along with balcony area admeasuring 8.31 sq. mtrs., situated on the 7th Floor, in Building/Wing No. B, out of the project known as “Basil Mount Lords Wing B &amp; C”, constructed/to be constructed on the entire land property, i.e. Survey No. 8, Hissa Nos. 6A/7/8/2, 6A/7/8/3, 6A/7/8/9 and 6A/7/8/10, situated at Village – Dhankawadi, Taluka - Haveli, District - Pune and within local limits of Pune Municipal Corporation.</v>
      </c>
      <c r="J87" s="91" t="s">
        <v>12</v>
      </c>
      <c r="K87" s="92"/>
      <c r="L87" s="92"/>
      <c r="M87" s="23" t="s">
        <v>857</v>
      </c>
      <c r="N87" s="23" t="s">
        <v>835</v>
      </c>
      <c r="O87" s="23"/>
    </row>
    <row r="88">
      <c r="A88" s="93">
        <f t="array" ref="A88">XLOOKUP(C88,'TSR Initiation'!C:C,'TSR Initiation'!A:A)</f>
        <v>646</v>
      </c>
      <c r="B88" s="71" t="s">
        <v>11</v>
      </c>
      <c r="C88" s="6">
        <v>7.7000261193E10</v>
      </c>
      <c r="D88" s="88" t="str">
        <f t="array" ref="D88">XLOOKUP(C88,'Master Data'!C:C,'Master Data'!D:D)</f>
        <v>Chinchwad</v>
      </c>
      <c r="E88" s="71" t="str">
        <f t="array" ref="E88">XLOOKUP(C88,'TSR Initiation'!C:C,'TSR Initiation'!E:E)</f>
        <v>23.04.2026</v>
      </c>
      <c r="F88" s="88" t="str">
        <f t="array" ref="F88">XLOOKUP(C88,'Master Data'!C:C,'Master Data'!E:E)</f>
        <v>Dnyaneshwar Pandharinath Mohite</v>
      </c>
      <c r="G88" s="89" t="str">
        <f t="array" ref="G88">XLOOKUP(C88,'Master Data'!C:C,'Master Data'!F:F)</f>
        <v>Shital Mohite</v>
      </c>
      <c r="H88" s="89" t="str">
        <f t="array" ref="H88">XLOOKUP(C88,'Master Data'!C:C,'Master Data'!G:G)</f>
        <v>HL</v>
      </c>
      <c r="I88" s="90" t="str">
        <f t="array" ref="I88">XLOOKUP(C88,'Master Data'!C:C,'Master Data'!H:H)</f>
        <v>All that piece and parcel of property bearing Flat No. 613, having an area admeasuring 32.58 sq. mtrs. carpet area along with enclosed balcony admeasuring 5.03 sq. mtrs. and terrace admeasuring 5.65 sq. mtrs., situated on the Sixth Floor, in Building/Wing No. B, out of the project known as “Ganesh Siddhi”, constructed/to be constructed on the entire land property, i.e. Gat Nos. 967, 968, 969, 970, 985, 986, 987 and 988, situated at Village – Chikhali, Taluka - Haveli, District - Pune and within local limits of Pimpri Chinchwad Municipal Corporation.</v>
      </c>
      <c r="J88" s="91" t="s">
        <v>12</v>
      </c>
      <c r="K88" s="92"/>
      <c r="L88" s="92"/>
      <c r="M88" s="23" t="s">
        <v>857</v>
      </c>
      <c r="N88" s="23" t="s">
        <v>835</v>
      </c>
      <c r="O88" s="23"/>
    </row>
    <row r="89">
      <c r="A89" s="93">
        <f t="array" ref="A89">XLOOKUP(C89,'TSR Initiation'!C:C,'TSR Initiation'!A:A)</f>
        <v>648</v>
      </c>
      <c r="B89" s="71" t="s">
        <v>11</v>
      </c>
      <c r="C89" s="6" t="s">
        <v>655</v>
      </c>
      <c r="D89" s="88" t="str">
        <f t="array" ref="D89">XLOOKUP(C89,'Master Data'!C:C,'Master Data'!D:D)</f>
        <v>wakad</v>
      </c>
      <c r="E89" s="71" t="str">
        <f t="array" ref="E89">XLOOKUP(C89,'TSR Initiation'!C:C,'TSR Initiation'!E:E)</f>
        <v>20.04.2026</v>
      </c>
      <c r="F89" s="88" t="str">
        <f t="array" ref="F89">XLOOKUP(C89,'Master Data'!C:C,'Master Data'!E:E)</f>
        <v>Sai Shot Blasting Services</v>
      </c>
      <c r="G89" s="89" t="str">
        <f t="array" ref="G89">XLOOKUP(C89,'Master Data'!C:C,'Master Data'!F:F)</f>
        <v>Nitin Shripad Satpute</v>
      </c>
      <c r="H89" s="89" t="str">
        <f t="array" ref="H89">XLOOKUP(C89,'Master Data'!C:C,'Master Data'!G:G)</f>
        <v>LAP BT</v>
      </c>
      <c r="I89" s="90" t="str">
        <f t="array" ref="I89">XLOOKUP(C89,'Master Data'!C:C,'Master Data'!H:H)</f>
        <v>All that piece and parcel of property bearing Flat No. 10, having an area admeasuring 70.44 sq. mtrs. carpet area along with terrace area admeasuring 11.33 sq. mtrs., situated on the Third Floor, in Building/Wing No. A, out of the project known as “Stone Ridge Building A Co-operative Housing Society Ltd.”, constructed on the land bearing Survey No. 315/2/13 corresponding to City Survey No. 6768, situated at Village – Pimpri Waghere, Taluka – Haveli, District – Pune and within local limits of Pimpri Chinchwad Municipal Corporation, bearing Property No. 0602181902323.</v>
      </c>
      <c r="J89" s="91" t="s">
        <v>12</v>
      </c>
      <c r="K89" s="92"/>
      <c r="L89" s="92"/>
      <c r="M89" s="23" t="s">
        <v>857</v>
      </c>
      <c r="N89" s="23" t="s">
        <v>835</v>
      </c>
      <c r="O89" s="23"/>
    </row>
    <row r="90">
      <c r="A90" s="93">
        <f t="array" ref="A90">XLOOKUP(C90,'TSR Initiation'!C:C,'TSR Initiation'!A:A)</f>
        <v>649</v>
      </c>
      <c r="B90" s="71" t="s">
        <v>11</v>
      </c>
      <c r="C90" s="6" t="s">
        <v>665</v>
      </c>
      <c r="D90" s="88" t="str">
        <f t="array" ref="D90">XLOOKUP(C90,'Master Data'!C:C,'Master Data'!D:D)</f>
        <v>wakad</v>
      </c>
      <c r="E90" s="71" t="str">
        <f t="array" ref="E90">XLOOKUP(C90,'TSR Initiation'!C:C,'TSR Initiation'!E:E)</f>
        <v>20.04.2026</v>
      </c>
      <c r="F90" s="88" t="str">
        <f t="array" ref="F90">XLOOKUP(C90,'Master Data'!C:C,'Master Data'!E:E)</f>
        <v>Sai Shot Blasting Services</v>
      </c>
      <c r="G90" s="89" t="str">
        <f t="array" ref="G90">XLOOKUP(C90,'Master Data'!C:C,'Master Data'!F:F)</f>
        <v>Nitin Shripad Satpute</v>
      </c>
      <c r="H90" s="89" t="str">
        <f t="array" ref="H90">XLOOKUP(C90,'Master Data'!C:C,'Master Data'!G:G)</f>
        <v>LAP BT</v>
      </c>
      <c r="I90" s="90" t="str">
        <f t="array" ref="I90">XLOOKUP(C90,'Master Data'!C:C,'Master Data'!H:H)</f>
        <v>All that piece and parcel of property bearing Flat No. 11, having an area admeasuring 65.70 sq. mtrs. carpet area along with terrace area admeasuring 11.33 sq. mtrs., situated on the Third Floor, in Building/Wing No. A, out of the project known as “Stone Ridge”, constructed on the land bearing Survey No. 315/2/13 corresponding to City Survey No. 6768, situated at Village – Pimpri Waghere, Taluka – Haveli, District – Pune and within local limits of Pimpri Chinchwad Municipal Corporation.</v>
      </c>
      <c r="J90" s="91" t="s">
        <v>12</v>
      </c>
      <c r="K90" s="92"/>
      <c r="L90" s="92"/>
      <c r="M90" s="23" t="s">
        <v>857</v>
      </c>
      <c r="N90" s="23" t="s">
        <v>835</v>
      </c>
      <c r="O90" s="23"/>
    </row>
    <row r="91">
      <c r="A91" s="93">
        <f t="array" ref="A91">XLOOKUP(C91,'TSR Initiation'!C:C,'TSR Initiation'!A:A)</f>
        <v>651</v>
      </c>
      <c r="B91" s="71" t="s">
        <v>11</v>
      </c>
      <c r="C91" s="71">
        <v>7.792147183E9</v>
      </c>
      <c r="D91" s="88" t="str">
        <f t="array" ref="D91">XLOOKUP(C91,'Master Data'!C:C,'Master Data'!D:D)</f>
        <v>Vishrantwadi</v>
      </c>
      <c r="E91" s="71" t="str">
        <f t="array" ref="E91">XLOOKUP(C91,'TSR Initiation'!C:C,'TSR Initiation'!E:E)</f>
        <v>21.04.2026</v>
      </c>
      <c r="F91" s="88" t="str">
        <f t="array" ref="F91">XLOOKUP(C91,'Master Data'!C:C,'Master Data'!E:E)</f>
        <v>Jay Ramesh Kithani</v>
      </c>
      <c r="G91" s="89" t="str">
        <f t="array" ref="G91">XLOOKUP(C91,'Master Data'!C:C,'Master Data'!F:F)</f>
        <v>Pankaj Satish Kithani</v>
      </c>
      <c r="H91" s="89" t="str">
        <f t="array" ref="H91">XLOOKUP(C91,'Master Data'!C:C,'Master Data'!G:G)</f>
        <v> Resale </v>
      </c>
      <c r="I91" s="90" t="str">
        <f t="array" ref="I91">XLOOKUP(C91,'Master Data'!C:C,'Master Data'!H:H)</f>
        <v>All that Piece and Parcel of property bearing Flat No.202, on 2nd Floor in B Wing area admeasuring 63.31 sq. mtrs. Carpet and Attach Terrace Area adm. 3.28 sq. along with one Covered Car Parking No.10 having Property bearing No. O/I/79/12856031 in the society known as “AIRIANA CO-OPERATIVE HOUSING SOCIETY LIMITED” constructed on S. No. 296, Hissa No. 2 situated at village Lohegaon Taluka - Haveli, Dist. - Pune within the local limits of Pune Municipal Corporation, Pune.</v>
      </c>
      <c r="J91" s="91" t="s">
        <v>12</v>
      </c>
      <c r="K91" s="92"/>
      <c r="L91" s="92"/>
      <c r="M91" s="23" t="s">
        <v>857</v>
      </c>
      <c r="N91" s="23" t="s">
        <v>838</v>
      </c>
      <c r="O91" s="23"/>
    </row>
    <row r="92">
      <c r="A92" s="93">
        <f t="array" ref="A92">XLOOKUP(C92,'TSR Initiation'!C:C,'TSR Initiation'!A:A)</f>
        <v>652</v>
      </c>
      <c r="B92" s="71" t="s">
        <v>11</v>
      </c>
      <c r="C92" s="86">
        <v>7.7000245372E10</v>
      </c>
      <c r="D92" s="88" t="str">
        <f t="array" ref="D92">XLOOKUP(C92,'Master Data'!C:C,'Master Data'!D:D)</f>
        <v>Main</v>
      </c>
      <c r="E92" s="71" t="str">
        <f t="array" ref="E92">XLOOKUP(C92,'TSR Initiation'!C:C,'TSR Initiation'!E:E)</f>
        <v>21.04.2026</v>
      </c>
      <c r="F92" s="88" t="str">
        <f t="array" ref="F92">XLOOKUP(C92,'Master Data'!C:C,'Master Data'!E:E)</f>
        <v>Abbas Sahebji Pathan    </v>
      </c>
      <c r="G92" s="89" t="str">
        <f t="array" ref="G92">XLOOKUP(C92,'Master Data'!C:C,'Master Data'!F:F)</f>
        <v> Aafrin Abbas Pathan  </v>
      </c>
      <c r="H92" s="89" t="str">
        <f t="array" ref="H92">XLOOKUP(C92,'Master Data'!C:C,'Master Data'!G:G)</f>
        <v>BT Top UP</v>
      </c>
      <c r="I92" s="90" t="str">
        <f t="array" ref="I92">XLOOKUP(C92,'Master Data'!C:C,'Master Data'!H:H)</f>
        <v>All that piece and parcel of property bearing Flat No. 402, having an area admeasuring 37.08 sq. mtrs. carpet area along with terrace area admeasuring 6.88 sq. mtrs., situated on the Fourth Floor, in Building/Wing No. A, out of the project known as “Abhang Vishwa”, constructed/to be constructed on the entire land property, i.e. Gat No. 1599, situated at Village – Chikhali, Taluka – Haveli, District – Pune and within local limits of Pimpri Chinchwad Municipal Corporation.</v>
      </c>
      <c r="J92" s="91" t="s">
        <v>12</v>
      </c>
      <c r="K92" s="92"/>
      <c r="L92" s="92"/>
      <c r="M92" s="23" t="s">
        <v>857</v>
      </c>
      <c r="N92" s="23" t="s">
        <v>838</v>
      </c>
      <c r="O92" s="23"/>
    </row>
    <row r="93">
      <c r="A93" s="93">
        <f t="array" ref="A93">XLOOKUP(C93,'TSR Initiation'!C:C,'TSR Initiation'!A:A)</f>
        <v>653</v>
      </c>
      <c r="B93" s="71" t="s">
        <v>11</v>
      </c>
      <c r="C93" s="26">
        <v>7.7000258924E10</v>
      </c>
      <c r="D93" s="88" t="str">
        <f t="array" ref="D93">XLOOKUP(C93,'Master Data'!C:C,'Master Data'!D:D)</f>
        <v>Chinchwad </v>
      </c>
      <c r="E93" s="71" t="str">
        <f t="array" ref="E93">XLOOKUP(C93,'TSR Initiation'!C:C,'TSR Initiation'!E:E)</f>
        <v>21.04.2026</v>
      </c>
      <c r="F93" s="88" t="str">
        <f t="array" ref="F93">XLOOKUP(C93,'Master Data'!C:C,'Master Data'!E:E)</f>
        <v>Surendra Bhimarao Patil</v>
      </c>
      <c r="G93" s="89" t="str">
        <f t="array" ref="G93">XLOOKUP(C93,'Master Data'!C:C,'Master Data'!F:F)</f>
        <v> Usha Surendra Patil</v>
      </c>
      <c r="H93" s="89" t="str">
        <f t="array" ref="H93">XLOOKUP(C93,'Master Data'!C:C,'Master Data'!G:G)</f>
        <v> Home loan BT</v>
      </c>
      <c r="I93" s="90" t="str">
        <f t="array" ref="I93">XLOOKUP(C93,'Master Data'!C:C,'Master Data'!H:H)</f>
        <v>All that piece and parcel of property bearing Private Plot No. 11 admeasuring of H. 00-01 Ares, i.e. 1060 sq. feets., out of the Survey No. 95, having an area admeasuring of H. 0639 Ares together with Pot-Kharab area admeasuring of H. 00-19 Ares, i.e. total area admeasuring of H. 06-58 Ares, assessed at Rs. 20-00 Paise, situated at Village – Vitthalnagar, Taluka – Haveli, District – Pune</v>
      </c>
      <c r="J93" s="91" t="s">
        <v>12</v>
      </c>
      <c r="K93" s="92"/>
      <c r="L93" s="92"/>
      <c r="M93" s="23" t="s">
        <v>857</v>
      </c>
      <c r="N93" s="23" t="s">
        <v>838</v>
      </c>
      <c r="O93" s="23"/>
    </row>
    <row r="94">
      <c r="A94" s="93">
        <f t="array" ref="A94">XLOOKUP(C94,'TSR Initiation'!C:C,'TSR Initiation'!A:A)</f>
        <v>654</v>
      </c>
      <c r="B94" s="71" t="s">
        <v>11</v>
      </c>
      <c r="C94" s="6">
        <v>7.7000261964E10</v>
      </c>
      <c r="D94" s="88" t="str">
        <f t="array" ref="D94">XLOOKUP(C94,'Master Data'!C:C,'Master Data'!D:D)</f>
        <v>Vishrantwadi</v>
      </c>
      <c r="E94" s="71" t="str">
        <f t="array" ref="E94">XLOOKUP(C94,'TSR Initiation'!C:C,'TSR Initiation'!E:E)</f>
        <v>22.04.2026</v>
      </c>
      <c r="F94" s="88" t="str">
        <f t="array" ref="F94">XLOOKUP(C94,'Master Data'!C:C,'Master Data'!E:E)</f>
        <v>Vijay Kharat</v>
      </c>
      <c r="G94" s="89" t="str">
        <f t="array" ref="G94">XLOOKUP(C94,'Master Data'!C:C,'Master Data'!F:F)</f>
        <v>Sunita Kharat</v>
      </c>
      <c r="H94" s="89" t="str">
        <f t="array" ref="H94">XLOOKUP(C94,'Master Data'!C:C,'Master Data'!G:G)</f>
        <v>BT</v>
      </c>
      <c r="I94" s="90" t="str">
        <f t="array" ref="I94">XLOOKUP(C94,'Master Data'!C:C,'Master Data'!H:H)</f>
        <v>All that piece and parcel of property bearing Private Plot No. 9, having an area admeasuring of H. 00-00.93 Ares, i.e. 1000 sq. feets., out of Survey No. 46, Hissa No. 12, having total area admeasuring of H. 01-08 Ares, together with Pot-Kharab area admeasuring of H. 00-20 Ares, total area admeasuring of H. 01-28 Ares, assessed at Rs. 01-00 Paise, situated at Village – Lohgaon, Taluka – Haveli, District – Pune</v>
      </c>
      <c r="J94" s="91" t="s">
        <v>12</v>
      </c>
      <c r="K94" s="92"/>
      <c r="L94" s="92"/>
      <c r="M94" s="23" t="s">
        <v>857</v>
      </c>
      <c r="N94" s="23" t="s">
        <v>838</v>
      </c>
      <c r="O94" s="23"/>
    </row>
    <row r="95">
      <c r="A95" s="93">
        <f t="array" ref="A95">XLOOKUP(C95,'TSR Initiation'!C:C,'TSR Initiation'!A:A)</f>
        <v>655</v>
      </c>
      <c r="B95" s="71" t="s">
        <v>11</v>
      </c>
      <c r="C95" s="71">
        <v>7.7000216831E10</v>
      </c>
      <c r="D95" s="88" t="str">
        <f t="array" ref="D95">XLOOKUP(C95,'Master Data'!C:C,'Master Data'!D:D)</f>
        <v>Main</v>
      </c>
      <c r="E95" s="71" t="str">
        <f t="array" ref="E95">XLOOKUP(C95,'TSR Initiation'!C:C,'TSR Initiation'!E:E)</f>
        <v>22.04.2026</v>
      </c>
      <c r="F95" s="88" t="str">
        <f t="array" ref="F95">XLOOKUP(C95,'Master Data'!C:C,'Master Data'!E:E)</f>
        <v>Asha Rupesh Jathar </v>
      </c>
      <c r="G95" s="89" t="str">
        <f t="array" ref="G95">XLOOKUP(C95,'Master Data'!C:C,'Master Data'!F:F)</f>
        <v>Jay Rupesh Jathar</v>
      </c>
      <c r="H95" s="89" t="str">
        <f t="array" ref="H95">XLOOKUP(C95,'Master Data'!C:C,'Master Data'!G:G)</f>
        <v> HL Internal Top Up </v>
      </c>
      <c r="I95" s="90" t="str">
        <f t="array" ref="I95">XLOOKUP(C95,'Master Data'!C:C,'Master Data'!H:H)</f>
        <v>All that piece and parcel of property bearing Flat No. 7A (as per Pune Municipal Corporation sanctioned plan Flat No. 7), having an area admeasuring 270 sq. ft. i.e. 25.09 sq. mtrs. built-up, situated on the Fourth Floor, in the building known as “Sai Shraddha”, constructed on the land bearing City Survey No. 532, situated at Mouje Ganesh Peth, Taluka Haveli, District Pune and within the local limits of Pune Municipal Corporation.</v>
      </c>
      <c r="J95" s="91" t="s">
        <v>12</v>
      </c>
      <c r="K95" s="92"/>
      <c r="L95" s="92"/>
      <c r="M95" s="23" t="s">
        <v>857</v>
      </c>
      <c r="N95" s="23" t="s">
        <v>838</v>
      </c>
      <c r="O95" s="23"/>
    </row>
    <row r="96">
      <c r="A96" s="93">
        <f t="array" ref="A96">XLOOKUP(C96,'TSR Initiation'!C:C,'TSR Initiation'!A:A)</f>
        <v>656</v>
      </c>
      <c r="B96" s="71" t="s">
        <v>11</v>
      </c>
      <c r="C96" s="6" t="s">
        <v>528</v>
      </c>
      <c r="D96" s="88" t="str">
        <f t="array" ref="D96">XLOOKUP(C96,'Master Data'!C:C,'Master Data'!D:D)</f>
        <v>Vishrantwadi</v>
      </c>
      <c r="E96" s="71" t="str">
        <f t="array" ref="E96">XLOOKUP(C96,'TSR Initiation'!C:C,'TSR Initiation'!E:E)</f>
        <v>22.04.2026</v>
      </c>
      <c r="F96" s="88" t="str">
        <f t="array" ref="F96">XLOOKUP(C96,'Master Data'!C:C,'Master Data'!E:E)</f>
        <v>Sabiya Arif Shaikh</v>
      </c>
      <c r="G96" s="89" t="str">
        <f t="array" ref="G96">XLOOKUP(C96,'Master Data'!C:C,'Master Data'!F:F)</f>
        <v/>
      </c>
      <c r="H96" s="89" t="str">
        <f t="array" ref="H96">XLOOKUP(C96,'Master Data'!C:C,'Master Data'!G:G)</f>
        <v>Resale</v>
      </c>
      <c r="I96" s="90" t="str">
        <f t="array" ref="I96">XLOOKUP(C96,'Master Data'!C:C,'Master Data'!H:H)</f>
        <v>All that piece and parcel of property bearing Flat No. 306, admeasuring Carpet Area 29.39 Sq. Mtrs., along with adjoining Terrace Area 3.15 Sq. Mtrs. and Balcony Area 6.87 Sq. Mtrs., situated on the Third Floor in Building No. “A”, in the project known as “Prajol Ashiyana”, constructed on the land bearing CTS No. 5023, CTS No. 5020/4 (Sheet No. 118), CTS No. 5026 (Sheet No. 119) and other connected CTS numbers, situated at Village Pimpri Waghere, Taluka Haveli, District Pune and within the local limits of Pimpri Chinchwad Municipal Corporation.</v>
      </c>
      <c r="J96" s="91" t="s">
        <v>12</v>
      </c>
      <c r="K96" s="92"/>
      <c r="L96" s="92"/>
      <c r="M96" s="23" t="s">
        <v>857</v>
      </c>
      <c r="N96" s="23" t="s">
        <v>843</v>
      </c>
      <c r="O96" s="23"/>
    </row>
    <row r="97">
      <c r="A97" s="93">
        <f t="array" ref="A97">XLOOKUP(C97,'TSR Initiation'!C:C,'TSR Initiation'!A:A)</f>
        <v>657</v>
      </c>
      <c r="B97" s="71" t="s">
        <v>11</v>
      </c>
      <c r="C97" s="6" t="s">
        <v>682</v>
      </c>
      <c r="D97" s="88" t="str">
        <f t="array" ref="D97">XLOOKUP(C97,'Master Data'!C:C,'Master Data'!D:D)</f>
        <v>vishrantwadi</v>
      </c>
      <c r="E97" s="71" t="str">
        <f t="array" ref="E97">XLOOKUP(C97,'TSR Initiation'!C:C,'TSR Initiation'!E:E)</f>
        <v>22.04.2026</v>
      </c>
      <c r="F97" s="88" t="str">
        <f t="array" ref="F97">XLOOKUP(C97,'Master Data'!C:C,'Master Data'!E:E)</f>
        <v>Sabiya Arif Shaikh</v>
      </c>
      <c r="G97" s="89" t="str">
        <f t="array" ref="G97">XLOOKUP(C97,'Master Data'!C:C,'Master Data'!F:F)</f>
        <v/>
      </c>
      <c r="H97" s="89" t="str">
        <f t="array" ref="H97">XLOOKUP(C97,'Master Data'!C:C,'Master Data'!G:G)</f>
        <v>Resale</v>
      </c>
      <c r="I97" s="90" t="str">
        <f t="array" ref="I97">XLOOKUP(C97,'Master Data'!C:C,'Master Data'!H:H)</f>
        <v>All that piece and parcel of property bearing Flat No. 307, admeasuring Carpet Area 28.49 Sq. Mtrs., along with adjoining Terrace Area 4.32 Sq. Mtrs. and Balcony Area 3.91 Sq. Mtrs., situated on the Third Floor in Building No. “A”, in the project known as “Prajol Ashiyana”, constructed on the land bearing CTS No. 5023, CTS No. 5020/4 (Sheet No. 118), CTS No. 5026 (Sheet No. 119) and other connected CTS numbers, situated at Village Pimpri Waghere, Taluka Haveli, District Pune and within the local limits of Pimpri Chinchwad Municipal Corporation.</v>
      </c>
      <c r="J97" s="91" t="s">
        <v>12</v>
      </c>
      <c r="K97" s="92"/>
      <c r="L97" s="92"/>
      <c r="M97" s="23" t="s">
        <v>857</v>
      </c>
      <c r="N97" s="23" t="s">
        <v>843</v>
      </c>
      <c r="O97" s="23"/>
    </row>
    <row r="98">
      <c r="A98" s="93">
        <f t="array" ref="A98">XLOOKUP(C98,'TSR Initiation'!C:C,'TSR Initiation'!A:A)</f>
        <v>658</v>
      </c>
      <c r="B98" s="71" t="s">
        <v>11</v>
      </c>
      <c r="C98" s="6">
        <v>7.7000258336E10</v>
      </c>
      <c r="D98" s="88" t="str">
        <f t="array" ref="D98">XLOOKUP(C98,'Master Data'!C:C,'Master Data'!D:D)</f>
        <v>Kolhapur</v>
      </c>
      <c r="E98" s="71" t="str">
        <f t="array" ref="E98">XLOOKUP(C98,'TSR Initiation'!C:C,'TSR Initiation'!E:E)</f>
        <v>22.04.2026</v>
      </c>
      <c r="F98" s="88" t="str">
        <f t="array" ref="F98">XLOOKUP(C98,'Master Data'!C:C,'Master Data'!E:E)</f>
        <v>Amruta Sandeep Bhapkar </v>
      </c>
      <c r="G98" s="89" t="str">
        <f t="array" ref="G98">XLOOKUP(C98,'Master Data'!C:C,'Master Data'!F:F)</f>
        <v>Sandeep Shrikant Bhapkar.  </v>
      </c>
      <c r="H98" s="89" t="str">
        <f t="array" ref="H98">XLOOKUP(C98,'Master Data'!C:C,'Master Data'!G:G)</f>
        <v>Regular Lap</v>
      </c>
      <c r="I98" s="90" t="str">
        <f t="array" ref="I98">XLOOKUP(C98,'Master Data'!C:C,'Master Data'!H:H)</f>
        <v>All that piece and parcel of property bearing CTS No. 2684/2/B/1, admeasuring 44.40 Sq. Mtrs., together with RCC construction standing thereon, situated at A Ward, Kolhapur City, within the limits of Kolhapur Municipal Corporation, Taluka Karveer, District Kolhapur</v>
      </c>
      <c r="J98" s="91" t="s">
        <v>12</v>
      </c>
      <c r="K98" s="92"/>
      <c r="L98" s="92"/>
      <c r="M98" s="23" t="s">
        <v>857</v>
      </c>
      <c r="N98" s="23" t="s">
        <v>843</v>
      </c>
      <c r="O98" s="23"/>
    </row>
    <row r="99">
      <c r="A99" s="93">
        <f t="array" ref="A99">XLOOKUP(C99,'TSR Initiation'!C:C,'TSR Initiation'!A:A)</f>
        <v>659</v>
      </c>
      <c r="B99" s="71" t="s">
        <v>11</v>
      </c>
      <c r="C99" s="6">
        <v>7.700026405E10</v>
      </c>
      <c r="D99" s="88" t="str">
        <f t="array" ref="D99">XLOOKUP(C99,'Master Data'!C:C,'Master Data'!D:D)</f>
        <v>Kolhapur</v>
      </c>
      <c r="E99" s="71" t="str">
        <f t="array" ref="E99">XLOOKUP(C99,'TSR Initiation'!C:C,'TSR Initiation'!E:E)</f>
        <v>22.04.2026</v>
      </c>
      <c r="F99" s="88" t="str">
        <f t="array" ref="F99">XLOOKUP(C99,'Master Data'!C:C,'Master Data'!E:E)</f>
        <v>Suhas Appasaheb Gavali </v>
      </c>
      <c r="G99" s="89" t="str">
        <f t="array" ref="G99">XLOOKUP(C99,'Master Data'!C:C,'Master Data'!F:F)</f>
        <v>Rajashri Suhas Gavali </v>
      </c>
      <c r="H99" s="89" t="str">
        <f t="array" ref="H99">XLOOKUP(C99,'Master Data'!C:C,'Master Data'!G:G)</f>
        <v>Regular Comercial Lap</v>
      </c>
      <c r="I99" s="90" t="str">
        <f t="array" ref="I99">XLOOKUP(C99,'Master Data'!C:C,'Master Data'!H:H)</f>
        <v>All that piece and parcel of property being Shop/Gala No. 2, admeasuring area 27.00 Sq. Mtrs., situated on the Ground Floor in the RCC building known as “Parijaat”, constructed/to be constructed on the land bearing City Survey No. 764/B and City Survey No. 764/A/2, admeasuring in aggregate 592.45 Sq. Mtrs. as per Property Card, situated at Kasba Bawada, E Ward, within the limits of Kolhapur Municipal Corporation, Taluka Karveer, District Kolhapur.</v>
      </c>
      <c r="J99" s="91" t="s">
        <v>12</v>
      </c>
      <c r="K99" s="92"/>
      <c r="L99" s="92"/>
      <c r="M99" s="23" t="s">
        <v>857</v>
      </c>
      <c r="N99" s="23" t="s">
        <v>843</v>
      </c>
      <c r="O99" s="23"/>
    </row>
    <row r="100">
      <c r="A100" s="93" t="str">
        <f t="array" ref="A100">XLOOKUP(C100,'TSR Initiation'!C:C,'TSR Initiation'!A:A)</f>
        <v>647_1</v>
      </c>
      <c r="B100" s="71" t="s">
        <v>11</v>
      </c>
      <c r="C100" s="6" t="s">
        <v>495</v>
      </c>
      <c r="D100" s="88" t="str">
        <f t="array" ref="D100">XLOOKUP(C100,'Master Data'!C:C,'Master Data'!D:D)</f>
        <v>Main</v>
      </c>
      <c r="E100" s="71" t="str">
        <f t="array" ref="E100">XLOOKUP(C100,'TSR Initiation'!C:C,'TSR Initiation'!E:E)</f>
        <v>22.04.2026</v>
      </c>
      <c r="F100" s="88" t="str">
        <f t="array" ref="F100">XLOOKUP(C100,'Master Data'!C:C,'Master Data'!E:E)</f>
        <v>Santosh Jawalkar </v>
      </c>
      <c r="G100" s="89" t="str">
        <f t="array" ref="G100">XLOOKUP(C100,'Master Data'!C:C,'Master Data'!F:F)</f>
        <v>Irsha Jawalkar, Raghunath Jawalkar, Muktabai Jawalkar</v>
      </c>
      <c r="H100" s="89" t="str">
        <f t="array" ref="H100">XLOOKUP(C100,'Master Data'!C:C,'Master Data'!G:G)</f>
        <v>LAP</v>
      </c>
      <c r="I100" s="90" t="str">
        <f t="array" ref="I100">XLOOKUP(C100,'Master Data'!C:C,'Master Data'!H:H)</f>
        <v>All that piece and parcel of property being Flat No. 401, admeasuring Carpet Area 520.76 Sq. Ft., together with Open/Enclosed Balcony area admeasuring 51.45 Sq. Ft., Dry Balcony area admeasuring 19.38 Sq. Ft. and Terrace area admeasuring 66.52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v>
      </c>
      <c r="J100" s="91" t="s">
        <v>12</v>
      </c>
      <c r="K100" s="92"/>
      <c r="L100" s="92"/>
      <c r="M100" s="23" t="s">
        <v>857</v>
      </c>
      <c r="N100" s="23" t="s">
        <v>843</v>
      </c>
      <c r="O100" s="23"/>
    </row>
    <row r="101">
      <c r="A101" s="93" t="str">
        <f t="array" ref="A101">XLOOKUP(C101,'TSR Initiation'!C:C,'TSR Initiation'!A:A)</f>
        <v>647_2</v>
      </c>
      <c r="B101" s="71" t="s">
        <v>11</v>
      </c>
      <c r="C101" s="6" t="s">
        <v>684</v>
      </c>
      <c r="D101" s="88" t="str">
        <f t="array" ref="D101">XLOOKUP(C101,'Master Data'!C:C,'Master Data'!D:D)</f>
        <v>Main</v>
      </c>
      <c r="E101" s="71" t="str">
        <f t="array" ref="E101">XLOOKUP(C101,'TSR Initiation'!C:C,'TSR Initiation'!E:E)</f>
        <v>22.04.2026</v>
      </c>
      <c r="F101" s="88" t="str">
        <f t="array" ref="F101">XLOOKUP(C101,'Master Data'!C:C,'Master Data'!E:E)</f>
        <v>Santosh Jawalkar </v>
      </c>
      <c r="G101" s="89" t="str">
        <f t="array" ref="G101">XLOOKUP(C101,'Master Data'!C:C,'Master Data'!F:F)</f>
        <v>Irsha Jawalkar, Raghunath Jawalkar, Muktabai Jawalkar</v>
      </c>
      <c r="H101" s="89" t="str">
        <f t="array" ref="H101">XLOOKUP(C101,'Master Data'!C:C,'Master Data'!G:G)</f>
        <v>LAP</v>
      </c>
      <c r="I101" s="90" t="str">
        <f t="array" ref="I101">XLOOKUP(C101,'Master Data'!C:C,'Master Data'!H:H)</f>
        <v>All that piece and parcel of property being Flat No. 304, admeasuring Carpet Area 518.07 Sq. Ft., together with Open/Enclosed Balcony area admeasuring 54.14 Sq. Ft., Dry Balcony area admeasuring 19.38 Sq. Ft. and Terrace area admeasuring 66.52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v>
      </c>
      <c r="J101" s="91" t="s">
        <v>12</v>
      </c>
      <c r="K101" s="92"/>
      <c r="L101" s="92"/>
      <c r="M101" s="23" t="s">
        <v>857</v>
      </c>
      <c r="N101" s="23" t="s">
        <v>843</v>
      </c>
      <c r="O101" s="23"/>
    </row>
    <row r="102">
      <c r="A102" s="93" t="str">
        <f t="array" ref="A102">XLOOKUP(C102,'TSR Initiation'!C:C,'TSR Initiation'!A:A)</f>
        <v>647_3</v>
      </c>
      <c r="B102" s="71" t="s">
        <v>11</v>
      </c>
      <c r="C102" s="6" t="s">
        <v>686</v>
      </c>
      <c r="D102" s="88" t="str">
        <f t="array" ref="D102">XLOOKUP(C102,'Master Data'!C:C,'Master Data'!D:D)</f>
        <v>Main</v>
      </c>
      <c r="E102" s="71" t="str">
        <f t="array" ref="E102">XLOOKUP(C102,'TSR Initiation'!C:C,'TSR Initiation'!E:E)</f>
        <v>22.04.2026</v>
      </c>
      <c r="F102" s="88" t="str">
        <f t="array" ref="F102">XLOOKUP(C102,'Master Data'!C:C,'Master Data'!E:E)</f>
        <v>Santosh Jawalkar </v>
      </c>
      <c r="G102" s="89" t="str">
        <f t="array" ref="G102">XLOOKUP(C102,'Master Data'!C:C,'Master Data'!F:F)</f>
        <v>Irsha Jawalkar, Raghunath Jawalkar, Muktabai Jawalkar</v>
      </c>
      <c r="H102" s="89" t="str">
        <f t="array" ref="H102">XLOOKUP(C102,'Master Data'!C:C,'Master Data'!G:G)</f>
        <v>LAP</v>
      </c>
      <c r="I102" s="90" t="str">
        <f t="array" ref="I102">XLOOKUP(C102,'Master Data'!C:C,'Master Data'!H:H)</f>
        <v>All that piece and parcel of property being Flat No. A-1102, admeasuring Carpet Area 572.32 Sq. Ft., together with Open/Enclosed Balcony area admeasuring 0 Sq. Ft., Dry Balcony area admeasuring 19.38 Sq. Ft. and Terrace area admeasuring 59.09 Sq. Ft., situated in Wing “A” of the building, constructed/to be constructed on the entire land property bearing Survey No. 491 Hissa No. 2 and Survey No. 492 Hissa No. 2A/1B, admeasuring in aggregate 3597.94 Sq. Mtrs., situated at Village Bhosari (Kasarwadi), Taluka Haveli, District Pune and within the limits of Pimpri Chinchwad Municipal Corporation.</v>
      </c>
      <c r="J102" s="91" t="s">
        <v>12</v>
      </c>
      <c r="K102" s="92"/>
      <c r="L102" s="92"/>
      <c r="M102" s="23" t="s">
        <v>857</v>
      </c>
      <c r="N102" s="23" t="s">
        <v>843</v>
      </c>
      <c r="O102" s="23"/>
    </row>
    <row r="103">
      <c r="A103" s="93">
        <f t="array" ref="A103">XLOOKUP(C103,'TSR Initiation'!C:C,'TSR Initiation'!A:A)</f>
        <v>660</v>
      </c>
      <c r="B103" s="71" t="s">
        <v>11</v>
      </c>
      <c r="C103" s="6">
        <v>7.7000259155E10</v>
      </c>
      <c r="D103" s="88" t="str">
        <f t="array" ref="D103">XLOOKUP(C103,'Master Data'!C:C,'Master Data'!D:D)</f>
        <v>Wakad</v>
      </c>
      <c r="E103" s="71" t="str">
        <f t="array" ref="E103">XLOOKUP(C103,'TSR Initiation'!C:C,'TSR Initiation'!E:E)</f>
        <v>23.04.2026</v>
      </c>
      <c r="F103" s="88" t="str">
        <f t="array" ref="F103">XLOOKUP(C103,'Master Data'!C:C,'Master Data'!E:E)</f>
        <v>Jagdish Popat Patil</v>
      </c>
      <c r="G103" s="89" t="str">
        <f t="array" ref="G103">XLOOKUP(C103,'Master Data'!C:C,'Master Data'!F:F)</f>
        <v>Popat Patil,Nirmala Patil</v>
      </c>
      <c r="H103" s="89" t="str">
        <f t="array" ref="H103">XLOOKUP(C103,'Master Data'!C:C,'Master Data'!G:G)</f>
        <v>Builder purchase </v>
      </c>
      <c r="I103" s="90" t="str">
        <f t="array" ref="I103">XLOOKUP(C103,'Master Data'!C:C,'Master Data'!H:H)</f>
        <v>All that piece and parcel of property being Flat No. 104, admeasuring Carpet Area 31.28 Sq. Mtrs., together with Balcony area admeasuring 5.42 Sq. Mtrs., situated on the First Floor in C &amp; D Wing/Building of the project known as “Khush Vista Phase I”, constructed/to be constructed on the land bearing Survey No. 2/1A/1B/2A/2B/2C/Plot No. D admeasuring 5591.35 Sq. Mtrs. and Survey No. 2/1A/1B/2A/2B/2C/Open Space/Plot No. D admeasuring 776.16 Sq. Mtrs., situated at Village Mohammadwadi, Taluka Haveli, District Pune and within the limits of Pune Municipal Corporation, along with all easements and appurtenances thereto.</v>
      </c>
      <c r="J103" s="91" t="s">
        <v>12</v>
      </c>
      <c r="K103" s="92"/>
      <c r="L103" s="92"/>
      <c r="M103" s="23" t="s">
        <v>857</v>
      </c>
      <c r="N103" s="23" t="s">
        <v>843</v>
      </c>
      <c r="O103" s="23"/>
    </row>
    <row r="104">
      <c r="A104" s="93">
        <f t="array" ref="A104">XLOOKUP(C104,'TSR Initiation'!C:C,'TSR Initiation'!A:A)</f>
        <v>661</v>
      </c>
      <c r="B104" s="71" t="s">
        <v>11</v>
      </c>
      <c r="C104" s="26">
        <v>7.700026612E10</v>
      </c>
      <c r="D104" s="88" t="str">
        <f t="array" ref="D104">XLOOKUP(C104,'Master Data'!C:C,'Master Data'!D:D)</f>
        <v>Chinchwad</v>
      </c>
      <c r="E104" s="71" t="str">
        <f t="array" ref="E104">XLOOKUP(C104,'TSR Initiation'!C:C,'TSR Initiation'!E:E)</f>
        <v>24.04.2026</v>
      </c>
      <c r="F104" s="88" t="str">
        <f t="array" ref="F104">XLOOKUP(C104,'Master Data'!C:C,'Master Data'!E:E)</f>
        <v>Nikita Malhari Kande</v>
      </c>
      <c r="G104" s="89" t="str">
        <f t="array" ref="G104">XLOOKUP(C104,'Master Data'!C:C,'Master Data'!F:F)</f>
        <v>Malhari Shripati Kande </v>
      </c>
      <c r="H104" s="89" t="str">
        <f t="array" ref="H104">XLOOKUP(C104,'Master Data'!C:C,'Master Data'!G:G)</f>
        <v>Resale BT</v>
      </c>
      <c r="I104" s="90" t="str">
        <f t="array" ref="I104">XLOOKUP(C104,'Master Data'!C:C,'Master Data'!H:H)</f>
        <v>All that piece and parcel of property being Flat No. 304, admeasuring Carpet Area 54.35 Sq. Mtrs., together with adjoining Terrace area admeasuring 8.56 Sq. Mtrs., along with one covered car parking space, situated on the Third Floor in Wing “B” of the building known as “Shreeji Sharan”, constructed on the land bearing Survey Nos. 165/1, 171/1, 171/2, 171/3 and 171/4, admeasuring in aggregate 0 Hectare 49 Ares, situated at Village Chovisawadi, Taluka Haveli, District Pune, along with all rights, easements and appurtenances thereto.</v>
      </c>
      <c r="J104" s="91" t="s">
        <v>12</v>
      </c>
      <c r="K104" s="92"/>
      <c r="L104" s="92"/>
      <c r="M104" s="23" t="s">
        <v>857</v>
      </c>
      <c r="N104" s="23" t="s">
        <v>843</v>
      </c>
      <c r="O104" s="23"/>
    </row>
    <row r="105">
      <c r="A105" s="93">
        <f t="array" ref="A105">XLOOKUP(C105,'TSR Initiation'!C:C,'TSR Initiation'!A:A)</f>
        <v>662</v>
      </c>
      <c r="B105" s="71" t="s">
        <v>11</v>
      </c>
      <c r="C105" s="26">
        <v>7.7000256904E10</v>
      </c>
      <c r="D105" s="88" t="str">
        <f t="array" ref="D105">XLOOKUP(C105,'Master Data'!C:C,'Master Data'!D:D)</f>
        <v>Baner</v>
      </c>
      <c r="E105" s="71" t="str">
        <f t="array" ref="E105">XLOOKUP(C105,'TSR Initiation'!C:C,'TSR Initiation'!E:E)</f>
        <v>24.04.2026</v>
      </c>
      <c r="F105" s="88" t="str">
        <f t="array" ref="F105">XLOOKUP(C105,'Master Data'!C:C,'Master Data'!E:E)</f>
        <v> Gayatri Govardhan Raut</v>
      </c>
      <c r="G105" s="89" t="str">
        <f t="array" ref="G105">XLOOKUP(C105,'Master Data'!C:C,'Master Data'!F:F)</f>
        <v>Govardhan Chaganrao Raut</v>
      </c>
      <c r="H105" s="89" t="str">
        <f t="array" ref="H105">XLOOKUP(C105,'Master Data'!C:C,'Master Data'!G:G)</f>
        <v> Builder</v>
      </c>
      <c r="I105" s="90" t="str">
        <f t="array" ref="I105">XLOOKUP(C105,'Master Data'!C:C,'Master Data'!H:H)</f>
        <v>All that piece and parcel of property being Shop No. 4, admeasuring Carpet Area 24.98 Sq. Mtrs., situated on the Ground Floor in Commercial Building “A” of the project known as “Sopan Sai”, constructed on the land bearing Survey Nos. 12/2+3/1, 12/2+3/3 and 12/1, situated at Village Alandi Devachi (Nagari), Taluka Khed, District Pune, along with all rights, easements and appurtenances thereto.</v>
      </c>
      <c r="J105" s="91" t="s">
        <v>12</v>
      </c>
      <c r="K105" s="92"/>
      <c r="L105" s="92"/>
      <c r="M105" s="23" t="s">
        <v>857</v>
      </c>
      <c r="N105" s="23" t="s">
        <v>843</v>
      </c>
      <c r="O105" s="23"/>
    </row>
    <row r="106">
      <c r="A106" s="93">
        <f t="array" ref="A106">XLOOKUP(C106,'TSR Initiation'!C:C,'TSR Initiation'!A:A)</f>
        <v>663</v>
      </c>
      <c r="B106" s="71" t="s">
        <v>11</v>
      </c>
      <c r="C106" s="6">
        <v>7.7000266325E10</v>
      </c>
      <c r="D106" s="88" t="str">
        <f t="array" ref="D106">XLOOKUP(C106,'Master Data'!C:C,'Master Data'!D:D)</f>
        <v>Hadapsar </v>
      </c>
      <c r="E106" s="71" t="str">
        <f t="array" ref="E106">XLOOKUP(C106,'TSR Initiation'!C:C,'TSR Initiation'!E:E)</f>
        <v>23.04.2026</v>
      </c>
      <c r="F106" s="88" t="str">
        <f t="array" ref="F106">XLOOKUP(C106,'Master Data'!C:C,'Master Data'!E:E)</f>
        <v>Swati Yogesh Ingale</v>
      </c>
      <c r="G106" s="89" t="str">
        <f t="array" ref="G106">XLOOKUP(C106,'Master Data'!C:C,'Master Data'!F:F)</f>
        <v>Yogesh Laxman Ingale</v>
      </c>
      <c r="H106" s="89" t="str">
        <f t="array" ref="H106">XLOOKUP(C106,'Master Data'!C:C,'Master Data'!G:G)</f>
        <v>Builder purchase</v>
      </c>
      <c r="I106" s="90" t="str">
        <f t="array" ref="I106">XLOOKUP(C106,'Master Data'!C:C,'Master Data'!H:H)</f>
        <v>All that piece and parcel of Flat/Apartment No. 302, having carpet area admeasuring 52.99 Sq. Mtrs. along with balcony area admeasuring 3.20 Sq. Mtrs., aggregating to total carpet area of 56.19 Sq. Mtrs., situated on the 3rd Floor, in Building/Wing “E”, of the project known as “DEW DROPS”, constructed/to be constructed on the land bearing Survey No. 72A, Hissa No. 2, situated at Village Saswad, Taluka Purandar, District Pune. The said flat is along with one tin shade car parking space, and is entitled to proportionate undivided share in the land and common areas and amenities appurtenant thereto.</v>
      </c>
      <c r="J106" s="91" t="s">
        <v>12</v>
      </c>
      <c r="K106" s="92"/>
      <c r="L106" s="92"/>
      <c r="M106" s="23" t="s">
        <v>857</v>
      </c>
      <c r="N106" s="23" t="s">
        <v>844</v>
      </c>
      <c r="O106" s="23"/>
    </row>
    <row r="107">
      <c r="A107" s="93">
        <f t="array" ref="A107">XLOOKUP(C107,'TSR Initiation'!C:C,'TSR Initiation'!A:A)</f>
        <v>665</v>
      </c>
      <c r="B107" s="71" t="s">
        <v>11</v>
      </c>
      <c r="C107" s="6">
        <v>7.7000265914E10</v>
      </c>
      <c r="D107" s="88" t="str">
        <f t="array" ref="D107">XLOOKUP(C107,'Master Data'!C:C,'Master Data'!D:D)</f>
        <v>Baner</v>
      </c>
      <c r="E107" s="71" t="str">
        <f t="array" ref="E107">XLOOKUP(C107,'TSR Initiation'!C:C,'TSR Initiation'!E:E)</f>
        <v>24.04.2026</v>
      </c>
      <c r="F107" s="88" t="str">
        <f t="array" ref="F107">XLOOKUP(C107,'Master Data'!C:C,'Master Data'!E:E)</f>
        <v>Kedar Kumbhare</v>
      </c>
      <c r="G107" s="89" t="str">
        <f t="array" ref="G107">XLOOKUP(C107,'Master Data'!C:C,'Master Data'!F:F)</f>
        <v>Raviraj Kumbhare</v>
      </c>
      <c r="H107" s="89" t="str">
        <f t="array" ref="H107">XLOOKUP(C107,'Master Data'!C:C,'Master Data'!G:G)</f>
        <v>Resale </v>
      </c>
      <c r="I107" s="90" t="str">
        <f t="array" ref="I107">XLOOKUP(C107,'Master Data'!C:C,'Master Data'!H:H)</f>
        <v>All that piece and parcel of Flat No. D-504, admeasuring carpet area of 50.35 Sq. Mtrs. (i.e. 542 Sq. Ft.), along with terrace area admeasuring 6.22 Sq. Mtrs. (i.e. 67 Sq. Ft.), aggregating to total saleable built-up area of 69.68 Sq. Mtrs. (i.e. 750 Sq. Ft.), situated on the 5th Floor, in D-Wing Building, in the project known as “Urban Gram Pirangut – I”, constructed on the land bearing Gat Nos. 1210 (Old Gat No. 279), 1211 (Old Gat No. 280), 1212 (Old Gat No. 308) and 1213 (Old Gat No. 307), situated at Village Pirangut, Taluka Mulshi, District Pune.</v>
      </c>
      <c r="J107" s="91" t="s">
        <v>12</v>
      </c>
      <c r="K107" s="92"/>
      <c r="L107" s="92"/>
      <c r="M107" s="23" t="s">
        <v>857</v>
      </c>
      <c r="N107" s="23" t="s">
        <v>844</v>
      </c>
      <c r="O107" s="23"/>
    </row>
    <row r="108">
      <c r="A108" s="93">
        <f t="array" ref="A108">XLOOKUP(C108,'TSR Initiation'!C:C,'TSR Initiation'!A:A)</f>
        <v>666</v>
      </c>
      <c r="B108" s="71" t="s">
        <v>11</v>
      </c>
      <c r="C108" s="26">
        <v>7.7000264635E10</v>
      </c>
      <c r="D108" s="88" t="str">
        <f t="array" ref="D108">XLOOKUP(C108,'Master Data'!C:C,'Master Data'!D:D)</f>
        <v>Main</v>
      </c>
      <c r="E108" s="71" t="str">
        <f t="array" ref="E108">XLOOKUP(C108,'TSR Initiation'!C:C,'TSR Initiation'!E:E)</f>
        <v>24.04.2026</v>
      </c>
      <c r="F108" s="88" t="str">
        <f t="array" ref="F108">XLOOKUP(C108,'Master Data'!C:C,'Master Data'!E:E)</f>
        <v>Rajesh Wagh </v>
      </c>
      <c r="G108" s="89" t="str">
        <f t="array" ref="G108">XLOOKUP(C108,'Master Data'!C:C,'Master Data'!F:F)</f>
        <v>Harshada wagh</v>
      </c>
      <c r="H108" s="89" t="str">
        <f t="array" ref="H108">XLOOKUP(C108,'Master Data'!C:C,'Master Data'!G:G)</f>
        <v>Resale </v>
      </c>
      <c r="I108" s="90" t="str">
        <f t="array" ref="I108">XLOOKUP(C108,'Master Data'!C:C,'Master Data'!H:H)</f>
        <v>All that piece and parcel of Flat No. 404, admeasuring carpet area of 50.94 Sq. Mtrs., along with enclosed balcony admeasuring 5.87 Sq. Mtrs., open balcony admeasuring 2.05 Sq. Mtrs. and terrace admeasuring 6.72 Sq. Mtrs., situated on the 4th Floor, in Wing/Building No. D-1, in the project known as “Renuka Tulsi Phase-II”, constructed on the land bearing Survey No. 125, corresponding to CTS Nos. 2437 (Part) and 2438 (Part), situated at Village Chinchwad, Taluka Haveli, District Pune.</v>
      </c>
      <c r="J108" s="91" t="s">
        <v>12</v>
      </c>
      <c r="K108" s="92"/>
      <c r="L108" s="92"/>
      <c r="M108" s="23" t="s">
        <v>857</v>
      </c>
      <c r="N108" s="23" t="s">
        <v>844</v>
      </c>
      <c r="O108" s="23"/>
    </row>
    <row r="109">
      <c r="A109" s="93">
        <f t="array" ref="A109">XLOOKUP(C109,'TSR Initiation'!C:C,'TSR Initiation'!A:A)</f>
        <v>667</v>
      </c>
      <c r="B109" s="71" t="s">
        <v>11</v>
      </c>
      <c r="C109" s="51">
        <v>7.7000261651E10</v>
      </c>
      <c r="D109" s="88" t="str">
        <f t="array" ref="D109">XLOOKUP(C109,'Master Data'!C:C,'Master Data'!D:D)</f>
        <v>Kharadi </v>
      </c>
      <c r="E109" s="71" t="str">
        <f t="array" ref="E109">XLOOKUP(C109,'TSR Initiation'!C:C,'TSR Initiation'!E:E)</f>
        <v>24.04.2026</v>
      </c>
      <c r="F109" s="88" t="str">
        <f t="array" ref="F109">XLOOKUP(C109,'Master Data'!C:C,'Master Data'!E:E)</f>
        <v>Hanumant Rohidas Raut</v>
      </c>
      <c r="G109" s="89" t="str">
        <f t="array" ref="G109">XLOOKUP(C109,'Master Data'!C:C,'Master Data'!F:F)</f>
        <v>Archana Hanumant Raut</v>
      </c>
      <c r="H109" s="89" t="str">
        <f t="array" ref="H109">XLOOKUP(C109,'Master Data'!C:C,'Master Data'!G:G)</f>
        <v>Internal Top - UP</v>
      </c>
      <c r="I109" s="90" t="str">
        <f t="array" ref="I109">XLOOKUP(C109,'Master Data'!C:C,'Master Data'!H:H)</f>
        <v>All that piece and parcel of Flat No. 102, admeasuring saleable built-up area of 49.25 Sq. Mtrs. (i.e. 530 Sq. Ft.), situated on the 1st Floor, in the building known as “Unit Plaza”, constructed on land bearing Plot No. 160, admeasuring 180 Sq. Mtrs. (i.e. 1937 Sq. Ft.), forming part of the sanctioned layout out of land bearing Survey No. 178 (Old Survey No. 150), admeasuring in aggregate 17 Hectares 29 Ares, out of which 11 Hectares 94 Ares is assessable land and 00 Hectares 46 Ares is Potkharaba, situated at Village Phursungi, Taluka Haveli, District Pune.</v>
      </c>
      <c r="J109" s="91" t="s">
        <v>12</v>
      </c>
      <c r="K109" s="92"/>
      <c r="L109" s="92"/>
      <c r="M109" s="23" t="s">
        <v>857</v>
      </c>
      <c r="N109" s="23" t="s">
        <v>844</v>
      </c>
      <c r="O109" s="23"/>
    </row>
    <row r="110">
      <c r="A110" s="93">
        <f t="array" ref="A110">XLOOKUP(C110,'TSR Initiation'!C:C,'TSR Initiation'!A:A)</f>
        <v>668</v>
      </c>
      <c r="B110" s="71" t="s">
        <v>11</v>
      </c>
      <c r="C110" s="6">
        <v>7.7000260474E10</v>
      </c>
      <c r="D110" s="88" t="str">
        <f t="array" ref="D110">XLOOKUP(C110,'Master Data'!C:C,'Master Data'!D:D)</f>
        <v>Main</v>
      </c>
      <c r="E110" s="71" t="str">
        <f t="array" ref="E110">XLOOKUP(C110,'TSR Initiation'!C:C,'TSR Initiation'!E:E)</f>
        <v>27.04.2026</v>
      </c>
      <c r="F110" s="88" t="str">
        <f t="array" ref="F110">XLOOKUP(C110,'Master Data'!C:C,'Master Data'!E:E)</f>
        <v>Omkar Ganapatrao Desai</v>
      </c>
      <c r="G110" s="89" t="str">
        <f t="array" ref="G110">XLOOKUP(C110,'Master Data'!C:C,'Master Data'!F:F)</f>
        <v>Poonam Omkar Desai</v>
      </c>
      <c r="H110" s="89" t="str">
        <f t="array" ref="H110">XLOOKUP(C110,'Master Data'!C:C,'Master Data'!G:G)</f>
        <v>Resale</v>
      </c>
      <c r="I110" s="90" t="str">
        <f t="array" ref="I110">XLOOKUP(C110,'Master Data'!C:C,'Master Data'!H:H)</f>
        <v>All that piece and parcel of Flat No. O-306, admeasuring carpet area of 35.8 Sq. Mtrs. (i.e. 386 Sq. Ft.), along with adjoining terrace admeasuring about 4.18 Sq. Mtrs., situated on the 3rd Floor, in Building No. O, in the project known as “Shriniwas Green Land County Co-operative Housing Society Ltd.”, together with one car parking area admeasuring 9 Sq. Mtrs., constructed on the land bearing Survey No. 42/1A/1 to 42/1A/19, admeasuring in aggregate 04 Hectares 68 Ares, situated at Village Narhe, Taluka Haveli, District Pune.</v>
      </c>
      <c r="J110" s="91" t="s">
        <v>12</v>
      </c>
      <c r="K110" s="92"/>
      <c r="L110" s="92"/>
      <c r="M110" s="23" t="s">
        <v>857</v>
      </c>
      <c r="N110" s="23" t="s">
        <v>844</v>
      </c>
      <c r="O110" s="23"/>
    </row>
    <row r="111">
      <c r="A111" s="93">
        <f t="array" ref="A111">XLOOKUP(C111,'TSR Initiation'!C:C,'TSR Initiation'!A:A)</f>
        <v>669</v>
      </c>
      <c r="B111" s="71" t="s">
        <v>11</v>
      </c>
      <c r="C111" s="6">
        <v>7.7000262993E10</v>
      </c>
      <c r="D111" s="88" t="str">
        <f t="array" ref="D111">XLOOKUP(C111,'Master Data'!C:C,'Master Data'!D:D)</f>
        <v>Main</v>
      </c>
      <c r="E111" s="71" t="str">
        <f t="array" ref="E111">XLOOKUP(C111,'TSR Initiation'!C:C,'TSR Initiation'!E:E)</f>
        <v>25.04.2026</v>
      </c>
      <c r="F111" s="88" t="str">
        <f t="array" ref="F111">XLOOKUP(C111,'Master Data'!C:C,'Master Data'!E:E)</f>
        <v>Vijay Shelar</v>
      </c>
      <c r="G111" s="89" t="str">
        <f t="array" ref="G111">XLOOKUP(C111,'Master Data'!C:C,'Master Data'!F:F)</f>
        <v>Reshma Shelar</v>
      </c>
      <c r="H111" s="89" t="str">
        <f t="array" ref="H111">XLOOKUP(C111,'Master Data'!C:C,'Master Data'!G:G)</f>
        <v> resale </v>
      </c>
      <c r="I111" s="90" t="str">
        <f t="array" ref="I111">XLOOKUP(C111,'Master Data'!C:C,'Master Data'!H:H)</f>
        <v>All that piece and parcel of Flat No. 102, admeasuring saleable area of 51.40 Sq. Mtrs. (i.e. 553 Sq. Ft.), situated on the 1st Floor, in the building known as “Jai Ganesh Apartment”, constructed on land bearing Survey No. 26, Hissa No. 3, admeasuring 04 Ares (i.e. 4000 Sq. Ft.), situated at Village Pimple Gurav, Taluka Haveli, District Pune, together with two-wheeler parking space.</v>
      </c>
      <c r="J111" s="91" t="s">
        <v>12</v>
      </c>
      <c r="K111" s="92"/>
      <c r="L111" s="92"/>
      <c r="M111" s="23" t="s">
        <v>857</v>
      </c>
      <c r="N111" s="23" t="s">
        <v>844</v>
      </c>
      <c r="O111" s="23"/>
    </row>
    <row r="112">
      <c r="A112" s="93">
        <f t="array" ref="A112">XLOOKUP(C112,'TSR Initiation'!C:C,'TSR Initiation'!A:A)</f>
        <v>670</v>
      </c>
      <c r="B112" s="71" t="s">
        <v>11</v>
      </c>
      <c r="C112" s="6">
        <v>7.792151864E9</v>
      </c>
      <c r="D112" s="88" t="str">
        <f t="array" ref="D112">XLOOKUP(C112,'Master Data'!C:C,'Master Data'!D:D)</f>
        <v>Wakad</v>
      </c>
      <c r="E112" s="71" t="str">
        <f t="array" ref="E112">XLOOKUP(C112,'TSR Initiation'!C:C,'TSR Initiation'!E:E)</f>
        <v>23.04.2026</v>
      </c>
      <c r="F112" s="88" t="str">
        <f t="array" ref="F112">XLOOKUP(C112,'Master Data'!C:C,'Master Data'!E:E)</f>
        <v>Vishnu Bhausaheb Lasure</v>
      </c>
      <c r="G112" s="89" t="str">
        <f t="array" ref="G112">XLOOKUP(C112,'Master Data'!C:C,'Master Data'!F:F)</f>
        <v>Anjana Vishnu Lasure</v>
      </c>
      <c r="H112" s="89" t="str">
        <f t="array" ref="H112">XLOOKUP(C112,'Master Data'!C:C,'Master Data'!G:G)</f>
        <v> Resale Commercial Lap</v>
      </c>
      <c r="I112" s="90" t="str">
        <f t="array" ref="I112">XLOOKUP(C112,'Master Data'!C:C,'Master Data'!H:H)</f>
        <v>All that piece and parcel of Shop/Gala No. 2, admeasuring approximately 240 Sq. Ft., situated on the Ground Floor in the building known as “Shankar Chhaya A”, constructed on land bearing Survey No. 92 (part), situated at Erandwane, Taluka Haveli, District Pune, within the limits of Pune Municipal Corporation.</v>
      </c>
      <c r="J112" s="91" t="s">
        <v>12</v>
      </c>
      <c r="K112" s="92"/>
      <c r="L112" s="92"/>
      <c r="M112" s="23" t="s">
        <v>857</v>
      </c>
      <c r="N112" s="23" t="s">
        <v>844</v>
      </c>
      <c r="O112" s="23"/>
    </row>
    <row r="113">
      <c r="A113" s="93">
        <f t="array" ref="A113">XLOOKUP(C113,'TSR Initiation'!C:C,'TSR Initiation'!A:A)</f>
        <v>671</v>
      </c>
      <c r="B113" s="71" t="s">
        <v>11</v>
      </c>
      <c r="C113" s="6">
        <v>7.792151866E9</v>
      </c>
      <c r="D113" s="88" t="str">
        <f t="array" ref="D113">XLOOKUP(C113,'Master Data'!C:C,'Master Data'!D:D)</f>
        <v>wakad</v>
      </c>
      <c r="E113" s="71" t="str">
        <f t="array" ref="E113">XLOOKUP(C113,'TSR Initiation'!C:C,'TSR Initiation'!E:E)</f>
        <v>23.04.2026</v>
      </c>
      <c r="F113" s="88" t="str">
        <f t="array" ref="F113">XLOOKUP(C113,'Master Data'!C:C,'Master Data'!E:E)</f>
        <v>Pankaj prakash chand Jangid </v>
      </c>
      <c r="G113" s="89" t="str">
        <f t="array" ref="G113">XLOOKUP(C113,'Master Data'!C:C,'Master Data'!F:F)</f>
        <v> PRAKASH CHAND SOHANLALJI JANGID</v>
      </c>
      <c r="H113" s="89" t="str">
        <f t="array" ref="H113">XLOOKUP(C113,'Master Data'!C:C,'Master Data'!G:G)</f>
        <v>LAP</v>
      </c>
      <c r="I113" s="90" t="str">
        <f t="array" ref="I113">XLOOKUP(C113,'Master Data'!C:C,'Master Data'!H:H)</f>
        <v>All that piece and parcel of Flat No. 613, admeasuring Carpet Area 56.82 Sq. Mtrs., along with Enclosed Balcony area admeasuring 4.19 Sq. Mtrs., adjoining Terrace area admeasuring 5.44 Sq. Mtrs. and Dry Balcony area admeasuring 2.76 Sq. Mtrs., situated on the Sixth Floor in Building “A” of the project known as “Arun Ayon”, constructed on land bearing Survey Nos. 97/1A/1A/3, 97/1A/1A/4, 97/1A/1A/5, 97/1A/1A/6, 97/1A/1A/7, 97/1A/1A/11, 97/1A/1A/13 and 97/1A/1A/38, situated at Village Ravet, Taluka Haveli, District Pune, within the limits of Pimpri Chinchwad Municipal Corporation. Together with Covered Parking Space No. UD-7 on Upper Ground Floor, and along with proportionate undivided share in the land and all easements, rights and appurtenances thereto.</v>
      </c>
      <c r="J113" s="91" t="s">
        <v>12</v>
      </c>
      <c r="K113" s="92"/>
      <c r="L113" s="92"/>
      <c r="M113" s="23" t="s">
        <v>857</v>
      </c>
      <c r="N113" s="23" t="s">
        <v>844</v>
      </c>
      <c r="O113" s="23"/>
    </row>
    <row r="114">
      <c r="A114" s="93">
        <f t="array" ref="A114">XLOOKUP(C114,'TSR Initiation'!C:C,'TSR Initiation'!A:A)</f>
        <v>673</v>
      </c>
      <c r="B114" s="71" t="s">
        <v>11</v>
      </c>
      <c r="C114" s="23">
        <v>7.700026363E10</v>
      </c>
      <c r="D114" s="88" t="str">
        <f t="array" ref="D114">XLOOKUP(C114,'Master Data'!C:C,'Master Data'!D:D)</f>
        <v>Hadapsar</v>
      </c>
      <c r="E114" s="71" t="str">
        <f t="array" ref="E114">XLOOKUP(C114,'TSR Initiation'!C:C,'TSR Initiation'!E:E)</f>
        <v>24.04.2026</v>
      </c>
      <c r="F114" s="88" t="str">
        <f t="array" ref="F114">XLOOKUP(C114,'Master Data'!C:C,'Master Data'!E:E)</f>
        <v> Manesh Tarachand Khaire</v>
      </c>
      <c r="G114" s="89" t="str">
        <f t="array" ref="G114">XLOOKUP(C114,'Master Data'!C:C,'Master Data'!F:F)</f>
        <v>Reshma Manesh Khaire</v>
      </c>
      <c r="H114" s="89" t="str">
        <f t="array" ref="H114">XLOOKUP(C114,'Master Data'!C:C,'Master Data'!G:G)</f>
        <v>LAP</v>
      </c>
      <c r="I114" s="90" t="str">
        <f t="array" ref="I114">XLOOKUP(C114,'Master Data'!C:C,'Master Data'!H:H)</f>
        <v>All that piece and parcel of property bearing Flat No. 14, having an area admeasuring 39.94 Sq. Mtrs. i.e. 430 Sq. Ft. (Carpet Area), situated on the Third Floor, in Building/Wing No. A, Building No. 12, out of the project known as “Dreams Nivara Phase II”, constructed on the entire land property bearing Gat No. 528 and Gat No. 529, situated at Village – Koregaon-Mul, Taluka – Haveli, District – Pune.</v>
      </c>
      <c r="J114" s="91" t="s">
        <v>12</v>
      </c>
      <c r="K114" s="92"/>
      <c r="L114" s="92"/>
      <c r="M114" s="23" t="s">
        <v>857</v>
      </c>
      <c r="N114" s="23" t="s">
        <v>845</v>
      </c>
      <c r="O114" s="23"/>
    </row>
    <row r="115">
      <c r="A115" s="93">
        <f t="array" ref="A115">XLOOKUP(C115,'TSR Initiation'!C:C,'TSR Initiation'!A:A)</f>
        <v>675</v>
      </c>
      <c r="B115" s="71" t="s">
        <v>11</v>
      </c>
      <c r="C115" s="26">
        <v>7.7000259062E10</v>
      </c>
      <c r="D115" s="88" t="str">
        <f t="array" ref="D115">XLOOKUP(C115,'Master Data'!C:C,'Master Data'!D:D)</f>
        <v>Main</v>
      </c>
      <c r="E115" s="71" t="str">
        <f t="array" ref="E115">XLOOKUP(C115,'TSR Initiation'!C:C,'TSR Initiation'!E:E)</f>
        <v>24.04.2026</v>
      </c>
      <c r="F115" s="88" t="str">
        <f t="array" ref="F115">XLOOKUP(C115,'Master Data'!C:C,'Master Data'!E:E)</f>
        <v> Rohini Inchale </v>
      </c>
      <c r="G115" s="89" t="str">
        <f t="array" ref="G115">XLOOKUP(C115,'Master Data'!C:C,'Master Data'!F:F)</f>
        <v>Anil Inchale </v>
      </c>
      <c r="H115" s="89" t="str">
        <f t="array" ref="H115">XLOOKUP(C115,'Master Data'!C:C,'Master Data'!G:G)</f>
        <v>Resale Purchase</v>
      </c>
      <c r="I115" s="90" t="str">
        <f t="array" ref="I115">XLOOKUP(C115,'Master Data'!C:C,'Master Data'!H:H)</f>
        <v>All that piece and parcel of property bearing Flat No. 401, having a carpet area admeasuring 24.71 Square Meters (i.e. 266 Square Feet) along with terrace area admeasuring 88 Square Feet (i.e. 40.31 Square Meters built-up saleable area), situated on the 4th Floor, in “Renuka Heritage – Building C”, constructed on the land bearing CTS No. 170A/5+170B, admeasuring area 213.68 Square Meters, situated at Parvati, Taluka Haveli, District Pune, within the local limits of Pune Municipal Corporation and within the registration limits of Sub-Registrar District Pune.</v>
      </c>
      <c r="J115" s="91" t="s">
        <v>12</v>
      </c>
      <c r="K115" s="92"/>
      <c r="L115" s="92"/>
      <c r="M115" s="23" t="s">
        <v>857</v>
      </c>
      <c r="N115" s="23" t="s">
        <v>845</v>
      </c>
      <c r="O115" s="23"/>
    </row>
    <row r="116">
      <c r="A116" s="93">
        <f t="array" ref="A116">XLOOKUP(C116,'TSR Initiation'!C:C,'TSR Initiation'!A:A)</f>
        <v>676</v>
      </c>
      <c r="B116" s="71" t="s">
        <v>11</v>
      </c>
      <c r="C116" s="6">
        <v>7.7000261187E10</v>
      </c>
      <c r="D116" s="88" t="str">
        <f t="array" ref="D116">XLOOKUP(C116,'Master Data'!C:C,'Master Data'!D:D)</f>
        <v>Kharadi</v>
      </c>
      <c r="E116" s="71" t="str">
        <f t="array" ref="E116">XLOOKUP(C116,'TSR Initiation'!C:C,'TSR Initiation'!E:E)</f>
        <v>24.04.2026</v>
      </c>
      <c r="F116" s="88" t="str">
        <f t="array" ref="F116">XLOOKUP(C116,'Master Data'!C:C,'Master Data'!E:E)</f>
        <v>Dhiraj sanjay shinde </v>
      </c>
      <c r="G116" s="89" t="str">
        <f t="array" ref="G116">XLOOKUP(C116,'Master Data'!C:C,'Master Data'!F:F)</f>
        <v>Prajakta Diraj shinde</v>
      </c>
      <c r="H116" s="89" t="str">
        <f t="array" ref="H116">XLOOKUP(C116,'Master Data'!C:C,'Master Data'!G:G)</f>
        <v/>
      </c>
      <c r="I116" s="90" t="str">
        <f t="array" ref="I116">XLOOKUP(C116,'Master Data'!C:C,'Master Data'!H:H)</f>
        <v>All that piece and parcel of property bearing Flat No. 803, having an area admeasuring of 59.89 sq. mtrs., i.e. 644.65 sq. feet carpet area, situated on the 8th Floor, in Wing No. “D”, out of the project known as “Satyam Prima”, constructed on the entire land property, i.e. S. No. 80/2/5, 80/2/4 and 80/2/3, all situated at Village – Manjari Budruk, Taluka – Haveli, District – Pune.</v>
      </c>
      <c r="J116" s="91" t="s">
        <v>12</v>
      </c>
      <c r="K116" s="92"/>
      <c r="L116" s="92"/>
      <c r="M116" s="23" t="s">
        <v>857</v>
      </c>
      <c r="N116" s="23" t="s">
        <v>845</v>
      </c>
      <c r="O116" s="23"/>
    </row>
    <row r="117">
      <c r="A117" s="93">
        <f t="array" ref="A117">XLOOKUP(C117,'TSR Initiation'!C:C,'TSR Initiation'!A:A)</f>
        <v>677</v>
      </c>
      <c r="B117" s="71" t="s">
        <v>11</v>
      </c>
      <c r="C117" s="6">
        <v>7.7000265402E10</v>
      </c>
      <c r="D117" s="88" t="str">
        <f t="array" ref="D117">XLOOKUP(C117,'Master Data'!C:C,'Master Data'!D:D)</f>
        <v>Kharadi</v>
      </c>
      <c r="E117" s="71" t="str">
        <f t="array" ref="E117">XLOOKUP(C117,'TSR Initiation'!C:C,'TSR Initiation'!E:E)</f>
        <v>26.04.2026</v>
      </c>
      <c r="F117" s="88" t="str">
        <f t="array" ref="F117">XLOOKUP(C117,'Master Data'!C:C,'Master Data'!E:E)</f>
        <v>JAVED SAYYED</v>
      </c>
      <c r="G117" s="89" t="str">
        <f t="array" ref="G117">XLOOKUP(C117,'Master Data'!C:C,'Master Data'!F:F)</f>
        <v/>
      </c>
      <c r="H117" s="89" t="str">
        <f t="array" ref="H117">XLOOKUP(C117,'Master Data'!C:C,'Master Data'!G:G)</f>
        <v>RESAL PURCHASE </v>
      </c>
      <c r="I117" s="90" t="str">
        <f t="array" ref="I117">XLOOKUP(C117,'Master Data'!C:C,'Master Data'!H:H)</f>
        <v>All that piece and parcel of land and ground situated within the Registration Sub-District Taluka Haveli, District Pune and within the limits of Pune Municipal Corporation, bearing Survey No. 46 (Part) and Survey No. 62 (Part) at Village Kondhwa Khurd, admeasuring in aggregate 26,100 sq. mtrs., out of which a Community Co-operative Housing Society has been constructed and allotted Plot No. A-83, admeasuring 2000 sq. ft., together with a bungalow/unit constructed thereon having built-up area 675 sq. ft. (i.e. 52.70 sq. mtrs.)</v>
      </c>
      <c r="J117" s="91" t="s">
        <v>12</v>
      </c>
      <c r="K117" s="92"/>
      <c r="L117" s="92"/>
      <c r="M117" s="23" t="s">
        <v>857</v>
      </c>
      <c r="N117" s="23" t="s">
        <v>845</v>
      </c>
      <c r="O117" s="23"/>
    </row>
    <row r="118">
      <c r="A118" s="93">
        <f t="array" ref="A118">XLOOKUP(C118,'TSR Initiation'!C:C,'TSR Initiation'!A:A)</f>
        <v>678</v>
      </c>
      <c r="B118" s="71" t="s">
        <v>11</v>
      </c>
      <c r="C118" s="63">
        <v>7.700026819E10</v>
      </c>
      <c r="D118" s="88" t="str">
        <f t="array" ref="D118">XLOOKUP(C118,'Master Data'!C:C,'Master Data'!D:D)</f>
        <v>Chinchwad</v>
      </c>
      <c r="E118" s="71" t="str">
        <f t="array" ref="E118">XLOOKUP(C118,'TSR Initiation'!C:C,'TSR Initiation'!E:E)</f>
        <v>28.04.2026</v>
      </c>
      <c r="F118" s="88" t="str">
        <f t="array" ref="F118">XLOOKUP(C118,'Master Data'!C:C,'Master Data'!E:E)</f>
        <v>PRAVIN GANGADHARRAO SONTAKKE</v>
      </c>
      <c r="G118" s="89" t="str">
        <f t="array" ref="G118">XLOOKUP(C118,'Master Data'!C:C,'Master Data'!F:F)</f>
        <v>Sheetal Pravin sontakke</v>
      </c>
      <c r="H118" s="89" t="str">
        <f t="array" ref="H118">XLOOKUP(C118,'Master Data'!C:C,'Master Data'!G:G)</f>
        <v>Builder purchase HL</v>
      </c>
      <c r="I118" s="90" t="str">
        <f t="array" ref="I118">XLOOKUP(C118,'Master Data'!C:C,'Master Data'!H:H)</f>
        <v>All that piece and parcel of property bearing Flat No. A3/B-709, having an area admeasuring of 78.04 Sq. Mtrs. (i.e. 840 Sq. Ft. Carpet Area), situated on the 7th Floor, in Building/Wing No. A3, Wing B, out of the project known as “Aditya Vivaaz”, constructed/to be constructed on the entire land property, i.e. Survey No. 92 (Part), situated at Village – Ravet, Taluka – Haveli, District – Pune and within local limits of Pimpri Chinchwad Municipal Corporation.</v>
      </c>
      <c r="J118" s="91" t="s">
        <v>12</v>
      </c>
      <c r="K118" s="92"/>
      <c r="L118" s="92"/>
      <c r="M118" s="23" t="s">
        <v>857</v>
      </c>
      <c r="N118" s="23" t="s">
        <v>845</v>
      </c>
      <c r="O118" s="23"/>
    </row>
    <row r="119">
      <c r="A119" s="93">
        <f t="array" ref="A119">XLOOKUP(C119,'TSR Initiation'!C:C,'TSR Initiation'!A:A)</f>
        <v>680</v>
      </c>
      <c r="B119" s="71" t="s">
        <v>11</v>
      </c>
      <c r="C119" s="55">
        <v>7.7000262716E10</v>
      </c>
      <c r="D119" s="88" t="str">
        <f t="array" ref="D119">XLOOKUP(C119,'Master Data'!C:C,'Master Data'!D:D)</f>
        <v>Wakad</v>
      </c>
      <c r="E119" s="71" t="str">
        <f t="array" ref="E119">XLOOKUP(C119,'TSR Initiation'!C:C,'TSR Initiation'!E:E)</f>
        <v>25.04.2026</v>
      </c>
      <c r="F119" s="88" t="str">
        <f t="array" ref="F119">XLOOKUP(C119,'Master Data'!C:C,'Master Data'!E:E)</f>
        <v>Mr. Kalim Fatemohammad Shaikh</v>
      </c>
      <c r="G119" s="89" t="str">
        <f t="array" ref="G119">XLOOKUP(C119,'Master Data'!C:C,'Master Data'!F:F)</f>
        <v>Rajiya Kalim Shaikh</v>
      </c>
      <c r="H119" s="89" t="str">
        <f t="array" ref="H119">XLOOKUP(C119,'Master Data'!C:C,'Master Data'!G:G)</f>
        <v>Resale</v>
      </c>
      <c r="I119" s="90" t="str">
        <f t="array" ref="I119">XLOOKUP(C119,'Master Data'!C:C,'Master Data'!H:H)</f>
        <v>All that piece and parcel of land admeasuring of H. 00-01 Ares, i.e. 100 sq. mtrs., and the construction of RCC residential housing having built-up area admeasuring of 177.33 sq. mtrs., out of Survey No. 140/6, having total area admeasuring of H. 00-03 Ares, assessed at Rs. 00-06 Paise, situated at Village – Chinchwad, Taluka – Haveli, District – Pune and within local limits of Pimpri Chinchwad Municipal Corporation, Pimpri</v>
      </c>
      <c r="J119" s="91" t="s">
        <v>12</v>
      </c>
      <c r="K119" s="92"/>
      <c r="L119" s="92"/>
      <c r="M119" s="23" t="s">
        <v>857</v>
      </c>
      <c r="N119" s="23" t="s">
        <v>845</v>
      </c>
      <c r="O119" s="23"/>
    </row>
    <row r="120">
      <c r="A120" s="93">
        <f t="array" ref="A120">XLOOKUP(C120,'TSR Initiation'!C:C,'TSR Initiation'!A:A)</f>
        <v>681</v>
      </c>
      <c r="B120" s="71" t="s">
        <v>11</v>
      </c>
      <c r="C120" s="6">
        <v>7.7000256651E10</v>
      </c>
      <c r="D120" s="88" t="str">
        <f t="array" ref="D120">XLOOKUP(C120,'Master Data'!C:C,'Master Data'!D:D)</f>
        <v>Baner</v>
      </c>
      <c r="E120" s="71" t="str">
        <f t="array" ref="E120">XLOOKUP(C120,'TSR Initiation'!C:C,'TSR Initiation'!E:E)</f>
        <v>25.04.2026</v>
      </c>
      <c r="F120" s="88" t="str">
        <f t="array" ref="F120">XLOOKUP(C120,'Master Data'!C:C,'Master Data'!E:E)</f>
        <v>Mallikarjun Jattappa Mendgudli</v>
      </c>
      <c r="G120" s="89" t="str">
        <f t="array" ref="G120">XLOOKUP(C120,'Master Data'!C:C,'Master Data'!F:F)</f>
        <v/>
      </c>
      <c r="H120" s="89" t="str">
        <f t="array" ref="H120">XLOOKUP(C120,'Master Data'!C:C,'Master Data'!G:G)</f>
        <v>Resale home loan</v>
      </c>
      <c r="I120" s="90" t="str">
        <f t="array" ref="I120">XLOOKUP(C120,'Master Data'!C:C,'Master Data'!H:H)</f>
        <v>All that piece and parcel of property bearing Flat No. 04, having an area admeasuring of 400 sq. ft. (i.e. 37.19 sq. mtrs.), situated on the First Floor, in the building known as “Shivdatta Apartment”, constructed on the land bearing Survey No. 30/7 and 30/7/3, situated at Village – Ambegaon Budruk, Taluka – Haveli, District – Pune and within the local limits of Pune Municipal Corporation.</v>
      </c>
      <c r="J120" s="91" t="s">
        <v>12</v>
      </c>
      <c r="K120" s="92"/>
      <c r="L120" s="92"/>
      <c r="M120" s="23" t="s">
        <v>857</v>
      </c>
      <c r="N120" s="23" t="s">
        <v>846</v>
      </c>
      <c r="O120" s="23"/>
    </row>
    <row r="121">
      <c r="A121" s="93">
        <f t="array" ref="A121">XLOOKUP(C121,'TSR Initiation'!C:C,'TSR Initiation'!A:A)</f>
        <v>682</v>
      </c>
      <c r="B121" s="71" t="s">
        <v>11</v>
      </c>
      <c r="C121" s="6">
        <v>7.700024785E10</v>
      </c>
      <c r="D121" s="88" t="str">
        <f t="array" ref="D121">XLOOKUP(C121,'Master Data'!C:C,'Master Data'!D:D)</f>
        <v>Baner</v>
      </c>
      <c r="E121" s="71" t="str">
        <f t="array" ref="E121">XLOOKUP(C121,'TSR Initiation'!C:C,'TSR Initiation'!E:E)</f>
        <v>25.04.2026</v>
      </c>
      <c r="F121" s="88" t="str">
        <f t="array" ref="F121">XLOOKUP(C121,'Master Data'!C:C,'Master Data'!E:E)</f>
        <v>Vithal Tandale</v>
      </c>
      <c r="G121" s="89" t="str">
        <f t="array" ref="G121">XLOOKUP(C121,'Master Data'!C:C,'Master Data'!F:F)</f>
        <v>bharti shirsath</v>
      </c>
      <c r="H121" s="89" t="str">
        <f t="array" ref="H121">XLOOKUP(C121,'Master Data'!C:C,'Master Data'!G:G)</f>
        <v> Resale </v>
      </c>
      <c r="I121" s="90" t="str">
        <f t="array" ref="I121">XLOOKUP(C121,'Master Data'!C:C,'Master Data'!H:H)</f>
        <v>All that piece and parcel of property bearing Flat No. A-604, having an area admeasuring of 51.67 sq. mtrs. (i.e. 556 sq. ft. carpet area) along with attached terrace admeasuring 9.94 sq. mtrs. (i.e. 107 sq. ft.) and saleable area admeasuring 82.25 sq. mtrs. (i.e. 885 sq. ft.), situated on the Sixth Floor, in Building/Wing No. A, out of the project known as “Oxy Valley Phase II Co-Operative Housing Society Ltd.”, constructed on the entire land property bearing Gat No. 743, Old Gat No. 744 and Gat No. 744/1 (Old Gat No. 745/1), situated at Village – Wagholi, Taluka – Haveli, District – Pune.</v>
      </c>
      <c r="J121" s="91" t="s">
        <v>12</v>
      </c>
      <c r="K121" s="92"/>
      <c r="L121" s="92"/>
      <c r="M121" s="23" t="s">
        <v>857</v>
      </c>
      <c r="N121" s="23" t="s">
        <v>846</v>
      </c>
      <c r="O121" s="23"/>
    </row>
    <row r="122">
      <c r="A122" s="93">
        <f t="array" ref="A122">XLOOKUP(C122,'TSR Initiation'!C:C,'TSR Initiation'!A:A)</f>
        <v>683</v>
      </c>
      <c r="B122" s="71" t="s">
        <v>11</v>
      </c>
      <c r="C122" s="6">
        <v>7.7000264699E10</v>
      </c>
      <c r="D122" s="88" t="str">
        <f t="array" ref="D122">XLOOKUP(C122,'Master Data'!C:C,'Master Data'!D:D)</f>
        <v>Baner</v>
      </c>
      <c r="E122" s="71" t="str">
        <f t="array" ref="E122">XLOOKUP(C122,'TSR Initiation'!C:C,'TSR Initiation'!E:E)</f>
        <v>25.04.2026</v>
      </c>
      <c r="F122" s="88" t="str">
        <f t="array" ref="F122">XLOOKUP(C122,'Master Data'!C:C,'Master Data'!E:E)</f>
        <v>Vishal Babasaheb Jadhav</v>
      </c>
      <c r="G122" s="89" t="str">
        <f t="array" ref="G122">XLOOKUP(C122,'Master Data'!C:C,'Master Data'!F:F)</f>
        <v>Pradnya Vishal Jadhav</v>
      </c>
      <c r="H122" s="89" t="str">
        <f t="array" ref="H122">XLOOKUP(C122,'Master Data'!C:C,'Master Data'!G:G)</f>
        <v> BT+TopUp</v>
      </c>
      <c r="I122" s="90" t="str">
        <f t="array" ref="I122">XLOOKUP(C122,'Master Data'!C:C,'Master Data'!H:H)</f>
        <v>All that piece and parcel of property bearing Flat No. 21, having an area admeasuring of 444 sq. ft. (i.e. 41.26 sq. mtrs. built-up area), situated on the Fourth Floor, in Building No. 5, out of the project known as “Runwal Park Co-operative Housing Society Ltd.”, constructed on the entire land property bearing Survey No. 580/581, CTS No. 3223, Plot No. R-9 (A+B), situated at Village – Munjeri Bibwewadi, Taluka – Haveli, District – Pune and within local limits of Pune Municipal Corporation.</v>
      </c>
      <c r="J122" s="91" t="s">
        <v>12</v>
      </c>
      <c r="K122" s="92"/>
      <c r="L122" s="92"/>
      <c r="M122" s="23" t="s">
        <v>857</v>
      </c>
      <c r="N122" s="23" t="s">
        <v>846</v>
      </c>
      <c r="O122" s="23"/>
    </row>
    <row r="123">
      <c r="A123" s="93">
        <f t="array" ref="A123">XLOOKUP(C123,'TSR Initiation'!C:C,'TSR Initiation'!A:A)</f>
        <v>684</v>
      </c>
      <c r="B123" s="71" t="s">
        <v>11</v>
      </c>
      <c r="C123" s="6">
        <v>7.7000263796E10</v>
      </c>
      <c r="D123" s="88" t="str">
        <f t="array" ref="D123">XLOOKUP(C123,'Master Data'!C:C,'Master Data'!D:D)</f>
        <v>Main</v>
      </c>
      <c r="E123" s="71" t="str">
        <f t="array" ref="E123">XLOOKUP(C123,'TSR Initiation'!C:C,'TSR Initiation'!E:E)</f>
        <v>28.04.2026</v>
      </c>
      <c r="F123" s="88" t="str">
        <f t="array" ref="F123">XLOOKUP(C123,'Master Data'!C:C,'Master Data'!E:E)</f>
        <v>Dipak Baban Mangade</v>
      </c>
      <c r="G123" s="89" t="str">
        <f t="array" ref="G123">XLOOKUP(C123,'Master Data'!C:C,'Master Data'!F:F)</f>
        <v>Priti Dipak Mangade</v>
      </c>
      <c r="H123" s="89" t="str">
        <f t="array" ref="H123">XLOOKUP(C123,'Master Data'!C:C,'Master Data'!G:G)</f>
        <v>Builder Purchase</v>
      </c>
      <c r="I123" s="90" t="str">
        <f t="array" ref="I123">XLOOKUP(C123,'Master Data'!C:C,'Master Data'!H:H)</f>
        <v>All that piece and parcel of property bearing Flat No. 808, having an area admeasuring of 447.03 sq. ft. (i.e. 41.53 sq. mtrs. carpet area) along with balcony area admeasuring 33.26 sq. ft. (i.e. 3.09 sq. mtrs.), situated on the 8th Floor, in Building “Amruta Vihar”, out of the project known as “AMRUTA VIHAR”, constructed/to be constructed on the entire land property bearing Survey No. 132/1/1A, situated at Village – Dhayari, Taluka – Haveli, District – Pune and within local limits of Pune Municipal Corporation.</v>
      </c>
      <c r="J123" s="91" t="s">
        <v>12</v>
      </c>
      <c r="K123" s="92"/>
      <c r="L123" s="92"/>
      <c r="M123" s="23" t="s">
        <v>857</v>
      </c>
      <c r="N123" s="23" t="s">
        <v>846</v>
      </c>
      <c r="O123" s="23"/>
    </row>
    <row r="124">
      <c r="A124" s="93">
        <f t="array" ref="A124">XLOOKUP(C124,'TSR Initiation'!C:C,'TSR Initiation'!A:A)</f>
        <v>685</v>
      </c>
      <c r="B124" s="71" t="s">
        <v>11</v>
      </c>
      <c r="C124" s="6">
        <v>7.7000265151E10</v>
      </c>
      <c r="D124" s="88" t="str">
        <f t="array" ref="D124">XLOOKUP(C124,'Master Data'!C:C,'Master Data'!D:D)</f>
        <v>vishrantwadi</v>
      </c>
      <c r="E124" s="71" t="str">
        <f t="array" ref="E124">XLOOKUP(C124,'TSR Initiation'!C:C,'TSR Initiation'!E:E)</f>
        <v>25.04.2026</v>
      </c>
      <c r="F124" s="88" t="str">
        <f t="array" ref="F124">XLOOKUP(C124,'Master Data'!C:C,'Master Data'!E:E)</f>
        <v>NINAD NAIKWADE</v>
      </c>
      <c r="G124" s="89" t="str">
        <f t="array" ref="G124">XLOOKUP(C124,'Master Data'!C:C,'Master Data'!F:F)</f>
        <v>SANJAY NAIKWADE</v>
      </c>
      <c r="H124" s="89" t="str">
        <f t="array" ref="H124">XLOOKUP(C124,'Master Data'!C:C,'Master Data'!G:G)</f>
        <v>Commercial LAP</v>
      </c>
      <c r="I124" s="90" t="str">
        <f t="array" ref="I124">XLOOKUP(C124,'Master Data'!C:C,'Master Data'!H:H)</f>
        <v>All that piece and parcel of property bearing Shop No. 02, having an area admeasuring 221.25 sq. ft. (i.e. 20.56 sq. mtrs. carpet area) and 310 sq. ft. built-up area, situated on the Lower Ground Floor, in the building known as “ABC Junction H-9 Co-operative Housing Society Ltd.”, constructed on the land bearing Plot No. H-9, Akurdi District Center, situated at Village – Akurdi, Taluka – Haveli, District – Pune and within the local limits of Pimpri Chinchwad Municipal Corporation.</v>
      </c>
      <c r="J124" s="91" t="s">
        <v>12</v>
      </c>
      <c r="K124" s="92"/>
      <c r="L124" s="92"/>
      <c r="M124" s="23" t="s">
        <v>857</v>
      </c>
      <c r="N124" s="23" t="s">
        <v>846</v>
      </c>
      <c r="O124" s="23"/>
    </row>
    <row r="125">
      <c r="A125" s="93">
        <f t="array" ref="A125">XLOOKUP(C125,'TSR Initiation'!C:C,'TSR Initiation'!A:A)</f>
        <v>674</v>
      </c>
      <c r="B125" s="71" t="s">
        <v>11</v>
      </c>
      <c r="C125" s="52">
        <v>7.7000266081E10</v>
      </c>
      <c r="D125" s="88" t="str">
        <f t="array" ref="D125">XLOOKUP(C125,'Master Data'!C:C,'Master Data'!D:D)</f>
        <v>Chinchwad</v>
      </c>
      <c r="E125" s="71" t="str">
        <f t="array" ref="E125">XLOOKUP(C125,'TSR Initiation'!C:C,'TSR Initiation'!E:E)</f>
        <v>25.04.2026</v>
      </c>
      <c r="F125" s="88" t="str">
        <f t="array" ref="F125">XLOOKUP(C125,'Master Data'!C:C,'Master Data'!E:E)</f>
        <v>CHIRAG RAVINDRA THORAVE</v>
      </c>
      <c r="G125" s="89" t="str">
        <f t="array" ref="G125">XLOOKUP(C125,'Master Data'!C:C,'Master Data'!F:F)</f>
        <v>RAVINDRA TUKARAM THORAVE</v>
      </c>
      <c r="H125" s="89" t="str">
        <f t="array" ref="H125">XLOOKUP(C125,'Master Data'!C:C,'Master Data'!G:G)</f>
        <v/>
      </c>
      <c r="I125" s="90" t="str">
        <f t="array" ref="I125">XLOOKUP(C125,'Master Data'!C:C,'Master Data'!H:H)</f>
        <v>All that piece and parcel of property admeasuring of H. 00-15 Ares, out of Gat No. 520/4, having an area admeasuring of H. 00-60 Ares, assessed at Rs. 02-18 Paise, situated at Village – Charoli Khurd, Taluka – Khed, District – Pune.</v>
      </c>
      <c r="J125" s="91" t="s">
        <v>12</v>
      </c>
      <c r="K125" s="92"/>
      <c r="L125" s="92"/>
      <c r="M125" s="23" t="s">
        <v>857</v>
      </c>
      <c r="N125" s="23" t="s">
        <v>846</v>
      </c>
      <c r="O125" s="23"/>
    </row>
    <row r="126">
      <c r="A126" s="93">
        <f t="array" ref="A126">XLOOKUP(C126,'TSR Initiation'!C:C,'TSR Initiation'!A:A)</f>
        <v>686</v>
      </c>
      <c r="B126" s="71" t="s">
        <v>11</v>
      </c>
      <c r="C126" s="6">
        <v>7.7000264605E10</v>
      </c>
      <c r="D126" s="88" t="str">
        <f t="array" ref="D126">XLOOKUP(C126,'Master Data'!C:C,'Master Data'!D:D)</f>
        <v>Chinchwad</v>
      </c>
      <c r="E126" s="71" t="str">
        <f t="array" ref="E126">XLOOKUP(C126,'TSR Initiation'!C:C,'TSR Initiation'!E:E)</f>
        <v>27.04.2026</v>
      </c>
      <c r="F126" s="88" t="str">
        <f t="array" ref="F126">XLOOKUP(C126,'Master Data'!C:C,'Master Data'!E:E)</f>
        <v>Sandip Raghnunath Gore</v>
      </c>
      <c r="G126" s="89" t="str">
        <f t="array" ref="G126">XLOOKUP(C126,'Master Data'!C:C,'Master Data'!F:F)</f>
        <v>Kalyani Keshav Hirave</v>
      </c>
      <c r="H126" s="89" t="str">
        <f t="array" ref="H126">XLOOKUP(C126,'Master Data'!C:C,'Master Data'!G:G)</f>
        <v>HL</v>
      </c>
      <c r="I126" s="90" t="str">
        <f t="array" ref="I126">XLOOKUP(C126,'Master Data'!C:C,'Master Data'!H:H)</f>
        <v>All that piece and parcel of property bearing Flat No. 203, having an area admeasuring of 33.37 sq. mtrs. carpet area plus 13.39 sq. mtrs. balcony area aggregating to 46.76 sq. mtrs. (i.e. 503.32 sq. ft.), situated on the 2nd Floor, out of the project known as “DATTASHREE”, constructed/to be constructed on the entire land property bearing Survey No. 37 Hissa No. 5/7 and Survey No. 37 Hissa No. 5/9, situated at Village – Warje, Taluka – Haveli, District – Pune and within local limits of Pune Municipal Corporation.</v>
      </c>
      <c r="J126" s="91" t="s">
        <v>12</v>
      </c>
      <c r="K126" s="92"/>
      <c r="L126" s="92"/>
      <c r="M126" s="23" t="s">
        <v>857</v>
      </c>
      <c r="N126" s="23" t="s">
        <v>846</v>
      </c>
      <c r="O126" s="23"/>
    </row>
    <row r="127">
      <c r="A127" s="93">
        <f t="array" ref="A127">XLOOKUP(C127,'TSR Initiation'!C:C,'TSR Initiation'!A:A)</f>
        <v>687</v>
      </c>
      <c r="B127" s="71" t="s">
        <v>11</v>
      </c>
      <c r="C127" s="6">
        <v>7.7000253088E10</v>
      </c>
      <c r="D127" s="88" t="str">
        <f t="array" ref="D127">XLOOKUP(C127,'Master Data'!C:C,'Master Data'!D:D)</f>
        <v>HFC Siliguri Branch</v>
      </c>
      <c r="E127" s="71" t="str">
        <f t="array" ref="E127">XLOOKUP(C127,'TSR Initiation'!C:C,'TSR Initiation'!E:E)</f>
        <v>27.04.2026</v>
      </c>
      <c r="F127" s="88" t="str">
        <f t="array" ref="F127">XLOOKUP(C127,'Master Data'!C:C,'Master Data'!E:E)</f>
        <v>Kuljeet Singh </v>
      </c>
      <c r="G127" s="89" t="str">
        <f t="array" ref="G127">XLOOKUP(C127,'Master Data'!C:C,'Master Data'!F:F)</f>
        <v>Paramjit Singh </v>
      </c>
      <c r="H127" s="89" t="str">
        <f t="array" ref="H127">XLOOKUP(C127,'Master Data'!C:C,'Master Data'!G:G)</f>
        <v>Regular Home Loan Seller BT</v>
      </c>
      <c r="I127" s="90" t="str">
        <f t="array" ref="I127">XLOOKUP(C127,'Master Data'!C:C,'Master Data'!H:H)</f>
        <v>All that piece and parcel of property bearing Flat No. 703, having an area admeasuring of 38.55 sq. mtrs. carpet area (equivalent to 415 sq. ft.) inclusive of balcony area, situated on the Seventh Floor, in Building/Wing No. A-3, out of the project known as “Xrbia Hinjewadi”, constructed/to be constructed on the entire land property bearing Plot No. R-29 (out of sanctioned layout of larger land), situated at Village – Dattawadi, Taluka – Mulshi, District – Pune and within local limits of Gram Panchayat, Dattawadi.</v>
      </c>
      <c r="J127" s="91" t="s">
        <v>12</v>
      </c>
      <c r="K127" s="92"/>
      <c r="L127" s="92"/>
      <c r="M127" s="23" t="s">
        <v>857</v>
      </c>
      <c r="N127" s="23" t="s">
        <v>846</v>
      </c>
      <c r="O127" s="23"/>
    </row>
    <row r="128">
      <c r="A128" s="93">
        <f t="array" ref="A128">XLOOKUP(C128,'TSR Initiation'!C:C,'TSR Initiation'!A:A)</f>
        <v>679</v>
      </c>
      <c r="B128" s="71" t="s">
        <v>11</v>
      </c>
      <c r="C128" s="6">
        <v>7.70002597E10</v>
      </c>
      <c r="D128" s="88" t="str">
        <f t="array" ref="D128">XLOOKUP(C128,'Master Data'!C:C,'Master Data'!D:D)</f>
        <v>Baner</v>
      </c>
      <c r="E128" s="71" t="str">
        <f t="array" ref="E128">XLOOKUP(C128,'TSR Initiation'!C:C,'TSR Initiation'!E:E)</f>
        <v>28.04.2026</v>
      </c>
      <c r="F128" s="88" t="str">
        <f t="array" ref="F128">XLOOKUP(C128,'Master Data'!C:C,'Master Data'!E:E)</f>
        <v> DINESH EKNATH IRALE</v>
      </c>
      <c r="G128" s="89" t="str">
        <f t="array" ref="G128">XLOOKUP(C128,'Master Data'!C:C,'Master Data'!F:F)</f>
        <v>MADHURI DINESH IRALE</v>
      </c>
      <c r="H128" s="89" t="str">
        <f t="array" ref="H128">XLOOKUP(C128,'Master Data'!C:C,'Master Data'!G:G)</f>
        <v>Builder Purchase </v>
      </c>
      <c r="I128" s="90" t="str">
        <f t="array" ref="I128">XLOOKUP(C128,'Master Data'!C:C,'Master Data'!H:H)</f>
        <v>All that piece and parcel of property bearing Flat No. 302, having an area admeasuring of 45.54 sq. mtrs. (i.e. 490 sq. ft. carpet area), situated on the Third Floor, in Inclusive Housing EWS Building, out of the project known as “The Kings Way AOP EWS”, constructed/to be constructed on the entire land property bearing Survey No. 67-A, Hissa Nos. 6-A, 8-A, 8-B, 7-A, 9-A, 9-B, 10-A and 10-C (corresponding to CTS No. 805), situated at Village – Ghorpadi, Taluka – Pune City, District – Pune and within local limits of Pune Municipal Corporation.</v>
      </c>
      <c r="J128" s="91" t="s">
        <v>12</v>
      </c>
      <c r="K128" s="92"/>
      <c r="L128" s="92"/>
      <c r="M128" s="23" t="s">
        <v>857</v>
      </c>
      <c r="N128" s="23" t="s">
        <v>846</v>
      </c>
      <c r="O128" s="23"/>
    </row>
    <row r="129">
      <c r="A129" s="93">
        <f t="array" ref="A129">XLOOKUP(C129,'TSR Initiation'!C:C,'TSR Initiation'!A:A)</f>
        <v>688</v>
      </c>
      <c r="B129" s="71" t="s">
        <v>11</v>
      </c>
      <c r="C129" s="6">
        <v>7.7000264942E10</v>
      </c>
      <c r="D129" s="88" t="str">
        <f t="array" ref="D129">XLOOKUP(C129,'Master Data'!C:C,'Master Data'!D:D)</f>
        <v>Baner</v>
      </c>
      <c r="E129" s="71" t="str">
        <f t="array" ref="E129">XLOOKUP(C129,'TSR Initiation'!C:C,'TSR Initiation'!E:E)</f>
        <v>29.04.2026</v>
      </c>
      <c r="F129" s="88" t="str">
        <f t="array" ref="F129">XLOOKUP(C129,'Master Data'!C:C,'Master Data'!E:E)</f>
        <v>Vijay Chakravarti</v>
      </c>
      <c r="G129" s="89" t="str">
        <f t="array" ref="G129">XLOOKUP(C129,'Master Data'!C:C,'Master Data'!F:F)</f>
        <v/>
      </c>
      <c r="H129" s="89" t="str">
        <f t="array" ref="H129">XLOOKUP(C129,'Master Data'!C:C,'Master Data'!G:G)</f>
        <v>LAP</v>
      </c>
      <c r="I129" s="90" t="str">
        <f t="array" ref="I129">XLOOKUP(C129,'Master Data'!C:C,'Master Data'!H:H)</f>
        <v>All that piece and parcel of property bearing Survey No. 67/1B/4/1/43, having an area admeasuring of H. 00-01 Ares, i.e. 100 sq. mtrs., situated at Village – Dhanori, Taluka – Haveli, District – Pune and within local limits of Pune Municipal Corporation, Pune</v>
      </c>
      <c r="J129" s="91" t="s">
        <v>12</v>
      </c>
      <c r="K129" s="92"/>
      <c r="L129" s="92"/>
      <c r="M129" s="23" t="s">
        <v>857</v>
      </c>
      <c r="N129" s="23" t="s">
        <v>846</v>
      </c>
      <c r="O129" s="23"/>
    </row>
    <row r="130">
      <c r="A130" s="93">
        <f t="array" ref="A130">XLOOKUP(C130,'TSR Initiation'!C:C,'TSR Initiation'!A:A)</f>
        <v>689</v>
      </c>
      <c r="B130" s="71" t="s">
        <v>11</v>
      </c>
      <c r="C130" s="6" t="s">
        <v>632</v>
      </c>
      <c r="D130" s="88" t="str">
        <f t="array" ref="D130">XLOOKUP(C130,'Master Data'!C:C,'Master Data'!D:D)</f>
        <v>Main</v>
      </c>
      <c r="E130" s="71" t="str">
        <f t="array" ref="E130">XLOOKUP(C130,'TSR Initiation'!C:C,'TSR Initiation'!E:E)</f>
        <v>28.04.2026</v>
      </c>
      <c r="F130" s="88" t="str">
        <f t="array" ref="F130">XLOOKUP(C130,'Master Data'!C:C,'Master Data'!E:E)</f>
        <v>Nilesh Rambhau Jadhav</v>
      </c>
      <c r="G130" s="89" t="str">
        <f t="array" ref="G130">XLOOKUP(C130,'Master Data'!C:C,'Master Data'!F:F)</f>
        <v>Bharati Nilesh Jadhav</v>
      </c>
      <c r="H130" s="89" t="str">
        <f t="array" ref="H130">XLOOKUP(C130,'Master Data'!C:C,'Master Data'!G:G)</f>
        <v>BT + TOP UP</v>
      </c>
      <c r="I130" s="90" t="str">
        <f t="array" ref="I130">XLOOKUP(C130,'Master Data'!C:C,'Master Data'!H:H)</f>
        <v>All that piece and parcel of property bearing Flat No. 301, having an area admeasuring of 367 sq. ft. carpet area + 38 sq. ft. covered balcony + 30 sq. ft. dry balcony + 38 sq. ft. open balcony, situated on the Third Floor, in Building/Wing No. A, out of the project known as “Atharva Patson Phoenix”, constructed/to be constructed on the entire land property bearing Gat No. 1615 admeasuring 00 Hectare 26 Ares, Gat No. 1616 admeasuring 00 Hectare 11 Ares and Gat No. 1617/1 admeasuring 00 Hectare 09.5 Ares, situated at Village – Chakan, Taluka – Khed, District – Pune and within local limits of Chakan Municipal Council.</v>
      </c>
      <c r="J130" s="91" t="s">
        <v>12</v>
      </c>
      <c r="K130" s="92"/>
      <c r="L130" s="92"/>
      <c r="M130" s="23" t="s">
        <v>857</v>
      </c>
      <c r="N130" s="23" t="s">
        <v>846</v>
      </c>
      <c r="O130" s="23"/>
    </row>
    <row r="131">
      <c r="A131" s="93">
        <f t="array" ref="A131">XLOOKUP(C131,'TSR Initiation'!C:C,'TSR Initiation'!A:A)</f>
        <v>690</v>
      </c>
      <c r="B131" s="71" t="s">
        <v>11</v>
      </c>
      <c r="C131" s="6">
        <v>7.792151806E9</v>
      </c>
      <c r="D131" s="88" t="str">
        <f t="array" ref="D131">XLOOKUP(C131,'Master Data'!C:C,'Master Data'!D:D)</f>
        <v>wakad</v>
      </c>
      <c r="E131" s="71" t="str">
        <f t="array" ref="E131">XLOOKUP(C131,'TSR Initiation'!C:C,'TSR Initiation'!E:E)</f>
        <v>28.04.2026</v>
      </c>
      <c r="F131" s="88" t="str">
        <f t="array" ref="F131">XLOOKUP(C131,'Master Data'!C:C,'Master Data'!E:E)</f>
        <v>Prakash Veerabhadrappa Biradar</v>
      </c>
      <c r="G131" s="89" t="str">
        <f t="array" ref="G131">XLOOKUP(C131,'Master Data'!C:C,'Master Data'!F:F)</f>
        <v>Jyoti Prakash Biradar</v>
      </c>
      <c r="H131" s="89" t="str">
        <f t="array" ref="H131">XLOOKUP(C131,'Master Data'!C:C,'Master Data'!G:G)</f>
        <v>Resale Seller BT</v>
      </c>
      <c r="I131" s="90" t="str">
        <f t="array" ref="I131">XLOOKUP(C131,'Master Data'!C:C,'Master Data'!H:H)</f>
        <v>All that piece and parcel of property bearing Flat No. 104, having an area admeasuring of 57.04 sq. mtrs. (i.e. 614 sq. ft.) carpet area including balconies along with 11.24 sq. mtrs. (i.e. 121 sq. ft.) adjacent terrace area (exclusive right to use), situated on the First Floor, in Building/Wing No. A, out of the project known as “Mohar Pratima”, constructed/to be constructed on the entire land property bearing Survey No. 348/2/1 corresponding to CTS No. 7694 and Survey No. 349 corresponding to CTS No. 7696, situated at Village – Talegaon Dabhade, Taluka – Maval, District – Pune and within local limits of Talegaon Dabhade Municipal Council.</v>
      </c>
      <c r="J131" s="91" t="s">
        <v>12</v>
      </c>
      <c r="K131" s="92"/>
      <c r="L131" s="92"/>
      <c r="M131" s="23" t="s">
        <v>857</v>
      </c>
      <c r="N131" s="23" t="s">
        <v>846</v>
      </c>
      <c r="O131" s="23"/>
    </row>
    <row r="132">
      <c r="A132" s="93">
        <f t="array" ref="A132">XLOOKUP(C132,'TSR Initiation'!C:C,'TSR Initiation'!A:A)</f>
        <v>691</v>
      </c>
      <c r="B132" s="95"/>
      <c r="C132" s="6">
        <v>7.7000244168E10</v>
      </c>
      <c r="D132" s="88" t="str">
        <f t="array" ref="D132">XLOOKUP(C132,'Master Data'!C:C,'Master Data'!D:D)</f>
        <v>Hadapsar </v>
      </c>
      <c r="E132" s="71" t="str">
        <f t="array" ref="E132">XLOOKUP(C132,'TSR Initiation'!C:C,'TSR Initiation'!E:E)</f>
        <v>27.04.2026</v>
      </c>
      <c r="F132" s="88" t="str">
        <f t="array" ref="F132">XLOOKUP(C132,'Master Data'!C:C,'Master Data'!E:E)</f>
        <v>Ganesh sarak </v>
      </c>
      <c r="G132" s="89" t="str">
        <f t="array" ref="G132">XLOOKUP(C132,'Master Data'!C:C,'Master Data'!F:F)</f>
        <v>Subhash sarak </v>
      </c>
      <c r="H132" s="89" t="str">
        <f t="array" ref="H132">XLOOKUP(C132,'Master Data'!C:C,'Master Data'!G:G)</f>
        <v>Lap</v>
      </c>
      <c r="I132" s="90" t="str">
        <f t="array" ref="I132">XLOOKUP(C132,'Master Data'!C:C,'Master Data'!H:H)</f>
        <v>All that piece and parcel of property bearing land situated at Village – Uruli Devachi, Taluka – Haveli, District – Pune, within the jurisdiction of Sub-Registrar Haveli No. 1 to 27 and within the limits of Fursungi–Uruli Devachi Municipal Council, comprising:
(i) Survey No. 237, Hissa No. 2A/43 admeasuring 00 Hectare 01 Are (i.e. 100 sq. mtrs.), and
(ii) Survey No. 237, Hissa No. 2A/45 admeasuring 00 Hectare 00.0040 Are (i.e. 40 sq. mtrs.),
aggregating to a total area of 00 Hectare 00.0140 Are (i.e. 140 sq. mtrs.), together with R.C.C. construction standing thereon admeasuring about 750 sq. ft. (i.e. 69.70 sq. mtrs.) on ground floor, bearing Property No. P/M/83/01239000,
</v>
      </c>
      <c r="J132" s="91" t="s">
        <v>12</v>
      </c>
      <c r="K132" s="92"/>
      <c r="L132" s="92"/>
      <c r="M132" s="23" t="s">
        <v>857</v>
      </c>
      <c r="N132" s="23" t="s">
        <v>846</v>
      </c>
      <c r="O132" s="23"/>
    </row>
    <row r="133">
      <c r="A133" s="93" t="str">
        <f t="array" ref="A133">XLOOKUP(C133,'TSR Initiation'!C:C,'TSR Initiation'!A:A)</f>
        <v>#N/A</v>
      </c>
      <c r="B133" s="95"/>
      <c r="C133" s="6"/>
      <c r="D133" s="88" t="str">
        <f t="array" ref="D133">XLOOKUP(C133,'Master Data'!C:C,'Master Data'!D:D)</f>
        <v>#N/A</v>
      </c>
      <c r="E133" s="71" t="str">
        <f t="array" ref="E133">XLOOKUP(C133,'TSR Initiation'!C:C,'TSR Initiation'!E:E)</f>
        <v>#N/A</v>
      </c>
      <c r="F133" s="88" t="str">
        <f t="array" ref="F133">XLOOKUP(C133,'Master Data'!C:C,'Master Data'!E:E)</f>
        <v>#N/A</v>
      </c>
      <c r="G133" s="89" t="str">
        <f t="array" ref="G133">XLOOKUP(C133,'Master Data'!C:C,'Master Data'!F:F)</f>
        <v>#N/A</v>
      </c>
      <c r="H133" s="89" t="str">
        <f t="array" ref="H133">XLOOKUP(C133,'Master Data'!C:C,'Master Data'!G:G)</f>
        <v>#N/A</v>
      </c>
      <c r="I133" s="90" t="str">
        <f t="array" ref="I133">XLOOKUP(C133,'Master Data'!C:C,'Master Data'!H:H)</f>
        <v>#N/A</v>
      </c>
      <c r="J133" s="91" t="s">
        <v>12</v>
      </c>
      <c r="K133" s="92"/>
      <c r="L133" s="92"/>
      <c r="M133" s="23" t="s">
        <v>857</v>
      </c>
      <c r="N133" s="23" t="s">
        <v>862</v>
      </c>
      <c r="O133" s="23"/>
    </row>
    <row r="134">
      <c r="A134" s="93" t="str">
        <f t="array" ref="A134">XLOOKUP(C134,'TSR Initiation'!C:C,'TSR Initiation'!A:A)</f>
        <v/>
      </c>
      <c r="B134" s="95"/>
      <c r="C134" s="71" t="s">
        <v>12</v>
      </c>
      <c r="D134" s="88" t="str">
        <f t="array" ref="D134">XLOOKUP(C134,'Master Data'!C:C,'Master Data'!D:D)</f>
        <v/>
      </c>
      <c r="E134" s="71" t="str">
        <f t="array" ref="E134">XLOOKUP(C134,'TSR Initiation'!C:C,'TSR Initiation'!E:E)</f>
        <v/>
      </c>
      <c r="F134" s="88" t="str">
        <f t="array" ref="F134">XLOOKUP(C134,'Master Data'!C:C,'Master Data'!E:E)</f>
        <v/>
      </c>
      <c r="G134" s="89" t="str">
        <f t="array" ref="G134">XLOOKUP(C134,'Master Data'!C:C,'Master Data'!F:F)</f>
        <v/>
      </c>
      <c r="H134" s="89" t="str">
        <f t="array" ref="H134">XLOOKUP(C134,'Master Data'!C:C,'Master Data'!G:G)</f>
        <v/>
      </c>
      <c r="I134" s="90" t="str">
        <f t="array" ref="I134">XLOOKUP(C134,'Master Data'!C:C,'Master Data'!H:H)</f>
        <v/>
      </c>
      <c r="J134" s="91" t="s">
        <v>12</v>
      </c>
      <c r="K134" s="92"/>
      <c r="L134" s="92"/>
      <c r="M134" s="23"/>
      <c r="N134" s="23"/>
      <c r="O134" s="23"/>
    </row>
    <row r="135">
      <c r="A135" s="93" t="str">
        <f t="array" ref="A135">XLOOKUP(C135,'TSR Initiation'!C:C,'TSR Initiation'!A:A)</f>
        <v/>
      </c>
      <c r="B135" s="95"/>
      <c r="C135" s="71" t="s">
        <v>12</v>
      </c>
      <c r="D135" s="88" t="str">
        <f t="array" ref="D135">XLOOKUP(C135,'Master Data'!C:C,'Master Data'!D:D)</f>
        <v/>
      </c>
      <c r="E135" s="71" t="str">
        <f t="array" ref="E135">XLOOKUP(C135,'TSR Initiation'!C:C,'TSR Initiation'!E:E)</f>
        <v/>
      </c>
      <c r="F135" s="88" t="str">
        <f t="array" ref="F135">XLOOKUP(C135,'Master Data'!C:C,'Master Data'!E:E)</f>
        <v/>
      </c>
      <c r="G135" s="89" t="str">
        <f t="array" ref="G135">XLOOKUP(C135,'Master Data'!C:C,'Master Data'!F:F)</f>
        <v/>
      </c>
      <c r="H135" s="89" t="str">
        <f t="array" ref="H135">XLOOKUP(C135,'Master Data'!C:C,'Master Data'!G:G)</f>
        <v/>
      </c>
      <c r="I135" s="90" t="str">
        <f t="array" ref="I135">XLOOKUP(C135,'Master Data'!C:C,'Master Data'!H:H)</f>
        <v/>
      </c>
      <c r="J135" s="91" t="s">
        <v>12</v>
      </c>
      <c r="K135" s="92"/>
      <c r="L135" s="92"/>
      <c r="M135" s="23"/>
      <c r="N135" s="23"/>
      <c r="O135" s="23"/>
    </row>
    <row r="136">
      <c r="A136" s="93" t="str">
        <f t="array" ref="A136">XLOOKUP(C136,'TSR Initiation'!C:C,'TSR Initiation'!A:A)</f>
        <v/>
      </c>
      <c r="B136" s="95"/>
      <c r="C136" s="71" t="s">
        <v>12</v>
      </c>
      <c r="D136" s="88" t="str">
        <f t="array" ref="D136">XLOOKUP(C136,'Master Data'!C:C,'Master Data'!D:D)</f>
        <v/>
      </c>
      <c r="E136" s="71" t="str">
        <f t="array" ref="E136">XLOOKUP(C136,'TSR Initiation'!C:C,'TSR Initiation'!E:E)</f>
        <v/>
      </c>
      <c r="F136" s="88" t="str">
        <f t="array" ref="F136">XLOOKUP(C136,'Master Data'!C:C,'Master Data'!E:E)</f>
        <v/>
      </c>
      <c r="G136" s="89" t="str">
        <f t="array" ref="G136">XLOOKUP(C136,'Master Data'!C:C,'Master Data'!F:F)</f>
        <v/>
      </c>
      <c r="H136" s="89" t="str">
        <f t="array" ref="H136">XLOOKUP(C136,'Master Data'!C:C,'Master Data'!G:G)</f>
        <v/>
      </c>
      <c r="I136" s="90" t="str">
        <f t="array" ref="I136">XLOOKUP(C136,'Master Data'!C:C,'Master Data'!H:H)</f>
        <v/>
      </c>
      <c r="J136" s="91" t="s">
        <v>12</v>
      </c>
      <c r="K136" s="92"/>
      <c r="L136" s="92"/>
      <c r="M136" s="23"/>
      <c r="N136" s="23"/>
      <c r="O136" s="23"/>
    </row>
    <row r="137">
      <c r="A137" s="93" t="str">
        <f t="array" ref="A137">XLOOKUP(C137,'TSR Initiation'!C:C,'TSR Initiation'!A:A)</f>
        <v/>
      </c>
      <c r="B137" s="95"/>
      <c r="C137" s="71" t="s">
        <v>12</v>
      </c>
      <c r="D137" s="88" t="str">
        <f t="array" ref="D137">XLOOKUP(C137,'Master Data'!C:C,'Master Data'!D:D)</f>
        <v/>
      </c>
      <c r="E137" s="71" t="str">
        <f t="array" ref="E137">XLOOKUP(C137,'TSR Initiation'!C:C,'TSR Initiation'!E:E)</f>
        <v/>
      </c>
      <c r="F137" s="88" t="str">
        <f t="array" ref="F137">XLOOKUP(C137,'Master Data'!C:C,'Master Data'!E:E)</f>
        <v/>
      </c>
      <c r="G137" s="89" t="str">
        <f t="array" ref="G137">XLOOKUP(C137,'Master Data'!C:C,'Master Data'!F:F)</f>
        <v/>
      </c>
      <c r="H137" s="89" t="str">
        <f t="array" ref="H137">XLOOKUP(C137,'Master Data'!C:C,'Master Data'!G:G)</f>
        <v/>
      </c>
      <c r="I137" s="90" t="str">
        <f t="array" ref="I137">XLOOKUP(C137,'Master Data'!C:C,'Master Data'!H:H)</f>
        <v/>
      </c>
      <c r="J137" s="91" t="s">
        <v>12</v>
      </c>
      <c r="K137" s="92"/>
      <c r="L137" s="92"/>
      <c r="M137" s="23"/>
      <c r="N137" s="23"/>
      <c r="O137" s="23"/>
    </row>
    <row r="138">
      <c r="A138" s="93" t="str">
        <f t="array" ref="A138">XLOOKUP(C138,'TSR Initiation'!C:C,'TSR Initiation'!A:A)</f>
        <v/>
      </c>
      <c r="B138" s="95"/>
      <c r="C138" s="71" t="s">
        <v>12</v>
      </c>
      <c r="D138" s="88" t="str">
        <f t="array" ref="D138">XLOOKUP(C138,'Master Data'!C:C,'Master Data'!D:D)</f>
        <v/>
      </c>
      <c r="E138" s="71" t="str">
        <f t="array" ref="E138">XLOOKUP(C138,'TSR Initiation'!C:C,'TSR Initiation'!E:E)</f>
        <v/>
      </c>
      <c r="F138" s="88" t="str">
        <f t="array" ref="F138">XLOOKUP(C138,'Master Data'!C:C,'Master Data'!E:E)</f>
        <v/>
      </c>
      <c r="G138" s="89" t="str">
        <f t="array" ref="G138">XLOOKUP(C138,'Master Data'!C:C,'Master Data'!F:F)</f>
        <v/>
      </c>
      <c r="H138" s="89" t="str">
        <f t="array" ref="H138">XLOOKUP(C138,'Master Data'!C:C,'Master Data'!G:G)</f>
        <v/>
      </c>
      <c r="I138" s="90" t="str">
        <f t="array" ref="I138">XLOOKUP(C138,'Master Data'!C:C,'Master Data'!H:H)</f>
        <v/>
      </c>
      <c r="J138" s="91" t="s">
        <v>12</v>
      </c>
      <c r="K138" s="92"/>
      <c r="L138" s="92"/>
      <c r="M138" s="23"/>
      <c r="N138" s="23"/>
      <c r="O138" s="23"/>
    </row>
    <row r="139">
      <c r="A139" s="93" t="str">
        <f t="array" ref="A139">XLOOKUP(C139,'TSR Initiation'!C:C,'TSR Initiation'!A:A)</f>
        <v/>
      </c>
      <c r="B139" s="95"/>
      <c r="C139" s="71" t="s">
        <v>12</v>
      </c>
      <c r="D139" s="88" t="str">
        <f t="array" ref="D139">XLOOKUP(C139,'Master Data'!C:C,'Master Data'!D:D)</f>
        <v/>
      </c>
      <c r="E139" s="71" t="str">
        <f t="array" ref="E139">XLOOKUP(C139,'TSR Initiation'!C:C,'TSR Initiation'!E:E)</f>
        <v/>
      </c>
      <c r="F139" s="88" t="str">
        <f t="array" ref="F139">XLOOKUP(C139,'Master Data'!C:C,'Master Data'!E:E)</f>
        <v/>
      </c>
      <c r="G139" s="89" t="str">
        <f t="array" ref="G139">XLOOKUP(C139,'Master Data'!C:C,'Master Data'!F:F)</f>
        <v/>
      </c>
      <c r="H139" s="89" t="str">
        <f t="array" ref="H139">XLOOKUP(C139,'Master Data'!C:C,'Master Data'!G:G)</f>
        <v/>
      </c>
      <c r="I139" s="90" t="str">
        <f t="array" ref="I139">XLOOKUP(C139,'Master Data'!C:C,'Master Data'!H:H)</f>
        <v/>
      </c>
      <c r="J139" s="91" t="s">
        <v>12</v>
      </c>
      <c r="K139" s="92"/>
      <c r="L139" s="92"/>
      <c r="M139" s="23"/>
      <c r="N139" s="23"/>
      <c r="O139" s="23"/>
    </row>
    <row r="140">
      <c r="A140" s="93" t="str">
        <f t="array" ref="A140">XLOOKUP(C140,'TSR Initiation'!C:C,'TSR Initiation'!A:A)</f>
        <v/>
      </c>
      <c r="B140" s="95"/>
      <c r="C140" s="71" t="s">
        <v>12</v>
      </c>
      <c r="D140" s="88" t="str">
        <f t="array" ref="D140">XLOOKUP(C140,'Master Data'!C:C,'Master Data'!D:D)</f>
        <v/>
      </c>
      <c r="E140" s="71" t="str">
        <f t="array" ref="E140">XLOOKUP(C140,'TSR Initiation'!C:C,'TSR Initiation'!E:E)</f>
        <v/>
      </c>
      <c r="F140" s="88" t="str">
        <f t="array" ref="F140">XLOOKUP(C140,'Master Data'!C:C,'Master Data'!E:E)</f>
        <v/>
      </c>
      <c r="G140" s="89" t="str">
        <f t="array" ref="G140">XLOOKUP(C140,'Master Data'!C:C,'Master Data'!F:F)</f>
        <v/>
      </c>
      <c r="H140" s="89" t="str">
        <f t="array" ref="H140">XLOOKUP(C140,'Master Data'!C:C,'Master Data'!G:G)</f>
        <v/>
      </c>
      <c r="I140" s="90" t="str">
        <f t="array" ref="I140">XLOOKUP(C140,'Master Data'!C:C,'Master Data'!H:H)</f>
        <v/>
      </c>
      <c r="J140" s="91" t="s">
        <v>12</v>
      </c>
      <c r="K140" s="92"/>
      <c r="L140" s="92"/>
      <c r="M140" s="23"/>
      <c r="N140" s="23"/>
      <c r="O140" s="23"/>
    </row>
    <row r="141">
      <c r="A141" s="93" t="str">
        <f t="array" ref="A141">XLOOKUP(C141,'TSR Initiation'!C:C,'TSR Initiation'!A:A)</f>
        <v/>
      </c>
      <c r="B141" s="95"/>
      <c r="C141" s="71" t="s">
        <v>12</v>
      </c>
      <c r="D141" s="88" t="str">
        <f t="array" ref="D141">XLOOKUP(C141,'Master Data'!C:C,'Master Data'!D:D)</f>
        <v/>
      </c>
      <c r="E141" s="71" t="str">
        <f t="array" ref="E141">XLOOKUP(C141,'TSR Initiation'!C:C,'TSR Initiation'!E:E)</f>
        <v/>
      </c>
      <c r="F141" s="88" t="str">
        <f t="array" ref="F141">XLOOKUP(C141,'Master Data'!C:C,'Master Data'!E:E)</f>
        <v/>
      </c>
      <c r="G141" s="89" t="str">
        <f t="array" ref="G141">XLOOKUP(C141,'Master Data'!C:C,'Master Data'!F:F)</f>
        <v/>
      </c>
      <c r="H141" s="89" t="str">
        <f t="array" ref="H141">XLOOKUP(C141,'Master Data'!C:C,'Master Data'!G:G)</f>
        <v/>
      </c>
      <c r="I141" s="90" t="str">
        <f t="array" ref="I141">XLOOKUP(C141,'Master Data'!C:C,'Master Data'!H:H)</f>
        <v/>
      </c>
      <c r="J141" s="91" t="s">
        <v>12</v>
      </c>
      <c r="K141" s="92"/>
      <c r="L141" s="92"/>
      <c r="M141" s="23"/>
      <c r="N141" s="23"/>
      <c r="O141" s="23"/>
    </row>
    <row r="142">
      <c r="A142" s="93" t="str">
        <f t="array" ref="A142">XLOOKUP(C142,'TSR Initiation'!C:C,'TSR Initiation'!A:A)</f>
        <v/>
      </c>
      <c r="B142" s="95"/>
      <c r="C142" s="71" t="s">
        <v>12</v>
      </c>
      <c r="D142" s="88" t="str">
        <f t="array" ref="D142">XLOOKUP(C142,'Master Data'!C:C,'Master Data'!D:D)</f>
        <v/>
      </c>
      <c r="E142" s="71" t="str">
        <f t="array" ref="E142">XLOOKUP(C142,'TSR Initiation'!C:C,'TSR Initiation'!E:E)</f>
        <v/>
      </c>
      <c r="F142" s="88" t="str">
        <f t="array" ref="F142">XLOOKUP(C142,'Master Data'!C:C,'Master Data'!E:E)</f>
        <v/>
      </c>
      <c r="G142" s="89" t="str">
        <f t="array" ref="G142">XLOOKUP(C142,'Master Data'!C:C,'Master Data'!F:F)</f>
        <v/>
      </c>
      <c r="H142" s="89" t="str">
        <f t="array" ref="H142">XLOOKUP(C142,'Master Data'!C:C,'Master Data'!G:G)</f>
        <v/>
      </c>
      <c r="I142" s="90" t="str">
        <f t="array" ref="I142">XLOOKUP(C142,'Master Data'!C:C,'Master Data'!H:H)</f>
        <v/>
      </c>
      <c r="J142" s="91" t="s">
        <v>12</v>
      </c>
      <c r="K142" s="92"/>
      <c r="L142" s="92"/>
      <c r="M142" s="23"/>
      <c r="N142" s="23"/>
      <c r="O142" s="23"/>
    </row>
    <row r="143">
      <c r="A143" s="93" t="str">
        <f t="array" ref="A143">XLOOKUP(C143,'TSR Initiation'!C:C,'TSR Initiation'!A:A)</f>
        <v/>
      </c>
      <c r="B143" s="95"/>
      <c r="C143" s="71" t="s">
        <v>12</v>
      </c>
      <c r="D143" s="88" t="str">
        <f t="array" ref="D143">XLOOKUP(C143,'Master Data'!C:C,'Master Data'!D:D)</f>
        <v/>
      </c>
      <c r="E143" s="71" t="str">
        <f t="array" ref="E143">XLOOKUP(C143,'TSR Initiation'!C:C,'TSR Initiation'!E:E)</f>
        <v/>
      </c>
      <c r="F143" s="88" t="str">
        <f t="array" ref="F143">XLOOKUP(C143,'Master Data'!C:C,'Master Data'!E:E)</f>
        <v/>
      </c>
      <c r="G143" s="89" t="str">
        <f t="array" ref="G143">XLOOKUP(C143,'Master Data'!C:C,'Master Data'!F:F)</f>
        <v/>
      </c>
      <c r="H143" s="89" t="str">
        <f t="array" ref="H143">XLOOKUP(C143,'Master Data'!C:C,'Master Data'!G:G)</f>
        <v/>
      </c>
      <c r="I143" s="90" t="str">
        <f t="array" ref="I143">XLOOKUP(C143,'Master Data'!C:C,'Master Data'!H:H)</f>
        <v/>
      </c>
      <c r="J143" s="91" t="s">
        <v>12</v>
      </c>
      <c r="K143" s="92"/>
      <c r="L143" s="92"/>
      <c r="M143" s="23"/>
      <c r="N143" s="23"/>
      <c r="O143" s="23"/>
    </row>
    <row r="144">
      <c r="A144" s="93" t="str">
        <f t="array" ref="A144">XLOOKUP(C144,'TSR Initiation'!C:C,'TSR Initiation'!A:A)</f>
        <v/>
      </c>
      <c r="B144" s="95"/>
      <c r="C144" s="71" t="s">
        <v>12</v>
      </c>
      <c r="D144" s="88" t="str">
        <f t="array" ref="D144">XLOOKUP(C144,'Master Data'!C:C,'Master Data'!D:D)</f>
        <v/>
      </c>
      <c r="E144" s="71" t="str">
        <f t="array" ref="E144">XLOOKUP(C144,'TSR Initiation'!C:C,'TSR Initiation'!E:E)</f>
        <v/>
      </c>
      <c r="F144" s="88" t="str">
        <f t="array" ref="F144">XLOOKUP(C144,'Master Data'!C:C,'Master Data'!E:E)</f>
        <v/>
      </c>
      <c r="G144" s="89" t="str">
        <f t="array" ref="G144">XLOOKUP(C144,'Master Data'!C:C,'Master Data'!F:F)</f>
        <v/>
      </c>
      <c r="H144" s="89" t="str">
        <f t="array" ref="H144">XLOOKUP(C144,'Master Data'!C:C,'Master Data'!G:G)</f>
        <v/>
      </c>
      <c r="I144" s="90" t="str">
        <f t="array" ref="I144">XLOOKUP(C144,'Master Data'!C:C,'Master Data'!H:H)</f>
        <v/>
      </c>
      <c r="J144" s="91" t="s">
        <v>12</v>
      </c>
      <c r="K144" s="92"/>
      <c r="L144" s="92"/>
      <c r="M144" s="23"/>
      <c r="N144" s="23"/>
      <c r="O144" s="23"/>
    </row>
    <row r="145">
      <c r="A145" s="93" t="str">
        <f t="array" ref="A145">XLOOKUP(C145,'TSR Initiation'!C:C,'TSR Initiation'!A:A)</f>
        <v/>
      </c>
      <c r="B145" s="95"/>
      <c r="C145" s="71" t="s">
        <v>12</v>
      </c>
      <c r="D145" s="88" t="str">
        <f t="array" ref="D145">XLOOKUP(C145,'Master Data'!C:C,'Master Data'!D:D)</f>
        <v/>
      </c>
      <c r="E145" s="71" t="str">
        <f t="array" ref="E145">XLOOKUP(C145,'TSR Initiation'!C:C,'TSR Initiation'!E:E)</f>
        <v/>
      </c>
      <c r="F145" s="88" t="str">
        <f t="array" ref="F145">XLOOKUP(C145,'Master Data'!C:C,'Master Data'!E:E)</f>
        <v/>
      </c>
      <c r="G145" s="89" t="str">
        <f t="array" ref="G145">XLOOKUP(C145,'Master Data'!C:C,'Master Data'!F:F)</f>
        <v/>
      </c>
      <c r="H145" s="89" t="str">
        <f t="array" ref="H145">XLOOKUP(C145,'Master Data'!C:C,'Master Data'!G:G)</f>
        <v/>
      </c>
      <c r="I145" s="90" t="str">
        <f t="array" ref="I145">XLOOKUP(C145,'Master Data'!C:C,'Master Data'!H:H)</f>
        <v/>
      </c>
      <c r="J145" s="91" t="s">
        <v>12</v>
      </c>
      <c r="K145" s="92"/>
      <c r="L145" s="92"/>
      <c r="M145" s="23"/>
      <c r="N145" s="23"/>
      <c r="O145" s="23"/>
    </row>
    <row r="146">
      <c r="A146" s="93" t="str">
        <f t="array" ref="A146">XLOOKUP(C146,'TSR Initiation'!C:C,'TSR Initiation'!A:A)</f>
        <v/>
      </c>
      <c r="B146" s="95"/>
      <c r="C146" s="71" t="s">
        <v>12</v>
      </c>
      <c r="D146" s="88" t="str">
        <f t="array" ref="D146">XLOOKUP(C146,'Master Data'!C:C,'Master Data'!D:D)</f>
        <v/>
      </c>
      <c r="E146" s="71" t="str">
        <f t="array" ref="E146">XLOOKUP(C146,'TSR Initiation'!C:C,'TSR Initiation'!E:E)</f>
        <v/>
      </c>
      <c r="F146" s="88" t="str">
        <f t="array" ref="F146">XLOOKUP(C146,'Master Data'!C:C,'Master Data'!E:E)</f>
        <v/>
      </c>
      <c r="G146" s="89" t="str">
        <f t="array" ref="G146">XLOOKUP(C146,'Master Data'!C:C,'Master Data'!F:F)</f>
        <v/>
      </c>
      <c r="H146" s="89" t="str">
        <f t="array" ref="H146">XLOOKUP(C146,'Master Data'!C:C,'Master Data'!G:G)</f>
        <v/>
      </c>
      <c r="I146" s="90" t="str">
        <f t="array" ref="I146">XLOOKUP(C146,'Master Data'!C:C,'Master Data'!H:H)</f>
        <v/>
      </c>
      <c r="J146" s="91" t="s">
        <v>12</v>
      </c>
      <c r="K146" s="92"/>
      <c r="L146" s="92"/>
      <c r="M146" s="23"/>
      <c r="N146" s="23"/>
      <c r="O146" s="23"/>
    </row>
    <row r="147">
      <c r="A147" s="93" t="str">
        <f t="array" ref="A147">XLOOKUP(C147,'TSR Initiation'!C:C,'TSR Initiation'!A:A)</f>
        <v/>
      </c>
      <c r="B147" s="95"/>
      <c r="C147" s="71" t="s">
        <v>12</v>
      </c>
      <c r="D147" s="88" t="str">
        <f t="array" ref="D147">XLOOKUP(C147,'Master Data'!C:C,'Master Data'!D:D)</f>
        <v/>
      </c>
      <c r="E147" s="71" t="str">
        <f t="array" ref="E147">XLOOKUP(C147,'TSR Initiation'!C:C,'TSR Initiation'!E:E)</f>
        <v/>
      </c>
      <c r="F147" s="88" t="str">
        <f t="array" ref="F147">XLOOKUP(C147,'Master Data'!C:C,'Master Data'!E:E)</f>
        <v/>
      </c>
      <c r="G147" s="89" t="str">
        <f t="array" ref="G147">XLOOKUP(C147,'Master Data'!C:C,'Master Data'!F:F)</f>
        <v/>
      </c>
      <c r="H147" s="89" t="str">
        <f t="array" ref="H147">XLOOKUP(C147,'Master Data'!C:C,'Master Data'!G:G)</f>
        <v/>
      </c>
      <c r="I147" s="90" t="str">
        <f t="array" ref="I147">XLOOKUP(C147,'Master Data'!C:C,'Master Data'!H:H)</f>
        <v/>
      </c>
      <c r="J147" s="91" t="s">
        <v>12</v>
      </c>
      <c r="K147" s="92"/>
      <c r="L147" s="92"/>
      <c r="M147" s="23"/>
      <c r="N147" s="23"/>
      <c r="O147" s="23"/>
    </row>
    <row r="148">
      <c r="A148" s="93" t="str">
        <f t="array" ref="A148">XLOOKUP(C148,'TSR Initiation'!C:C,'TSR Initiation'!A:A)</f>
        <v/>
      </c>
      <c r="B148" s="95"/>
      <c r="C148" s="71" t="s">
        <v>12</v>
      </c>
      <c r="D148" s="88" t="str">
        <f t="array" ref="D148">XLOOKUP(C148,'Master Data'!C:C,'Master Data'!D:D)</f>
        <v/>
      </c>
      <c r="E148" s="71" t="str">
        <f t="array" ref="E148">XLOOKUP(C148,'TSR Initiation'!C:C,'TSR Initiation'!E:E)</f>
        <v/>
      </c>
      <c r="F148" s="88" t="str">
        <f t="array" ref="F148">XLOOKUP(C148,'Master Data'!C:C,'Master Data'!E:E)</f>
        <v/>
      </c>
      <c r="G148" s="89" t="str">
        <f t="array" ref="G148">XLOOKUP(C148,'Master Data'!C:C,'Master Data'!F:F)</f>
        <v/>
      </c>
      <c r="H148" s="89" t="str">
        <f t="array" ref="H148">XLOOKUP(C148,'Master Data'!C:C,'Master Data'!G:G)</f>
        <v/>
      </c>
      <c r="I148" s="90" t="str">
        <f t="array" ref="I148">XLOOKUP(C148,'Master Data'!C:C,'Master Data'!H:H)</f>
        <v/>
      </c>
      <c r="J148" s="91" t="s">
        <v>12</v>
      </c>
      <c r="K148" s="92"/>
      <c r="L148" s="92"/>
      <c r="M148" s="23"/>
      <c r="N148" s="23"/>
      <c r="O148" s="23"/>
    </row>
    <row r="149">
      <c r="A149" s="93" t="str">
        <f t="array" ref="A149">XLOOKUP(C149,'TSR Initiation'!C:C,'TSR Initiation'!A:A)</f>
        <v/>
      </c>
      <c r="B149" s="95"/>
      <c r="C149" s="71" t="s">
        <v>12</v>
      </c>
      <c r="D149" s="88" t="str">
        <f t="array" ref="D149">XLOOKUP(C149,'Master Data'!C:C,'Master Data'!D:D)</f>
        <v/>
      </c>
      <c r="E149" s="71" t="str">
        <f t="array" ref="E149">XLOOKUP(C149,'TSR Initiation'!C:C,'TSR Initiation'!E:E)</f>
        <v/>
      </c>
      <c r="F149" s="88" t="str">
        <f t="array" ref="F149">XLOOKUP(C149,'Master Data'!C:C,'Master Data'!E:E)</f>
        <v/>
      </c>
      <c r="G149" s="89" t="str">
        <f t="array" ref="G149">XLOOKUP(C149,'Master Data'!C:C,'Master Data'!F:F)</f>
        <v/>
      </c>
      <c r="H149" s="89" t="str">
        <f t="array" ref="H149">XLOOKUP(C149,'Master Data'!C:C,'Master Data'!G:G)</f>
        <v/>
      </c>
      <c r="I149" s="90" t="str">
        <f t="array" ref="I149">XLOOKUP(C149,'Master Data'!C:C,'Master Data'!H:H)</f>
        <v/>
      </c>
      <c r="J149" s="91" t="s">
        <v>12</v>
      </c>
      <c r="K149" s="92"/>
      <c r="L149" s="92"/>
      <c r="M149" s="23"/>
      <c r="N149" s="23"/>
      <c r="O149" s="23"/>
    </row>
    <row r="150">
      <c r="A150" s="93" t="str">
        <f t="array" ref="A150">XLOOKUP(C150,'TSR Initiation'!C:C,'TSR Initiation'!A:A)</f>
        <v/>
      </c>
      <c r="B150" s="95"/>
      <c r="C150" s="71" t="s">
        <v>12</v>
      </c>
      <c r="D150" s="88" t="str">
        <f t="array" ref="D150">XLOOKUP(C150,'Master Data'!C:C,'Master Data'!D:D)</f>
        <v/>
      </c>
      <c r="E150" s="71" t="str">
        <f t="array" ref="E150">XLOOKUP(C150,'TSR Initiation'!C:C,'TSR Initiation'!E:E)</f>
        <v/>
      </c>
      <c r="F150" s="88" t="str">
        <f t="array" ref="F150">XLOOKUP(C150,'Master Data'!C:C,'Master Data'!E:E)</f>
        <v/>
      </c>
      <c r="G150" s="89" t="str">
        <f t="array" ref="G150">XLOOKUP(C150,'Master Data'!C:C,'Master Data'!F:F)</f>
        <v/>
      </c>
      <c r="H150" s="89" t="str">
        <f t="array" ref="H150">XLOOKUP(C150,'Master Data'!C:C,'Master Data'!G:G)</f>
        <v/>
      </c>
      <c r="I150" s="90" t="str">
        <f t="array" ref="I150">XLOOKUP(C150,'Master Data'!C:C,'Master Data'!H:H)</f>
        <v/>
      </c>
      <c r="J150" s="91" t="s">
        <v>12</v>
      </c>
      <c r="K150" s="92"/>
      <c r="L150" s="92"/>
      <c r="M150" s="23"/>
      <c r="N150" s="23"/>
      <c r="O150" s="23"/>
    </row>
    <row r="151">
      <c r="A151" s="93" t="str">
        <f t="array" ref="A151">XLOOKUP(C151,'TSR Initiation'!C:C,'TSR Initiation'!A:A)</f>
        <v/>
      </c>
      <c r="B151" s="95"/>
      <c r="C151" s="71" t="s">
        <v>12</v>
      </c>
      <c r="D151" s="88" t="str">
        <f t="array" ref="D151">XLOOKUP(C151,'Master Data'!C:C,'Master Data'!D:D)</f>
        <v/>
      </c>
      <c r="E151" s="71" t="str">
        <f t="array" ref="E151">XLOOKUP(C151,'TSR Initiation'!C:C,'TSR Initiation'!E:E)</f>
        <v/>
      </c>
      <c r="F151" s="88" t="str">
        <f t="array" ref="F151">XLOOKUP(C151,'Master Data'!C:C,'Master Data'!E:E)</f>
        <v/>
      </c>
      <c r="G151" s="89" t="str">
        <f t="array" ref="G151">XLOOKUP(C151,'Master Data'!C:C,'Master Data'!F:F)</f>
        <v/>
      </c>
      <c r="H151" s="89" t="str">
        <f t="array" ref="H151">XLOOKUP(C151,'Master Data'!C:C,'Master Data'!G:G)</f>
        <v/>
      </c>
      <c r="I151" s="90" t="str">
        <f t="array" ref="I151">XLOOKUP(C151,'Master Data'!C:C,'Master Data'!H:H)</f>
        <v/>
      </c>
      <c r="J151" s="91" t="s">
        <v>12</v>
      </c>
      <c r="K151" s="92"/>
      <c r="L151" s="92"/>
      <c r="M151" s="23"/>
      <c r="N151" s="23"/>
      <c r="O151" s="23"/>
    </row>
    <row r="152">
      <c r="A152" s="93" t="str">
        <f t="array" ref="A152">XLOOKUP(C152,'TSR Initiation'!C:C,'TSR Initiation'!A:A)</f>
        <v/>
      </c>
      <c r="B152" s="95"/>
      <c r="C152" s="71" t="s">
        <v>12</v>
      </c>
      <c r="D152" s="88" t="str">
        <f t="array" ref="D152">XLOOKUP(C152,'Master Data'!C:C,'Master Data'!D:D)</f>
        <v/>
      </c>
      <c r="E152" s="71" t="str">
        <f t="array" ref="E152">XLOOKUP(C152,'TSR Initiation'!C:C,'TSR Initiation'!E:E)</f>
        <v/>
      </c>
      <c r="F152" s="88" t="str">
        <f t="array" ref="F152">XLOOKUP(C152,'Master Data'!C:C,'Master Data'!E:E)</f>
        <v/>
      </c>
      <c r="G152" s="89" t="str">
        <f t="array" ref="G152">XLOOKUP(C152,'Master Data'!C:C,'Master Data'!F:F)</f>
        <v/>
      </c>
      <c r="H152" s="89" t="str">
        <f t="array" ref="H152">XLOOKUP(C152,'Master Data'!C:C,'Master Data'!G:G)</f>
        <v/>
      </c>
      <c r="I152" s="90" t="str">
        <f t="array" ref="I152">XLOOKUP(C152,'Master Data'!C:C,'Master Data'!H:H)</f>
        <v/>
      </c>
      <c r="J152" s="91" t="s">
        <v>12</v>
      </c>
      <c r="K152" s="92"/>
      <c r="L152" s="92"/>
      <c r="M152" s="23"/>
      <c r="N152" s="23"/>
      <c r="O152" s="23"/>
    </row>
    <row r="153">
      <c r="A153" s="93" t="str">
        <f t="array" ref="A153">XLOOKUP(C153,'TSR Initiation'!C:C,'TSR Initiation'!A:A)</f>
        <v/>
      </c>
      <c r="B153" s="95"/>
      <c r="C153" s="71" t="s">
        <v>12</v>
      </c>
      <c r="D153" s="88" t="str">
        <f t="array" ref="D153">XLOOKUP(C153,'Master Data'!C:C,'Master Data'!D:D)</f>
        <v/>
      </c>
      <c r="E153" s="71" t="str">
        <f t="array" ref="E153">XLOOKUP(C153,'TSR Initiation'!C:C,'TSR Initiation'!E:E)</f>
        <v/>
      </c>
      <c r="F153" s="88" t="str">
        <f t="array" ref="F153">XLOOKUP(C153,'Master Data'!C:C,'Master Data'!E:E)</f>
        <v/>
      </c>
      <c r="G153" s="89" t="str">
        <f t="array" ref="G153">XLOOKUP(C153,'Master Data'!C:C,'Master Data'!F:F)</f>
        <v/>
      </c>
      <c r="H153" s="89" t="str">
        <f t="array" ref="H153">XLOOKUP(C153,'Master Data'!C:C,'Master Data'!G:G)</f>
        <v/>
      </c>
      <c r="I153" s="90" t="str">
        <f t="array" ref="I153">XLOOKUP(C153,'Master Data'!C:C,'Master Data'!H:H)</f>
        <v/>
      </c>
      <c r="J153" s="91" t="s">
        <v>12</v>
      </c>
      <c r="K153" s="92"/>
      <c r="L153" s="92"/>
      <c r="M153" s="23"/>
      <c r="N153" s="23"/>
      <c r="O153" s="23"/>
    </row>
    <row r="154">
      <c r="A154" s="93" t="str">
        <f t="array" ref="A154">XLOOKUP(C154,'TSR Initiation'!C:C,'TSR Initiation'!A:A)</f>
        <v/>
      </c>
      <c r="B154" s="95"/>
      <c r="C154" s="71" t="s">
        <v>12</v>
      </c>
      <c r="D154" s="88" t="str">
        <f t="array" ref="D154">XLOOKUP(C154,'Master Data'!C:C,'Master Data'!D:D)</f>
        <v/>
      </c>
      <c r="E154" s="71" t="str">
        <f t="array" ref="E154">XLOOKUP(C154,'TSR Initiation'!C:C,'TSR Initiation'!E:E)</f>
        <v/>
      </c>
      <c r="F154" s="88" t="str">
        <f t="array" ref="F154">XLOOKUP(C154,'Master Data'!C:C,'Master Data'!E:E)</f>
        <v/>
      </c>
      <c r="G154" s="89" t="str">
        <f t="array" ref="G154">XLOOKUP(C154,'Master Data'!C:C,'Master Data'!F:F)</f>
        <v/>
      </c>
      <c r="H154" s="89" t="str">
        <f t="array" ref="H154">XLOOKUP(C154,'Master Data'!C:C,'Master Data'!G:G)</f>
        <v/>
      </c>
      <c r="I154" s="90" t="str">
        <f t="array" ref="I154">XLOOKUP(C154,'Master Data'!C:C,'Master Data'!H:H)</f>
        <v/>
      </c>
      <c r="J154" s="91" t="s">
        <v>12</v>
      </c>
      <c r="K154" s="92"/>
      <c r="L154" s="92"/>
      <c r="M154" s="23"/>
      <c r="N154" s="23"/>
      <c r="O154" s="23"/>
    </row>
    <row r="155">
      <c r="A155" s="93" t="str">
        <f t="array" ref="A155">XLOOKUP(C155,'TSR Initiation'!C:C,'TSR Initiation'!A:A)</f>
        <v/>
      </c>
      <c r="B155" s="95"/>
      <c r="C155" s="71" t="s">
        <v>12</v>
      </c>
      <c r="D155" s="88" t="str">
        <f t="array" ref="D155">XLOOKUP(C155,'Master Data'!C:C,'Master Data'!D:D)</f>
        <v/>
      </c>
      <c r="E155" s="71" t="str">
        <f t="array" ref="E155">XLOOKUP(C155,'TSR Initiation'!C:C,'TSR Initiation'!E:E)</f>
        <v/>
      </c>
      <c r="F155" s="88" t="str">
        <f t="array" ref="F155">XLOOKUP(C155,'Master Data'!C:C,'Master Data'!E:E)</f>
        <v/>
      </c>
      <c r="G155" s="89" t="str">
        <f t="array" ref="G155">XLOOKUP(C155,'Master Data'!C:C,'Master Data'!F:F)</f>
        <v/>
      </c>
      <c r="H155" s="89" t="str">
        <f t="array" ref="H155">XLOOKUP(C155,'Master Data'!C:C,'Master Data'!G:G)</f>
        <v/>
      </c>
      <c r="I155" s="90" t="str">
        <f t="array" ref="I155">XLOOKUP(C155,'Master Data'!C:C,'Master Data'!H:H)</f>
        <v/>
      </c>
      <c r="J155" s="91" t="s">
        <v>12</v>
      </c>
      <c r="K155" s="92"/>
      <c r="L155" s="92"/>
      <c r="M155" s="23"/>
      <c r="N155" s="23"/>
      <c r="O155" s="23"/>
    </row>
    <row r="156">
      <c r="A156" s="93" t="str">
        <f t="array" ref="A156">XLOOKUP(C156,'TSR Initiation'!C:C,'TSR Initiation'!A:A)</f>
        <v/>
      </c>
      <c r="B156" s="95"/>
      <c r="C156" s="71" t="s">
        <v>12</v>
      </c>
      <c r="D156" s="88" t="str">
        <f t="array" ref="D156">XLOOKUP(C156,'Master Data'!C:C,'Master Data'!D:D)</f>
        <v/>
      </c>
      <c r="E156" s="71" t="str">
        <f t="array" ref="E156">XLOOKUP(C156,'TSR Initiation'!C:C,'TSR Initiation'!E:E)</f>
        <v/>
      </c>
      <c r="F156" s="88" t="str">
        <f t="array" ref="F156">XLOOKUP(C156,'Master Data'!C:C,'Master Data'!E:E)</f>
        <v/>
      </c>
      <c r="G156" s="89" t="str">
        <f t="array" ref="G156">XLOOKUP(C156,'Master Data'!C:C,'Master Data'!F:F)</f>
        <v/>
      </c>
      <c r="H156" s="89" t="str">
        <f t="array" ref="H156">XLOOKUP(C156,'Master Data'!C:C,'Master Data'!G:G)</f>
        <v/>
      </c>
      <c r="I156" s="90" t="str">
        <f t="array" ref="I156">XLOOKUP(C156,'Master Data'!C:C,'Master Data'!H:H)</f>
        <v/>
      </c>
      <c r="J156" s="91" t="s">
        <v>12</v>
      </c>
      <c r="K156" s="92"/>
      <c r="L156" s="92"/>
      <c r="M156" s="23"/>
      <c r="N156" s="23"/>
      <c r="O156" s="23"/>
    </row>
    <row r="157">
      <c r="A157" s="93" t="str">
        <f t="array" ref="A157">XLOOKUP(C157,'TSR Initiation'!C:C,'TSR Initiation'!A:A)</f>
        <v/>
      </c>
      <c r="B157" s="95"/>
      <c r="C157" s="71" t="s">
        <v>12</v>
      </c>
      <c r="D157" s="88" t="str">
        <f t="array" ref="D157">XLOOKUP(C157,'Master Data'!C:C,'Master Data'!D:D)</f>
        <v/>
      </c>
      <c r="E157" s="71" t="str">
        <f t="array" ref="E157">XLOOKUP(C157,'TSR Initiation'!C:C,'TSR Initiation'!E:E)</f>
        <v/>
      </c>
      <c r="F157" s="88" t="str">
        <f t="array" ref="F157">XLOOKUP(C157,'Master Data'!C:C,'Master Data'!E:E)</f>
        <v/>
      </c>
      <c r="G157" s="89" t="str">
        <f t="array" ref="G157">XLOOKUP(C157,'Master Data'!C:C,'Master Data'!F:F)</f>
        <v/>
      </c>
      <c r="H157" s="89" t="str">
        <f t="array" ref="H157">XLOOKUP(C157,'Master Data'!C:C,'Master Data'!G:G)</f>
        <v/>
      </c>
      <c r="I157" s="90" t="str">
        <f t="array" ref="I157">XLOOKUP(C157,'Master Data'!C:C,'Master Data'!H:H)</f>
        <v/>
      </c>
      <c r="J157" s="91" t="s">
        <v>12</v>
      </c>
      <c r="K157" s="92"/>
      <c r="L157" s="92"/>
      <c r="M157" s="23"/>
      <c r="N157" s="23"/>
      <c r="O157" s="23"/>
    </row>
    <row r="158">
      <c r="A158" s="93" t="str">
        <f t="array" ref="A158">XLOOKUP(C158,'TSR Initiation'!C:C,'TSR Initiation'!A:A)</f>
        <v/>
      </c>
      <c r="B158" s="95"/>
      <c r="C158" s="71" t="s">
        <v>12</v>
      </c>
      <c r="D158" s="88" t="str">
        <f t="array" ref="D158">XLOOKUP(C158,'Master Data'!C:C,'Master Data'!D:D)</f>
        <v/>
      </c>
      <c r="E158" s="71" t="str">
        <f t="array" ref="E158">XLOOKUP(C158,'TSR Initiation'!C:C,'TSR Initiation'!E:E)</f>
        <v/>
      </c>
      <c r="F158" s="88" t="str">
        <f t="array" ref="F158">XLOOKUP(C158,'Master Data'!C:C,'Master Data'!E:E)</f>
        <v/>
      </c>
      <c r="G158" s="89" t="str">
        <f t="array" ref="G158">XLOOKUP(C158,'Master Data'!C:C,'Master Data'!F:F)</f>
        <v/>
      </c>
      <c r="H158" s="89" t="str">
        <f t="array" ref="H158">XLOOKUP(C158,'Master Data'!C:C,'Master Data'!G:G)</f>
        <v/>
      </c>
      <c r="I158" s="90" t="str">
        <f t="array" ref="I158">XLOOKUP(C158,'Master Data'!C:C,'Master Data'!H:H)</f>
        <v/>
      </c>
      <c r="J158" s="91" t="s">
        <v>12</v>
      </c>
      <c r="K158" s="92"/>
      <c r="L158" s="92"/>
      <c r="M158" s="23"/>
      <c r="N158" s="23"/>
      <c r="O158" s="23"/>
    </row>
    <row r="159">
      <c r="A159" s="93" t="str">
        <f t="array" ref="A159">XLOOKUP(C159,'TSR Initiation'!C:C,'TSR Initiation'!A:A)</f>
        <v/>
      </c>
      <c r="B159" s="95"/>
      <c r="C159" s="71" t="s">
        <v>12</v>
      </c>
      <c r="D159" s="88" t="str">
        <f t="array" ref="D159">XLOOKUP(C159,'Master Data'!C:C,'Master Data'!D:D)</f>
        <v/>
      </c>
      <c r="E159" s="71" t="str">
        <f t="array" ref="E159">XLOOKUP(C159,'TSR Initiation'!C:C,'TSR Initiation'!E:E)</f>
        <v/>
      </c>
      <c r="F159" s="88" t="str">
        <f t="array" ref="F159">XLOOKUP(C159,'Master Data'!C:C,'Master Data'!E:E)</f>
        <v/>
      </c>
      <c r="G159" s="89" t="str">
        <f t="array" ref="G159">XLOOKUP(C159,'Master Data'!C:C,'Master Data'!F:F)</f>
        <v/>
      </c>
      <c r="H159" s="89" t="str">
        <f t="array" ref="H159">XLOOKUP(C159,'Master Data'!C:C,'Master Data'!G:G)</f>
        <v/>
      </c>
      <c r="I159" s="90" t="str">
        <f t="array" ref="I159">XLOOKUP(C159,'Master Data'!C:C,'Master Data'!H:H)</f>
        <v/>
      </c>
      <c r="J159" s="91" t="s">
        <v>12</v>
      </c>
      <c r="K159" s="92"/>
      <c r="L159" s="92"/>
      <c r="M159" s="23"/>
      <c r="N159" s="23"/>
      <c r="O159" s="23"/>
    </row>
    <row r="160">
      <c r="A160" s="93" t="str">
        <f t="array" ref="A160">XLOOKUP(C160,'TSR Initiation'!C:C,'TSR Initiation'!A:A)</f>
        <v/>
      </c>
      <c r="B160" s="95"/>
      <c r="C160" s="71" t="s">
        <v>12</v>
      </c>
      <c r="D160" s="88" t="str">
        <f t="array" ref="D160">XLOOKUP(C160,'Master Data'!C:C,'Master Data'!D:D)</f>
        <v/>
      </c>
      <c r="E160" s="71" t="str">
        <f t="array" ref="E160">XLOOKUP(C160,'TSR Initiation'!C:C,'TSR Initiation'!E:E)</f>
        <v/>
      </c>
      <c r="F160" s="88" t="str">
        <f t="array" ref="F160">XLOOKUP(C160,'Master Data'!C:C,'Master Data'!E:E)</f>
        <v/>
      </c>
      <c r="G160" s="89" t="str">
        <f t="array" ref="G160">XLOOKUP(C160,'Master Data'!C:C,'Master Data'!F:F)</f>
        <v/>
      </c>
      <c r="H160" s="89" t="str">
        <f t="array" ref="H160">XLOOKUP(C160,'Master Data'!C:C,'Master Data'!G:G)</f>
        <v/>
      </c>
      <c r="I160" s="90" t="str">
        <f t="array" ref="I160">XLOOKUP(C160,'Master Data'!C:C,'Master Data'!H:H)</f>
        <v/>
      </c>
      <c r="J160" s="91" t="s">
        <v>12</v>
      </c>
      <c r="K160" s="92"/>
      <c r="L160" s="92"/>
      <c r="M160" s="23"/>
      <c r="N160" s="23"/>
      <c r="O160" s="23"/>
    </row>
    <row r="161">
      <c r="A161" s="93" t="str">
        <f t="array" ref="A161">XLOOKUP(C161,'TSR Initiation'!C:C,'TSR Initiation'!A:A)</f>
        <v/>
      </c>
      <c r="B161" s="95"/>
      <c r="C161" s="71" t="s">
        <v>12</v>
      </c>
      <c r="D161" s="88" t="str">
        <f t="array" ref="D161">XLOOKUP(C161,'Master Data'!C:C,'Master Data'!D:D)</f>
        <v/>
      </c>
      <c r="E161" s="71" t="str">
        <f t="array" ref="E161">XLOOKUP(C161,'TSR Initiation'!C:C,'TSR Initiation'!E:E)</f>
        <v/>
      </c>
      <c r="F161" s="88" t="str">
        <f t="array" ref="F161">XLOOKUP(C161,'Master Data'!C:C,'Master Data'!E:E)</f>
        <v/>
      </c>
      <c r="G161" s="89" t="str">
        <f t="array" ref="G161">XLOOKUP(C161,'Master Data'!C:C,'Master Data'!F:F)</f>
        <v/>
      </c>
      <c r="H161" s="89" t="str">
        <f t="array" ref="H161">XLOOKUP(C161,'Master Data'!C:C,'Master Data'!G:G)</f>
        <v/>
      </c>
      <c r="I161" s="90" t="str">
        <f t="array" ref="I161">XLOOKUP(C161,'Master Data'!C:C,'Master Data'!H:H)</f>
        <v/>
      </c>
      <c r="J161" s="91" t="s">
        <v>12</v>
      </c>
      <c r="K161" s="92"/>
      <c r="L161" s="92"/>
      <c r="M161" s="23"/>
      <c r="N161" s="23"/>
      <c r="O161" s="23"/>
    </row>
    <row r="162">
      <c r="A162" s="93" t="str">
        <f t="array" ref="A162">XLOOKUP(C162,'TSR Initiation'!C:C,'TSR Initiation'!A:A)</f>
        <v/>
      </c>
      <c r="B162" s="95"/>
      <c r="C162" s="71" t="s">
        <v>12</v>
      </c>
      <c r="D162" s="88" t="str">
        <f t="array" ref="D162">XLOOKUP(C162,'Master Data'!C:C,'Master Data'!D:D)</f>
        <v/>
      </c>
      <c r="E162" s="71" t="str">
        <f t="array" ref="E162">XLOOKUP(C162,'TSR Initiation'!C:C,'TSR Initiation'!E:E)</f>
        <v/>
      </c>
      <c r="F162" s="88" t="str">
        <f t="array" ref="F162">XLOOKUP(C162,'Master Data'!C:C,'Master Data'!E:E)</f>
        <v/>
      </c>
      <c r="G162" s="89" t="str">
        <f t="array" ref="G162">XLOOKUP(C162,'Master Data'!C:C,'Master Data'!F:F)</f>
        <v/>
      </c>
      <c r="H162" s="89" t="str">
        <f t="array" ref="H162">XLOOKUP(C162,'Master Data'!C:C,'Master Data'!G:G)</f>
        <v/>
      </c>
      <c r="I162" s="90" t="str">
        <f t="array" ref="I162">XLOOKUP(C162,'Master Data'!C:C,'Master Data'!H:H)</f>
        <v/>
      </c>
      <c r="J162" s="91" t="s">
        <v>12</v>
      </c>
      <c r="K162" s="92"/>
      <c r="L162" s="92"/>
      <c r="M162" s="23"/>
      <c r="N162" s="23"/>
      <c r="O162" s="23"/>
    </row>
    <row r="163">
      <c r="A163" s="93" t="str">
        <f t="array" ref="A163">XLOOKUP(C163,'TSR Initiation'!C:C,'TSR Initiation'!A:A)</f>
        <v/>
      </c>
      <c r="B163" s="95"/>
      <c r="C163" s="71" t="s">
        <v>12</v>
      </c>
      <c r="D163" s="88" t="str">
        <f t="array" ref="D163">XLOOKUP(C163,'Master Data'!C:C,'Master Data'!D:D)</f>
        <v/>
      </c>
      <c r="E163" s="71" t="str">
        <f t="array" ref="E163">XLOOKUP(C163,'TSR Initiation'!C:C,'TSR Initiation'!E:E)</f>
        <v/>
      </c>
      <c r="F163" s="88" t="str">
        <f t="array" ref="F163">XLOOKUP(C163,'Master Data'!C:C,'Master Data'!E:E)</f>
        <v/>
      </c>
      <c r="G163" s="89" t="str">
        <f t="array" ref="G163">XLOOKUP(C163,'Master Data'!C:C,'Master Data'!F:F)</f>
        <v/>
      </c>
      <c r="H163" s="89" t="str">
        <f t="array" ref="H163">XLOOKUP(C163,'Master Data'!C:C,'Master Data'!G:G)</f>
        <v/>
      </c>
      <c r="I163" s="90" t="str">
        <f t="array" ref="I163">XLOOKUP(C163,'Master Data'!C:C,'Master Data'!H:H)</f>
        <v/>
      </c>
      <c r="J163" s="91" t="s">
        <v>12</v>
      </c>
      <c r="K163" s="92"/>
      <c r="L163" s="92"/>
      <c r="M163" s="23"/>
      <c r="N163" s="23"/>
      <c r="O163" s="23"/>
    </row>
    <row r="164">
      <c r="A164" s="93" t="str">
        <f t="array" ref="A164">XLOOKUP(C164,'TSR Initiation'!C:C,'TSR Initiation'!A:A)</f>
        <v/>
      </c>
      <c r="B164" s="95"/>
      <c r="C164" s="71" t="s">
        <v>12</v>
      </c>
      <c r="D164" s="88" t="str">
        <f t="array" ref="D164">XLOOKUP(C164,'Master Data'!C:C,'Master Data'!D:D)</f>
        <v/>
      </c>
      <c r="E164" s="71" t="str">
        <f t="array" ref="E164">XLOOKUP(C164,'TSR Initiation'!C:C,'TSR Initiation'!E:E)</f>
        <v/>
      </c>
      <c r="F164" s="88" t="str">
        <f t="array" ref="F164">XLOOKUP(C164,'Master Data'!C:C,'Master Data'!E:E)</f>
        <v/>
      </c>
      <c r="G164" s="89" t="str">
        <f t="array" ref="G164">XLOOKUP(C164,'Master Data'!C:C,'Master Data'!F:F)</f>
        <v/>
      </c>
      <c r="H164" s="89" t="str">
        <f t="array" ref="H164">XLOOKUP(C164,'Master Data'!C:C,'Master Data'!G:G)</f>
        <v/>
      </c>
      <c r="I164" s="90" t="str">
        <f t="array" ref="I164">XLOOKUP(C164,'Master Data'!C:C,'Master Data'!H:H)</f>
        <v/>
      </c>
      <c r="J164" s="91" t="s">
        <v>12</v>
      </c>
      <c r="K164" s="92"/>
      <c r="L164" s="92"/>
      <c r="M164" s="23"/>
      <c r="N164" s="23"/>
      <c r="O164" s="23"/>
    </row>
    <row r="165">
      <c r="A165" s="93" t="str">
        <f t="array" ref="A165">XLOOKUP(C165,'TSR Initiation'!C:C,'TSR Initiation'!A:A)</f>
        <v/>
      </c>
      <c r="B165" s="95"/>
      <c r="C165" s="71" t="s">
        <v>12</v>
      </c>
      <c r="D165" s="88" t="str">
        <f t="array" ref="D165">XLOOKUP(C165,'Master Data'!C:C,'Master Data'!D:D)</f>
        <v/>
      </c>
      <c r="E165" s="71" t="str">
        <f t="array" ref="E165">XLOOKUP(C165,'TSR Initiation'!C:C,'TSR Initiation'!E:E)</f>
        <v/>
      </c>
      <c r="F165" s="88" t="str">
        <f t="array" ref="F165">XLOOKUP(C165,'Master Data'!C:C,'Master Data'!E:E)</f>
        <v/>
      </c>
      <c r="G165" s="89" t="str">
        <f t="array" ref="G165">XLOOKUP(C165,'Master Data'!C:C,'Master Data'!F:F)</f>
        <v/>
      </c>
      <c r="H165" s="89" t="str">
        <f t="array" ref="H165">XLOOKUP(C165,'Master Data'!C:C,'Master Data'!G:G)</f>
        <v/>
      </c>
      <c r="I165" s="90" t="str">
        <f t="array" ref="I165">XLOOKUP(C165,'Master Data'!C:C,'Master Data'!H:H)</f>
        <v/>
      </c>
      <c r="J165" s="91" t="s">
        <v>12</v>
      </c>
      <c r="K165" s="92"/>
      <c r="L165" s="92"/>
      <c r="M165" s="23"/>
      <c r="N165" s="23"/>
      <c r="O165" s="23"/>
    </row>
    <row r="166">
      <c r="A166" s="93" t="str">
        <f t="array" ref="A166">XLOOKUP(C166,'TSR Initiation'!C:C,'TSR Initiation'!A:A)</f>
        <v/>
      </c>
      <c r="B166" s="95"/>
      <c r="C166" s="71" t="s">
        <v>12</v>
      </c>
      <c r="D166" s="88" t="str">
        <f t="array" ref="D166">XLOOKUP(C166,'Master Data'!C:C,'Master Data'!D:D)</f>
        <v/>
      </c>
      <c r="E166" s="71" t="str">
        <f t="array" ref="E166">XLOOKUP(C166,'TSR Initiation'!C:C,'TSR Initiation'!E:E)</f>
        <v/>
      </c>
      <c r="F166" s="88" t="str">
        <f t="array" ref="F166">XLOOKUP(C166,'Master Data'!C:C,'Master Data'!E:E)</f>
        <v/>
      </c>
      <c r="G166" s="89" t="str">
        <f t="array" ref="G166">XLOOKUP(C166,'Master Data'!C:C,'Master Data'!F:F)</f>
        <v/>
      </c>
      <c r="H166" s="89" t="str">
        <f t="array" ref="H166">XLOOKUP(C166,'Master Data'!C:C,'Master Data'!G:G)</f>
        <v/>
      </c>
      <c r="I166" s="90" t="str">
        <f t="array" ref="I166">XLOOKUP(C166,'Master Data'!C:C,'Master Data'!H:H)</f>
        <v/>
      </c>
      <c r="J166" s="91" t="s">
        <v>12</v>
      </c>
      <c r="K166" s="92"/>
      <c r="L166" s="92"/>
      <c r="M166" s="23"/>
      <c r="N166" s="23"/>
      <c r="O166" s="23"/>
    </row>
    <row r="167">
      <c r="A167" s="93" t="str">
        <f t="array" ref="A167">XLOOKUP(C167,'TSR Initiation'!C:C,'TSR Initiation'!A:A)</f>
        <v/>
      </c>
      <c r="B167" s="95"/>
      <c r="C167" s="71" t="s">
        <v>12</v>
      </c>
      <c r="D167" s="88" t="str">
        <f t="array" ref="D167">XLOOKUP(C167,'Master Data'!C:C,'Master Data'!D:D)</f>
        <v/>
      </c>
      <c r="E167" s="71" t="str">
        <f t="array" ref="E167">XLOOKUP(C167,'TSR Initiation'!C:C,'TSR Initiation'!E:E)</f>
        <v/>
      </c>
      <c r="F167" s="88" t="str">
        <f t="array" ref="F167">XLOOKUP(C167,'Master Data'!C:C,'Master Data'!E:E)</f>
        <v/>
      </c>
      <c r="G167" s="89" t="str">
        <f t="array" ref="G167">XLOOKUP(C167,'Master Data'!C:C,'Master Data'!F:F)</f>
        <v/>
      </c>
      <c r="H167" s="89" t="str">
        <f t="array" ref="H167">XLOOKUP(C167,'Master Data'!C:C,'Master Data'!G:G)</f>
        <v/>
      </c>
      <c r="I167" s="90" t="str">
        <f t="array" ref="I167">XLOOKUP(C167,'Master Data'!C:C,'Master Data'!H:H)</f>
        <v/>
      </c>
      <c r="J167" s="91" t="s">
        <v>12</v>
      </c>
      <c r="K167" s="92"/>
      <c r="L167" s="92"/>
      <c r="M167" s="23"/>
      <c r="N167" s="23"/>
      <c r="O167" s="23"/>
    </row>
    <row r="168">
      <c r="A168" s="93" t="str">
        <f t="array" ref="A168">XLOOKUP(C168,'TSR Initiation'!C:C,'TSR Initiation'!A:A)</f>
        <v/>
      </c>
      <c r="B168" s="95"/>
      <c r="C168" s="71" t="s">
        <v>12</v>
      </c>
      <c r="D168" s="88" t="str">
        <f t="array" ref="D168">XLOOKUP(C168,'Master Data'!C:C,'Master Data'!D:D)</f>
        <v/>
      </c>
      <c r="E168" s="71" t="str">
        <f t="array" ref="E168">XLOOKUP(C168,'TSR Initiation'!C:C,'TSR Initiation'!E:E)</f>
        <v/>
      </c>
      <c r="F168" s="88" t="str">
        <f t="array" ref="F168">XLOOKUP(C168,'Master Data'!C:C,'Master Data'!E:E)</f>
        <v/>
      </c>
      <c r="G168" s="89" t="str">
        <f t="array" ref="G168">XLOOKUP(C168,'Master Data'!C:C,'Master Data'!F:F)</f>
        <v/>
      </c>
      <c r="H168" s="89" t="str">
        <f t="array" ref="H168">XLOOKUP(C168,'Master Data'!C:C,'Master Data'!G:G)</f>
        <v/>
      </c>
      <c r="I168" s="90" t="str">
        <f t="array" ref="I168">XLOOKUP(C168,'Master Data'!C:C,'Master Data'!H:H)</f>
        <v/>
      </c>
      <c r="J168" s="91" t="s">
        <v>12</v>
      </c>
      <c r="K168" s="92"/>
      <c r="L168" s="92"/>
      <c r="M168" s="23"/>
      <c r="N168" s="23"/>
      <c r="O168" s="23"/>
    </row>
    <row r="169">
      <c r="A169" s="93" t="str">
        <f t="array" ref="A169">XLOOKUP(C169,'TSR Initiation'!C:C,'TSR Initiation'!A:A)</f>
        <v/>
      </c>
      <c r="B169" s="95"/>
      <c r="C169" s="71" t="s">
        <v>12</v>
      </c>
      <c r="D169" s="88" t="str">
        <f t="array" ref="D169">XLOOKUP(C169,'Master Data'!C:C,'Master Data'!D:D)</f>
        <v/>
      </c>
      <c r="E169" s="71" t="str">
        <f t="array" ref="E169">XLOOKUP(C169,'TSR Initiation'!C:C,'TSR Initiation'!E:E)</f>
        <v/>
      </c>
      <c r="F169" s="88" t="str">
        <f t="array" ref="F169">XLOOKUP(C169,'Master Data'!C:C,'Master Data'!E:E)</f>
        <v/>
      </c>
      <c r="G169" s="89" t="str">
        <f t="array" ref="G169">XLOOKUP(C169,'Master Data'!C:C,'Master Data'!F:F)</f>
        <v/>
      </c>
      <c r="H169" s="89" t="str">
        <f t="array" ref="H169">XLOOKUP(C169,'Master Data'!C:C,'Master Data'!G:G)</f>
        <v/>
      </c>
      <c r="I169" s="90" t="str">
        <f t="array" ref="I169">XLOOKUP(C169,'Master Data'!C:C,'Master Data'!H:H)</f>
        <v/>
      </c>
      <c r="J169" s="91" t="s">
        <v>12</v>
      </c>
      <c r="K169" s="92"/>
      <c r="L169" s="92"/>
      <c r="M169" s="23"/>
      <c r="N169" s="23"/>
      <c r="O169" s="23"/>
    </row>
    <row r="170">
      <c r="A170" s="93" t="str">
        <f t="array" ref="A170">XLOOKUP(C170,'TSR Initiation'!C:C,'TSR Initiation'!A:A)</f>
        <v/>
      </c>
      <c r="B170" s="95"/>
      <c r="C170" s="71" t="s">
        <v>12</v>
      </c>
      <c r="D170" s="88" t="str">
        <f t="array" ref="D170">XLOOKUP(C170,'Master Data'!C:C,'Master Data'!D:D)</f>
        <v/>
      </c>
      <c r="E170" s="71" t="str">
        <f t="array" ref="E170">XLOOKUP(C170,'TSR Initiation'!C:C,'TSR Initiation'!E:E)</f>
        <v/>
      </c>
      <c r="F170" s="88" t="str">
        <f t="array" ref="F170">XLOOKUP(C170,'Master Data'!C:C,'Master Data'!E:E)</f>
        <v/>
      </c>
      <c r="G170" s="89" t="str">
        <f t="array" ref="G170">XLOOKUP(C170,'Master Data'!C:C,'Master Data'!F:F)</f>
        <v/>
      </c>
      <c r="H170" s="89" t="str">
        <f t="array" ref="H170">XLOOKUP(C170,'Master Data'!C:C,'Master Data'!G:G)</f>
        <v/>
      </c>
      <c r="I170" s="90" t="str">
        <f t="array" ref="I170">XLOOKUP(C170,'Master Data'!C:C,'Master Data'!H:H)</f>
        <v/>
      </c>
      <c r="J170" s="91" t="s">
        <v>12</v>
      </c>
      <c r="K170" s="92"/>
      <c r="L170" s="92"/>
      <c r="M170" s="23"/>
      <c r="N170" s="23"/>
      <c r="O170" s="23"/>
    </row>
    <row r="171">
      <c r="A171" s="93" t="str">
        <f t="array" ref="A171">XLOOKUP(C171,'TSR Initiation'!C:C,'TSR Initiation'!A:A)</f>
        <v/>
      </c>
      <c r="B171" s="95"/>
      <c r="C171" s="71" t="s">
        <v>12</v>
      </c>
      <c r="D171" s="88" t="str">
        <f t="array" ref="D171">XLOOKUP(C171,'Master Data'!C:C,'Master Data'!D:D)</f>
        <v/>
      </c>
      <c r="E171" s="71" t="str">
        <f t="array" ref="E171">XLOOKUP(C171,'TSR Initiation'!C:C,'TSR Initiation'!E:E)</f>
        <v/>
      </c>
      <c r="F171" s="88" t="str">
        <f t="array" ref="F171">XLOOKUP(C171,'Master Data'!C:C,'Master Data'!E:E)</f>
        <v/>
      </c>
      <c r="G171" s="89" t="str">
        <f t="array" ref="G171">XLOOKUP(C171,'Master Data'!C:C,'Master Data'!F:F)</f>
        <v/>
      </c>
      <c r="H171" s="89" t="str">
        <f t="array" ref="H171">XLOOKUP(C171,'Master Data'!C:C,'Master Data'!G:G)</f>
        <v/>
      </c>
      <c r="I171" s="90" t="str">
        <f t="array" ref="I171">XLOOKUP(C171,'Master Data'!C:C,'Master Data'!H:H)</f>
        <v/>
      </c>
      <c r="J171" s="91" t="s">
        <v>12</v>
      </c>
      <c r="K171" s="92"/>
      <c r="L171" s="92"/>
      <c r="M171" s="23"/>
      <c r="N171" s="23"/>
      <c r="O171" s="23"/>
    </row>
    <row r="172">
      <c r="A172" s="93" t="str">
        <f t="array" ref="A172">XLOOKUP(C172,'TSR Initiation'!C:C,'TSR Initiation'!A:A)</f>
        <v/>
      </c>
      <c r="B172" s="95"/>
      <c r="C172" s="71" t="s">
        <v>12</v>
      </c>
      <c r="D172" s="88" t="str">
        <f t="array" ref="D172">XLOOKUP(C172,'Master Data'!C:C,'Master Data'!D:D)</f>
        <v/>
      </c>
      <c r="E172" s="71" t="str">
        <f t="array" ref="E172">XLOOKUP(C172,'TSR Initiation'!C:C,'TSR Initiation'!E:E)</f>
        <v/>
      </c>
      <c r="F172" s="88" t="str">
        <f t="array" ref="F172">XLOOKUP(C172,'Master Data'!C:C,'Master Data'!E:E)</f>
        <v/>
      </c>
      <c r="G172" s="89" t="str">
        <f t="array" ref="G172">XLOOKUP(C172,'Master Data'!C:C,'Master Data'!F:F)</f>
        <v/>
      </c>
      <c r="H172" s="89" t="str">
        <f t="array" ref="H172">XLOOKUP(C172,'Master Data'!C:C,'Master Data'!G:G)</f>
        <v/>
      </c>
      <c r="I172" s="90" t="str">
        <f t="array" ref="I172">XLOOKUP(C172,'Master Data'!C:C,'Master Data'!H:H)</f>
        <v/>
      </c>
      <c r="J172" s="91" t="s">
        <v>12</v>
      </c>
      <c r="K172" s="92"/>
      <c r="L172" s="92"/>
      <c r="M172" s="23"/>
      <c r="N172" s="23"/>
      <c r="O172" s="23"/>
    </row>
    <row r="173">
      <c r="A173" s="93" t="str">
        <f t="array" ref="A173">XLOOKUP(C173,'TSR Initiation'!C:C,'TSR Initiation'!A:A)</f>
        <v/>
      </c>
      <c r="B173" s="95"/>
      <c r="C173" s="71" t="s">
        <v>12</v>
      </c>
      <c r="D173" s="88" t="str">
        <f t="array" ref="D173">XLOOKUP(C173,'Master Data'!C:C,'Master Data'!D:D)</f>
        <v/>
      </c>
      <c r="E173" s="71" t="str">
        <f t="array" ref="E173">XLOOKUP(C173,'TSR Initiation'!C:C,'TSR Initiation'!E:E)</f>
        <v/>
      </c>
      <c r="F173" s="88" t="str">
        <f t="array" ref="F173">XLOOKUP(C173,'Master Data'!C:C,'Master Data'!E:E)</f>
        <v/>
      </c>
      <c r="G173" s="89" t="str">
        <f t="array" ref="G173">XLOOKUP(C173,'Master Data'!C:C,'Master Data'!F:F)</f>
        <v/>
      </c>
      <c r="H173" s="89" t="str">
        <f t="array" ref="H173">XLOOKUP(C173,'Master Data'!C:C,'Master Data'!G:G)</f>
        <v/>
      </c>
      <c r="I173" s="90" t="str">
        <f t="array" ref="I173">XLOOKUP(C173,'Master Data'!C:C,'Master Data'!H:H)</f>
        <v/>
      </c>
      <c r="J173" s="91" t="s">
        <v>12</v>
      </c>
      <c r="K173" s="92"/>
      <c r="L173" s="92"/>
      <c r="M173" s="23"/>
      <c r="N173" s="23"/>
      <c r="O173" s="23"/>
    </row>
    <row r="174">
      <c r="A174" s="93" t="str">
        <f t="array" ref="A174">XLOOKUP(C174,'TSR Initiation'!C:C,'TSR Initiation'!A:A)</f>
        <v/>
      </c>
      <c r="B174" s="95"/>
      <c r="C174" s="71" t="s">
        <v>12</v>
      </c>
      <c r="D174" s="88" t="str">
        <f t="array" ref="D174">XLOOKUP(C174,'Master Data'!C:C,'Master Data'!D:D)</f>
        <v/>
      </c>
      <c r="E174" s="71" t="str">
        <f t="array" ref="E174">XLOOKUP(C174,'TSR Initiation'!C:C,'TSR Initiation'!E:E)</f>
        <v/>
      </c>
      <c r="F174" s="88" t="str">
        <f t="array" ref="F174">XLOOKUP(C174,'Master Data'!C:C,'Master Data'!E:E)</f>
        <v/>
      </c>
      <c r="G174" s="89" t="str">
        <f t="array" ref="G174">XLOOKUP(C174,'Master Data'!C:C,'Master Data'!F:F)</f>
        <v/>
      </c>
      <c r="H174" s="89" t="str">
        <f t="array" ref="H174">XLOOKUP(C174,'Master Data'!C:C,'Master Data'!G:G)</f>
        <v/>
      </c>
      <c r="I174" s="90" t="str">
        <f t="array" ref="I174">XLOOKUP(C174,'Master Data'!C:C,'Master Data'!H:H)</f>
        <v/>
      </c>
      <c r="J174" s="91" t="s">
        <v>12</v>
      </c>
      <c r="K174" s="92"/>
      <c r="L174" s="92"/>
      <c r="M174" s="23"/>
      <c r="N174" s="23"/>
      <c r="O174" s="23"/>
    </row>
    <row r="175">
      <c r="A175" s="93" t="str">
        <f t="array" ref="A175">XLOOKUP(C175,'TSR Initiation'!C:C,'TSR Initiation'!A:A)</f>
        <v/>
      </c>
      <c r="B175" s="95"/>
      <c r="C175" s="71" t="s">
        <v>12</v>
      </c>
      <c r="D175" s="88" t="str">
        <f t="array" ref="D175">XLOOKUP(C175,'Master Data'!C:C,'Master Data'!D:D)</f>
        <v/>
      </c>
      <c r="E175" s="71" t="str">
        <f t="array" ref="E175">XLOOKUP(C175,'TSR Initiation'!C:C,'TSR Initiation'!E:E)</f>
        <v/>
      </c>
      <c r="F175" s="88" t="str">
        <f t="array" ref="F175">XLOOKUP(C175,'Master Data'!C:C,'Master Data'!E:E)</f>
        <v/>
      </c>
      <c r="G175" s="89" t="str">
        <f t="array" ref="G175">XLOOKUP(C175,'Master Data'!C:C,'Master Data'!F:F)</f>
        <v/>
      </c>
      <c r="H175" s="89" t="str">
        <f t="array" ref="H175">XLOOKUP(C175,'Master Data'!C:C,'Master Data'!G:G)</f>
        <v/>
      </c>
      <c r="I175" s="90" t="str">
        <f t="array" ref="I175">XLOOKUP(C175,'Master Data'!C:C,'Master Data'!H:H)</f>
        <v/>
      </c>
      <c r="J175" s="91" t="s">
        <v>12</v>
      </c>
      <c r="K175" s="92"/>
      <c r="L175" s="92"/>
      <c r="M175" s="23"/>
      <c r="N175" s="23"/>
      <c r="O175" s="23"/>
    </row>
    <row r="176">
      <c r="A176" s="93" t="str">
        <f t="array" ref="A176">XLOOKUP(C176,'TSR Initiation'!C:C,'TSR Initiation'!A:A)</f>
        <v/>
      </c>
      <c r="B176" s="95"/>
      <c r="C176" s="71" t="s">
        <v>12</v>
      </c>
      <c r="D176" s="88" t="str">
        <f t="array" ref="D176">XLOOKUP(C176,'Master Data'!C:C,'Master Data'!D:D)</f>
        <v/>
      </c>
      <c r="E176" s="71" t="str">
        <f t="array" ref="E176">XLOOKUP(C176,'TSR Initiation'!C:C,'TSR Initiation'!E:E)</f>
        <v/>
      </c>
      <c r="F176" s="88" t="str">
        <f t="array" ref="F176">XLOOKUP(C176,'Master Data'!C:C,'Master Data'!E:E)</f>
        <v/>
      </c>
      <c r="G176" s="89" t="str">
        <f t="array" ref="G176">XLOOKUP(C176,'Master Data'!C:C,'Master Data'!F:F)</f>
        <v/>
      </c>
      <c r="H176" s="89" t="str">
        <f t="array" ref="H176">XLOOKUP(C176,'Master Data'!C:C,'Master Data'!G:G)</f>
        <v/>
      </c>
      <c r="I176" s="90" t="str">
        <f t="array" ref="I176">XLOOKUP(C176,'Master Data'!C:C,'Master Data'!H:H)</f>
        <v/>
      </c>
      <c r="J176" s="91" t="s">
        <v>12</v>
      </c>
      <c r="K176" s="92"/>
      <c r="L176" s="92"/>
      <c r="M176" s="23"/>
      <c r="N176" s="23"/>
      <c r="O176" s="23"/>
    </row>
    <row r="177">
      <c r="A177" s="93" t="str">
        <f t="array" ref="A177">XLOOKUP(C177,'TSR Initiation'!C:C,'TSR Initiation'!A:A)</f>
        <v/>
      </c>
      <c r="B177" s="95"/>
      <c r="C177" s="71" t="s">
        <v>12</v>
      </c>
      <c r="D177" s="88" t="str">
        <f t="array" ref="D177">XLOOKUP(C177,'Master Data'!C:C,'Master Data'!D:D)</f>
        <v/>
      </c>
      <c r="E177" s="71" t="str">
        <f t="array" ref="E177">XLOOKUP(C177,'TSR Initiation'!C:C,'TSR Initiation'!E:E)</f>
        <v/>
      </c>
      <c r="F177" s="88" t="str">
        <f t="array" ref="F177">XLOOKUP(C177,'Master Data'!C:C,'Master Data'!E:E)</f>
        <v/>
      </c>
      <c r="G177" s="89" t="str">
        <f t="array" ref="G177">XLOOKUP(C177,'Master Data'!C:C,'Master Data'!F:F)</f>
        <v/>
      </c>
      <c r="H177" s="89" t="str">
        <f t="array" ref="H177">XLOOKUP(C177,'Master Data'!C:C,'Master Data'!G:G)</f>
        <v/>
      </c>
      <c r="I177" s="90" t="str">
        <f t="array" ref="I177">XLOOKUP(C177,'Master Data'!C:C,'Master Data'!H:H)</f>
        <v/>
      </c>
      <c r="J177" s="91" t="s">
        <v>12</v>
      </c>
      <c r="K177" s="92"/>
      <c r="L177" s="92"/>
      <c r="M177" s="23"/>
      <c r="N177" s="23"/>
      <c r="O177" s="23"/>
    </row>
    <row r="178">
      <c r="A178" s="93" t="str">
        <f t="array" ref="A178">XLOOKUP(C178,'TSR Initiation'!C:C,'TSR Initiation'!A:A)</f>
        <v/>
      </c>
      <c r="B178" s="95"/>
      <c r="C178" s="71" t="s">
        <v>12</v>
      </c>
      <c r="D178" s="88" t="str">
        <f t="array" ref="D178">XLOOKUP(C178,'Master Data'!C:C,'Master Data'!D:D)</f>
        <v/>
      </c>
      <c r="E178" s="71" t="str">
        <f t="array" ref="E178">XLOOKUP(C178,'TSR Initiation'!C:C,'TSR Initiation'!E:E)</f>
        <v/>
      </c>
      <c r="F178" s="88" t="str">
        <f t="array" ref="F178">XLOOKUP(C178,'Master Data'!C:C,'Master Data'!E:E)</f>
        <v/>
      </c>
      <c r="G178" s="89" t="str">
        <f t="array" ref="G178">XLOOKUP(C178,'Master Data'!C:C,'Master Data'!F:F)</f>
        <v/>
      </c>
      <c r="H178" s="89" t="str">
        <f t="array" ref="H178">XLOOKUP(C178,'Master Data'!C:C,'Master Data'!G:G)</f>
        <v/>
      </c>
      <c r="I178" s="90" t="str">
        <f t="array" ref="I178">XLOOKUP(C178,'Master Data'!C:C,'Master Data'!H:H)</f>
        <v/>
      </c>
      <c r="J178" s="91" t="s">
        <v>12</v>
      </c>
      <c r="K178" s="92"/>
      <c r="L178" s="92"/>
      <c r="M178" s="23"/>
      <c r="N178" s="23"/>
      <c r="O178" s="23"/>
    </row>
    <row r="179">
      <c r="A179" s="93" t="str">
        <f t="array" ref="A179">XLOOKUP(C179,'TSR Initiation'!C:C,'TSR Initiation'!A:A)</f>
        <v/>
      </c>
      <c r="B179" s="95"/>
      <c r="C179" s="71" t="s">
        <v>12</v>
      </c>
      <c r="D179" s="88" t="str">
        <f t="array" ref="D179">XLOOKUP(C179,'Master Data'!C:C,'Master Data'!D:D)</f>
        <v/>
      </c>
      <c r="E179" s="71" t="str">
        <f t="array" ref="E179">XLOOKUP(C179,'TSR Initiation'!C:C,'TSR Initiation'!E:E)</f>
        <v/>
      </c>
      <c r="F179" s="88" t="str">
        <f t="array" ref="F179">XLOOKUP(C179,'Master Data'!C:C,'Master Data'!E:E)</f>
        <v/>
      </c>
      <c r="G179" s="89" t="str">
        <f t="array" ref="G179">XLOOKUP(C179,'Master Data'!C:C,'Master Data'!F:F)</f>
        <v/>
      </c>
      <c r="H179" s="89" t="str">
        <f t="array" ref="H179">XLOOKUP(C179,'Master Data'!C:C,'Master Data'!G:G)</f>
        <v/>
      </c>
      <c r="I179" s="90" t="str">
        <f t="array" ref="I179">XLOOKUP(C179,'Master Data'!C:C,'Master Data'!H:H)</f>
        <v/>
      </c>
      <c r="J179" s="91" t="s">
        <v>12</v>
      </c>
      <c r="K179" s="92"/>
      <c r="L179" s="92"/>
      <c r="M179" s="23"/>
      <c r="N179" s="23"/>
      <c r="O179" s="23"/>
    </row>
    <row r="180">
      <c r="A180" s="93" t="str">
        <f t="array" ref="A180">XLOOKUP(C180,'TSR Initiation'!C:C,'TSR Initiation'!A:A)</f>
        <v/>
      </c>
      <c r="B180" s="95"/>
      <c r="C180" s="71" t="s">
        <v>12</v>
      </c>
      <c r="D180" s="88" t="str">
        <f t="array" ref="D180">XLOOKUP(C180,'Master Data'!C:C,'Master Data'!D:D)</f>
        <v/>
      </c>
      <c r="E180" s="71" t="str">
        <f t="array" ref="E180">XLOOKUP(C180,'TSR Initiation'!C:C,'TSR Initiation'!E:E)</f>
        <v/>
      </c>
      <c r="F180" s="88" t="str">
        <f t="array" ref="F180">XLOOKUP(C180,'Master Data'!C:C,'Master Data'!E:E)</f>
        <v/>
      </c>
      <c r="G180" s="89" t="str">
        <f t="array" ref="G180">XLOOKUP(C180,'Master Data'!C:C,'Master Data'!F:F)</f>
        <v/>
      </c>
      <c r="H180" s="89" t="str">
        <f t="array" ref="H180">XLOOKUP(C180,'Master Data'!C:C,'Master Data'!G:G)</f>
        <v/>
      </c>
      <c r="I180" s="90" t="str">
        <f t="array" ref="I180">XLOOKUP(C180,'Master Data'!C:C,'Master Data'!H:H)</f>
        <v/>
      </c>
      <c r="J180" s="91" t="s">
        <v>12</v>
      </c>
      <c r="K180" s="92"/>
      <c r="L180" s="92"/>
      <c r="M180" s="23"/>
      <c r="N180" s="23"/>
      <c r="O180" s="23"/>
    </row>
    <row r="181">
      <c r="A181" s="93" t="str">
        <f t="array" ref="A181">XLOOKUP(C181,'TSR Initiation'!C:C,'TSR Initiation'!A:A)</f>
        <v/>
      </c>
      <c r="B181" s="95"/>
      <c r="C181" s="71" t="s">
        <v>12</v>
      </c>
      <c r="D181" s="88" t="str">
        <f t="array" ref="D181">XLOOKUP(C181,'Master Data'!C:C,'Master Data'!D:D)</f>
        <v/>
      </c>
      <c r="E181" s="71" t="str">
        <f t="array" ref="E181">XLOOKUP(C181,'TSR Initiation'!C:C,'TSR Initiation'!E:E)</f>
        <v/>
      </c>
      <c r="F181" s="88" t="str">
        <f t="array" ref="F181">XLOOKUP(C181,'Master Data'!C:C,'Master Data'!E:E)</f>
        <v/>
      </c>
      <c r="G181" s="89" t="str">
        <f t="array" ref="G181">XLOOKUP(C181,'Master Data'!C:C,'Master Data'!F:F)</f>
        <v/>
      </c>
      <c r="H181" s="89" t="str">
        <f t="array" ref="H181">XLOOKUP(C181,'Master Data'!C:C,'Master Data'!G:G)</f>
        <v/>
      </c>
      <c r="I181" s="90" t="str">
        <f t="array" ref="I181">XLOOKUP(C181,'Master Data'!C:C,'Master Data'!H:H)</f>
        <v/>
      </c>
      <c r="J181" s="91" t="s">
        <v>12</v>
      </c>
      <c r="K181" s="92"/>
      <c r="L181" s="92"/>
      <c r="M181" s="23"/>
      <c r="N181" s="23"/>
      <c r="O181" s="23"/>
    </row>
    <row r="182">
      <c r="A182" s="93" t="str">
        <f t="array" ref="A182">XLOOKUP(C182,'TSR Initiation'!C:C,'TSR Initiation'!A:A)</f>
        <v/>
      </c>
      <c r="B182" s="95"/>
      <c r="C182" s="71" t="s">
        <v>12</v>
      </c>
      <c r="D182" s="88" t="str">
        <f t="array" ref="D182">XLOOKUP(C182,'Master Data'!C:C,'Master Data'!D:D)</f>
        <v/>
      </c>
      <c r="E182" s="71" t="str">
        <f t="array" ref="E182">XLOOKUP(C182,'TSR Initiation'!C:C,'TSR Initiation'!E:E)</f>
        <v/>
      </c>
      <c r="F182" s="88" t="str">
        <f t="array" ref="F182">XLOOKUP(C182,'Master Data'!C:C,'Master Data'!E:E)</f>
        <v/>
      </c>
      <c r="G182" s="89" t="str">
        <f t="array" ref="G182">XLOOKUP(C182,'Master Data'!C:C,'Master Data'!F:F)</f>
        <v/>
      </c>
      <c r="H182" s="89" t="str">
        <f t="array" ref="H182">XLOOKUP(C182,'Master Data'!C:C,'Master Data'!G:G)</f>
        <v/>
      </c>
      <c r="I182" s="90" t="str">
        <f t="array" ref="I182">XLOOKUP(C182,'Master Data'!C:C,'Master Data'!H:H)</f>
        <v/>
      </c>
      <c r="J182" s="91" t="s">
        <v>12</v>
      </c>
      <c r="K182" s="92"/>
      <c r="L182" s="92"/>
      <c r="M182" s="23"/>
      <c r="N182" s="23"/>
      <c r="O182" s="23"/>
    </row>
    <row r="183">
      <c r="A183" s="93" t="str">
        <f t="array" ref="A183">XLOOKUP(C183,'TSR Initiation'!C:C,'TSR Initiation'!A:A)</f>
        <v/>
      </c>
      <c r="B183" s="95"/>
      <c r="C183" s="71" t="s">
        <v>12</v>
      </c>
      <c r="D183" s="88" t="str">
        <f t="array" ref="D183">XLOOKUP(C183,'Master Data'!C:C,'Master Data'!D:D)</f>
        <v/>
      </c>
      <c r="E183" s="71" t="str">
        <f t="array" ref="E183">XLOOKUP(C183,'TSR Initiation'!C:C,'TSR Initiation'!E:E)</f>
        <v/>
      </c>
      <c r="F183" s="88" t="str">
        <f t="array" ref="F183">XLOOKUP(C183,'Master Data'!C:C,'Master Data'!E:E)</f>
        <v/>
      </c>
      <c r="G183" s="89" t="str">
        <f t="array" ref="G183">XLOOKUP(C183,'Master Data'!C:C,'Master Data'!F:F)</f>
        <v/>
      </c>
      <c r="H183" s="89" t="str">
        <f t="array" ref="H183">XLOOKUP(C183,'Master Data'!C:C,'Master Data'!G:G)</f>
        <v/>
      </c>
      <c r="I183" s="90" t="str">
        <f t="array" ref="I183">XLOOKUP(C183,'Master Data'!C:C,'Master Data'!H:H)</f>
        <v/>
      </c>
      <c r="J183" s="91" t="s">
        <v>12</v>
      </c>
      <c r="K183" s="92"/>
      <c r="L183" s="92"/>
      <c r="M183" s="23"/>
      <c r="N183" s="23"/>
      <c r="O183" s="23"/>
    </row>
    <row r="184">
      <c r="A184" s="93" t="str">
        <f t="array" ref="A184">XLOOKUP(C184,'TSR Initiation'!C:C,'TSR Initiation'!A:A)</f>
        <v/>
      </c>
      <c r="B184" s="95"/>
      <c r="C184" s="71" t="s">
        <v>12</v>
      </c>
      <c r="D184" s="88" t="str">
        <f t="array" ref="D184">XLOOKUP(C184,'Master Data'!C:C,'Master Data'!D:D)</f>
        <v/>
      </c>
      <c r="E184" s="71" t="str">
        <f t="array" ref="E184">XLOOKUP(C184,'TSR Initiation'!C:C,'TSR Initiation'!E:E)</f>
        <v/>
      </c>
      <c r="F184" s="88" t="str">
        <f t="array" ref="F184">XLOOKUP(C184,'Master Data'!C:C,'Master Data'!E:E)</f>
        <v/>
      </c>
      <c r="G184" s="89" t="str">
        <f t="array" ref="G184">XLOOKUP(C184,'Master Data'!C:C,'Master Data'!F:F)</f>
        <v/>
      </c>
      <c r="H184" s="89" t="str">
        <f t="array" ref="H184">XLOOKUP(C184,'Master Data'!C:C,'Master Data'!G:G)</f>
        <v/>
      </c>
      <c r="I184" s="90" t="str">
        <f t="array" ref="I184">XLOOKUP(C184,'Master Data'!C:C,'Master Data'!H:H)</f>
        <v/>
      </c>
      <c r="J184" s="91" t="s">
        <v>12</v>
      </c>
      <c r="K184" s="92"/>
      <c r="L184" s="92"/>
      <c r="M184" s="23"/>
      <c r="N184" s="23"/>
      <c r="O184" s="23"/>
    </row>
    <row r="185">
      <c r="A185" s="93" t="str">
        <f t="array" ref="A185">XLOOKUP(C185,'TSR Initiation'!C:C,'TSR Initiation'!A:A)</f>
        <v/>
      </c>
      <c r="B185" s="95"/>
      <c r="C185" s="71" t="s">
        <v>12</v>
      </c>
      <c r="D185" s="88" t="str">
        <f t="array" ref="D185">XLOOKUP(C185,'Master Data'!C:C,'Master Data'!D:D)</f>
        <v/>
      </c>
      <c r="E185" s="71" t="str">
        <f t="array" ref="E185">XLOOKUP(C185,'TSR Initiation'!C:C,'TSR Initiation'!E:E)</f>
        <v/>
      </c>
      <c r="F185" s="88" t="str">
        <f t="array" ref="F185">XLOOKUP(C185,'Master Data'!C:C,'Master Data'!E:E)</f>
        <v/>
      </c>
      <c r="G185" s="89" t="str">
        <f t="array" ref="G185">XLOOKUP(C185,'Master Data'!C:C,'Master Data'!F:F)</f>
        <v/>
      </c>
      <c r="H185" s="89" t="str">
        <f t="array" ref="H185">XLOOKUP(C185,'Master Data'!C:C,'Master Data'!G:G)</f>
        <v/>
      </c>
      <c r="I185" s="90" t="str">
        <f t="array" ref="I185">XLOOKUP(C185,'Master Data'!C:C,'Master Data'!H:H)</f>
        <v/>
      </c>
      <c r="J185" s="91" t="s">
        <v>12</v>
      </c>
      <c r="K185" s="92"/>
      <c r="L185" s="92"/>
      <c r="M185" s="23"/>
      <c r="N185" s="23"/>
      <c r="O185" s="23"/>
    </row>
    <row r="186">
      <c r="A186" s="93" t="str">
        <f t="array" ref="A186">XLOOKUP(C186,'TSR Initiation'!C:C,'TSR Initiation'!A:A)</f>
        <v/>
      </c>
      <c r="B186" s="95"/>
      <c r="C186" s="71" t="s">
        <v>12</v>
      </c>
      <c r="D186" s="88" t="str">
        <f t="array" ref="D186">XLOOKUP(C186,'Master Data'!C:C,'Master Data'!D:D)</f>
        <v/>
      </c>
      <c r="E186" s="71" t="str">
        <f t="array" ref="E186">XLOOKUP(C186,'TSR Initiation'!C:C,'TSR Initiation'!E:E)</f>
        <v/>
      </c>
      <c r="F186" s="88" t="str">
        <f t="array" ref="F186">XLOOKUP(C186,'Master Data'!C:C,'Master Data'!E:E)</f>
        <v/>
      </c>
      <c r="G186" s="89" t="str">
        <f t="array" ref="G186">XLOOKUP(C186,'Master Data'!C:C,'Master Data'!F:F)</f>
        <v/>
      </c>
      <c r="H186" s="89" t="str">
        <f t="array" ref="H186">XLOOKUP(C186,'Master Data'!C:C,'Master Data'!G:G)</f>
        <v/>
      </c>
      <c r="I186" s="90" t="str">
        <f t="array" ref="I186">XLOOKUP(C186,'Master Data'!C:C,'Master Data'!H:H)</f>
        <v/>
      </c>
      <c r="J186" s="91" t="s">
        <v>12</v>
      </c>
      <c r="K186" s="92"/>
      <c r="L186" s="92"/>
      <c r="M186" s="23"/>
      <c r="N186" s="23"/>
      <c r="O186" s="23"/>
    </row>
    <row r="187">
      <c r="A187" s="93" t="str">
        <f t="array" ref="A187">XLOOKUP(C187,'TSR Initiation'!C:C,'TSR Initiation'!A:A)</f>
        <v/>
      </c>
      <c r="B187" s="95"/>
      <c r="C187" s="71" t="s">
        <v>12</v>
      </c>
      <c r="D187" s="88" t="str">
        <f t="array" ref="D187">XLOOKUP(C187,'Master Data'!C:C,'Master Data'!D:D)</f>
        <v/>
      </c>
      <c r="E187" s="71" t="str">
        <f t="array" ref="E187">XLOOKUP(C187,'TSR Initiation'!C:C,'TSR Initiation'!E:E)</f>
        <v/>
      </c>
      <c r="F187" s="88" t="str">
        <f t="array" ref="F187">XLOOKUP(C187,'Master Data'!C:C,'Master Data'!E:E)</f>
        <v/>
      </c>
      <c r="G187" s="89" t="str">
        <f t="array" ref="G187">XLOOKUP(C187,'Master Data'!C:C,'Master Data'!F:F)</f>
        <v/>
      </c>
      <c r="H187" s="89" t="str">
        <f t="array" ref="H187">XLOOKUP(C187,'Master Data'!C:C,'Master Data'!G:G)</f>
        <v/>
      </c>
      <c r="I187" s="90" t="str">
        <f t="array" ref="I187">XLOOKUP(C187,'Master Data'!C:C,'Master Data'!H:H)</f>
        <v/>
      </c>
      <c r="J187" s="91" t="s">
        <v>12</v>
      </c>
      <c r="K187" s="92"/>
      <c r="L187" s="92"/>
      <c r="M187" s="23"/>
      <c r="N187" s="23"/>
      <c r="O187" s="23"/>
    </row>
    <row r="188">
      <c r="A188" s="93" t="str">
        <f t="array" ref="A188">XLOOKUP(C188,'TSR Initiation'!C:C,'TSR Initiation'!A:A)</f>
        <v/>
      </c>
      <c r="B188" s="95"/>
      <c r="C188" s="71" t="s">
        <v>12</v>
      </c>
      <c r="D188" s="88" t="str">
        <f t="array" ref="D188">XLOOKUP(C188,'Master Data'!C:C,'Master Data'!D:D)</f>
        <v/>
      </c>
      <c r="E188" s="71" t="str">
        <f t="array" ref="E188">XLOOKUP(C188,'TSR Initiation'!C:C,'TSR Initiation'!E:E)</f>
        <v/>
      </c>
      <c r="F188" s="88" t="str">
        <f t="array" ref="F188">XLOOKUP(C188,'Master Data'!C:C,'Master Data'!E:E)</f>
        <v/>
      </c>
      <c r="G188" s="89" t="str">
        <f t="array" ref="G188">XLOOKUP(C188,'Master Data'!C:C,'Master Data'!F:F)</f>
        <v/>
      </c>
      <c r="H188" s="89" t="str">
        <f t="array" ref="H188">XLOOKUP(C188,'Master Data'!C:C,'Master Data'!G:G)</f>
        <v/>
      </c>
      <c r="I188" s="90" t="str">
        <f t="array" ref="I188">XLOOKUP(C188,'Master Data'!C:C,'Master Data'!H:H)</f>
        <v/>
      </c>
      <c r="J188" s="91" t="s">
        <v>12</v>
      </c>
      <c r="K188" s="92"/>
      <c r="L188" s="92"/>
      <c r="M188" s="23"/>
      <c r="N188" s="23"/>
      <c r="O188" s="23"/>
    </row>
    <row r="189">
      <c r="A189" s="93" t="str">
        <f t="array" ref="A189">XLOOKUP(C189,'TSR Initiation'!C:C,'TSR Initiation'!A:A)</f>
        <v/>
      </c>
      <c r="B189" s="95"/>
      <c r="C189" s="71" t="s">
        <v>12</v>
      </c>
      <c r="D189" s="88" t="str">
        <f t="array" ref="D189">XLOOKUP(C189,'Master Data'!C:C,'Master Data'!D:D)</f>
        <v/>
      </c>
      <c r="E189" s="71" t="str">
        <f t="array" ref="E189">XLOOKUP(C189,'TSR Initiation'!C:C,'TSR Initiation'!E:E)</f>
        <v/>
      </c>
      <c r="F189" s="88" t="str">
        <f t="array" ref="F189">XLOOKUP(C189,'Master Data'!C:C,'Master Data'!E:E)</f>
        <v/>
      </c>
      <c r="G189" s="89" t="str">
        <f t="array" ref="G189">XLOOKUP(C189,'Master Data'!C:C,'Master Data'!F:F)</f>
        <v/>
      </c>
      <c r="H189" s="89" t="str">
        <f t="array" ref="H189">XLOOKUP(C189,'Master Data'!C:C,'Master Data'!G:G)</f>
        <v/>
      </c>
      <c r="I189" s="90" t="str">
        <f t="array" ref="I189">XLOOKUP(C189,'Master Data'!C:C,'Master Data'!H:H)</f>
        <v/>
      </c>
      <c r="J189" s="91" t="s">
        <v>12</v>
      </c>
      <c r="K189" s="92"/>
      <c r="L189" s="92"/>
      <c r="M189" s="23"/>
      <c r="N189" s="23"/>
      <c r="O189" s="23"/>
    </row>
    <row r="190">
      <c r="A190" s="93" t="str">
        <f t="array" ref="A190">XLOOKUP(C190,'TSR Initiation'!C:C,'TSR Initiation'!A:A)</f>
        <v/>
      </c>
      <c r="B190" s="95"/>
      <c r="C190" s="71" t="s">
        <v>12</v>
      </c>
      <c r="D190" s="88" t="str">
        <f t="array" ref="D190">XLOOKUP(C190,'Master Data'!C:C,'Master Data'!D:D)</f>
        <v/>
      </c>
      <c r="E190" s="71" t="str">
        <f t="array" ref="E190">XLOOKUP(C190,'TSR Initiation'!C:C,'TSR Initiation'!E:E)</f>
        <v/>
      </c>
      <c r="F190" s="88" t="str">
        <f t="array" ref="F190">XLOOKUP(C190,'Master Data'!C:C,'Master Data'!E:E)</f>
        <v/>
      </c>
      <c r="G190" s="89" t="str">
        <f t="array" ref="G190">XLOOKUP(C190,'Master Data'!C:C,'Master Data'!F:F)</f>
        <v/>
      </c>
      <c r="H190" s="89" t="str">
        <f t="array" ref="H190">XLOOKUP(C190,'Master Data'!C:C,'Master Data'!G:G)</f>
        <v/>
      </c>
      <c r="I190" s="90" t="str">
        <f t="array" ref="I190">XLOOKUP(C190,'Master Data'!C:C,'Master Data'!H:H)</f>
        <v/>
      </c>
      <c r="J190" s="91" t="s">
        <v>12</v>
      </c>
      <c r="K190" s="92"/>
      <c r="L190" s="92"/>
      <c r="M190" s="23"/>
      <c r="N190" s="23"/>
      <c r="O190" s="23"/>
    </row>
    <row r="191">
      <c r="A191" s="93" t="str">
        <f t="array" ref="A191">XLOOKUP(C191,'TSR Initiation'!C:C,'TSR Initiation'!A:A)</f>
        <v/>
      </c>
      <c r="B191" s="95"/>
      <c r="C191" s="71" t="s">
        <v>12</v>
      </c>
      <c r="D191" s="88" t="str">
        <f t="array" ref="D191">XLOOKUP(C191,'Master Data'!C:C,'Master Data'!D:D)</f>
        <v/>
      </c>
      <c r="E191" s="71" t="str">
        <f t="array" ref="E191">XLOOKUP(C191,'TSR Initiation'!C:C,'TSR Initiation'!E:E)</f>
        <v/>
      </c>
      <c r="F191" s="88" t="str">
        <f t="array" ref="F191">XLOOKUP(C191,'Master Data'!C:C,'Master Data'!E:E)</f>
        <v/>
      </c>
      <c r="G191" s="89" t="str">
        <f t="array" ref="G191">XLOOKUP(C191,'Master Data'!C:C,'Master Data'!F:F)</f>
        <v/>
      </c>
      <c r="H191" s="89" t="str">
        <f t="array" ref="H191">XLOOKUP(C191,'Master Data'!C:C,'Master Data'!G:G)</f>
        <v/>
      </c>
      <c r="I191" s="90" t="str">
        <f t="array" ref="I191">XLOOKUP(C191,'Master Data'!C:C,'Master Data'!H:H)</f>
        <v/>
      </c>
      <c r="J191" s="91" t="s">
        <v>12</v>
      </c>
      <c r="K191" s="92"/>
      <c r="L191" s="92"/>
      <c r="M191" s="23"/>
      <c r="N191" s="23"/>
      <c r="O191" s="23"/>
    </row>
    <row r="192">
      <c r="A192" s="93" t="str">
        <f t="array" ref="A192">XLOOKUP(C192,'TSR Initiation'!C:C,'TSR Initiation'!A:A)</f>
        <v/>
      </c>
      <c r="B192" s="95"/>
      <c r="C192" s="71" t="s">
        <v>12</v>
      </c>
      <c r="D192" s="88" t="str">
        <f t="array" ref="D192">XLOOKUP(C192,'Master Data'!C:C,'Master Data'!D:D)</f>
        <v/>
      </c>
      <c r="E192" s="71" t="str">
        <f t="array" ref="E192">XLOOKUP(C192,'TSR Initiation'!C:C,'TSR Initiation'!E:E)</f>
        <v/>
      </c>
      <c r="F192" s="88" t="str">
        <f t="array" ref="F192">XLOOKUP(C192,'Master Data'!C:C,'Master Data'!E:E)</f>
        <v/>
      </c>
      <c r="G192" s="89" t="str">
        <f t="array" ref="G192">XLOOKUP(C192,'Master Data'!C:C,'Master Data'!F:F)</f>
        <v/>
      </c>
      <c r="H192" s="89" t="str">
        <f t="array" ref="H192">XLOOKUP(C192,'Master Data'!C:C,'Master Data'!G:G)</f>
        <v/>
      </c>
      <c r="I192" s="90" t="str">
        <f t="array" ref="I192">XLOOKUP(C192,'Master Data'!C:C,'Master Data'!H:H)</f>
        <v/>
      </c>
      <c r="J192" s="91" t="s">
        <v>12</v>
      </c>
      <c r="K192" s="92"/>
      <c r="L192" s="92"/>
      <c r="M192" s="23"/>
      <c r="N192" s="23"/>
      <c r="O192" s="23"/>
    </row>
    <row r="193">
      <c r="A193" s="93" t="str">
        <f t="array" ref="A193">XLOOKUP(C193,'TSR Initiation'!C:C,'TSR Initiation'!A:A)</f>
        <v/>
      </c>
      <c r="B193" s="95"/>
      <c r="C193" s="71" t="s">
        <v>12</v>
      </c>
      <c r="D193" s="88" t="str">
        <f t="array" ref="D193">XLOOKUP(C193,'Master Data'!C:C,'Master Data'!D:D)</f>
        <v/>
      </c>
      <c r="E193" s="71" t="str">
        <f t="array" ref="E193">XLOOKUP(C193,'TSR Initiation'!C:C,'TSR Initiation'!E:E)</f>
        <v/>
      </c>
      <c r="F193" s="88" t="str">
        <f t="array" ref="F193">XLOOKUP(C193,'Master Data'!C:C,'Master Data'!E:E)</f>
        <v/>
      </c>
      <c r="G193" s="89" t="str">
        <f t="array" ref="G193">XLOOKUP(C193,'Master Data'!C:C,'Master Data'!F:F)</f>
        <v/>
      </c>
      <c r="H193" s="89" t="str">
        <f t="array" ref="H193">XLOOKUP(C193,'Master Data'!C:C,'Master Data'!G:G)</f>
        <v/>
      </c>
      <c r="I193" s="90" t="str">
        <f t="array" ref="I193">XLOOKUP(C193,'Master Data'!C:C,'Master Data'!H:H)</f>
        <v/>
      </c>
      <c r="J193" s="91" t="s">
        <v>12</v>
      </c>
      <c r="K193" s="92"/>
      <c r="L193" s="92"/>
      <c r="M193" s="23"/>
      <c r="N193" s="23"/>
      <c r="O193" s="23"/>
    </row>
    <row r="194">
      <c r="A194" s="93" t="str">
        <f t="array" ref="A194">XLOOKUP(C194,'TSR Initiation'!C:C,'TSR Initiation'!A:A)</f>
        <v/>
      </c>
      <c r="B194" s="95"/>
      <c r="C194" s="71" t="s">
        <v>12</v>
      </c>
      <c r="D194" s="88" t="str">
        <f t="array" ref="D194">XLOOKUP(C194,'Master Data'!C:C,'Master Data'!D:D)</f>
        <v/>
      </c>
      <c r="E194" s="71" t="str">
        <f t="array" ref="E194">XLOOKUP(C194,'TSR Initiation'!C:C,'TSR Initiation'!E:E)</f>
        <v/>
      </c>
      <c r="F194" s="88" t="str">
        <f t="array" ref="F194">XLOOKUP(C194,'Master Data'!C:C,'Master Data'!E:E)</f>
        <v/>
      </c>
      <c r="G194" s="89" t="str">
        <f t="array" ref="G194">XLOOKUP(C194,'Master Data'!C:C,'Master Data'!F:F)</f>
        <v/>
      </c>
      <c r="H194" s="89" t="str">
        <f t="array" ref="H194">XLOOKUP(C194,'Master Data'!C:C,'Master Data'!G:G)</f>
        <v/>
      </c>
      <c r="I194" s="90" t="str">
        <f t="array" ref="I194">XLOOKUP(C194,'Master Data'!C:C,'Master Data'!H:H)</f>
        <v/>
      </c>
      <c r="J194" s="91" t="s">
        <v>12</v>
      </c>
      <c r="K194" s="92"/>
      <c r="L194" s="92"/>
      <c r="M194" s="23"/>
      <c r="N194" s="23"/>
      <c r="O194" s="23"/>
    </row>
    <row r="195">
      <c r="A195" s="93" t="str">
        <f t="array" ref="A195">XLOOKUP(C195,'TSR Initiation'!C:C,'TSR Initiation'!A:A)</f>
        <v/>
      </c>
      <c r="B195" s="95"/>
      <c r="C195" s="71" t="s">
        <v>12</v>
      </c>
      <c r="D195" s="88" t="str">
        <f t="array" ref="D195">XLOOKUP(C195,'Master Data'!C:C,'Master Data'!D:D)</f>
        <v/>
      </c>
      <c r="E195" s="71" t="str">
        <f t="array" ref="E195">XLOOKUP(C195,'TSR Initiation'!C:C,'TSR Initiation'!E:E)</f>
        <v/>
      </c>
      <c r="F195" s="88" t="str">
        <f t="array" ref="F195">XLOOKUP(C195,'Master Data'!C:C,'Master Data'!E:E)</f>
        <v/>
      </c>
      <c r="G195" s="89" t="str">
        <f t="array" ref="G195">XLOOKUP(C195,'Master Data'!C:C,'Master Data'!F:F)</f>
        <v/>
      </c>
      <c r="H195" s="89" t="str">
        <f t="array" ref="H195">XLOOKUP(C195,'Master Data'!C:C,'Master Data'!G:G)</f>
        <v/>
      </c>
      <c r="I195" s="90" t="str">
        <f t="array" ref="I195">XLOOKUP(C195,'Master Data'!C:C,'Master Data'!H:H)</f>
        <v/>
      </c>
      <c r="J195" s="91" t="s">
        <v>12</v>
      </c>
      <c r="K195" s="92"/>
      <c r="L195" s="92"/>
      <c r="M195" s="23"/>
      <c r="N195" s="23"/>
      <c r="O195" s="23"/>
    </row>
    <row r="196">
      <c r="A196" s="93" t="str">
        <f t="array" ref="A196">XLOOKUP(C196,'TSR Initiation'!C:C,'TSR Initiation'!A:A)</f>
        <v/>
      </c>
      <c r="B196" s="95"/>
      <c r="C196" s="71" t="s">
        <v>12</v>
      </c>
      <c r="D196" s="88" t="str">
        <f t="array" ref="D196">XLOOKUP(C196,'Master Data'!C:C,'Master Data'!D:D)</f>
        <v/>
      </c>
      <c r="E196" s="71" t="str">
        <f t="array" ref="E196">XLOOKUP(C196,'TSR Initiation'!C:C,'TSR Initiation'!E:E)</f>
        <v/>
      </c>
      <c r="F196" s="88" t="str">
        <f t="array" ref="F196">XLOOKUP(C196,'Master Data'!C:C,'Master Data'!E:E)</f>
        <v/>
      </c>
      <c r="G196" s="89" t="str">
        <f t="array" ref="G196">XLOOKUP(C196,'Master Data'!C:C,'Master Data'!F:F)</f>
        <v/>
      </c>
      <c r="H196" s="89" t="str">
        <f t="array" ref="H196">XLOOKUP(C196,'Master Data'!C:C,'Master Data'!G:G)</f>
        <v/>
      </c>
      <c r="I196" s="90" t="str">
        <f t="array" ref="I196">XLOOKUP(C196,'Master Data'!C:C,'Master Data'!H:H)</f>
        <v/>
      </c>
      <c r="J196" s="91" t="s">
        <v>12</v>
      </c>
      <c r="K196" s="92"/>
      <c r="L196" s="92"/>
      <c r="M196" s="23"/>
      <c r="N196" s="23"/>
      <c r="O196" s="23"/>
    </row>
    <row r="197">
      <c r="A197" s="93" t="str">
        <f t="array" ref="A197">XLOOKUP(C197,'TSR Initiation'!C:C,'TSR Initiation'!A:A)</f>
        <v/>
      </c>
      <c r="B197" s="95"/>
      <c r="C197" s="71" t="s">
        <v>12</v>
      </c>
      <c r="D197" s="88" t="str">
        <f t="array" ref="D197">XLOOKUP(C197,'Master Data'!C:C,'Master Data'!D:D)</f>
        <v/>
      </c>
      <c r="E197" s="71" t="str">
        <f t="array" ref="E197">XLOOKUP(C197,'TSR Initiation'!C:C,'TSR Initiation'!E:E)</f>
        <v/>
      </c>
      <c r="F197" s="88" t="str">
        <f t="array" ref="F197">XLOOKUP(C197,'Master Data'!C:C,'Master Data'!E:E)</f>
        <v/>
      </c>
      <c r="G197" s="89" t="str">
        <f t="array" ref="G197">XLOOKUP(C197,'Master Data'!C:C,'Master Data'!F:F)</f>
        <v/>
      </c>
      <c r="H197" s="89" t="str">
        <f t="array" ref="H197">XLOOKUP(C197,'Master Data'!C:C,'Master Data'!G:G)</f>
        <v/>
      </c>
      <c r="I197" s="90" t="str">
        <f t="array" ref="I197">XLOOKUP(C197,'Master Data'!C:C,'Master Data'!H:H)</f>
        <v/>
      </c>
      <c r="J197" s="91" t="s">
        <v>12</v>
      </c>
      <c r="K197" s="92"/>
      <c r="L197" s="92"/>
      <c r="M197" s="23"/>
      <c r="N197" s="23"/>
      <c r="O197" s="23"/>
    </row>
    <row r="198">
      <c r="A198" s="93" t="str">
        <f t="array" ref="A198">XLOOKUP(C198,'TSR Initiation'!C:C,'TSR Initiation'!A:A)</f>
        <v/>
      </c>
      <c r="B198" s="95"/>
      <c r="C198" s="71" t="s">
        <v>12</v>
      </c>
      <c r="D198" s="88" t="str">
        <f t="array" ref="D198">XLOOKUP(C198,'Master Data'!C:C,'Master Data'!D:D)</f>
        <v/>
      </c>
      <c r="E198" s="71" t="str">
        <f t="array" ref="E198">XLOOKUP(C198,'TSR Initiation'!C:C,'TSR Initiation'!E:E)</f>
        <v/>
      </c>
      <c r="F198" s="88" t="str">
        <f t="array" ref="F198">XLOOKUP(C198,'Master Data'!C:C,'Master Data'!E:E)</f>
        <v/>
      </c>
      <c r="G198" s="89" t="str">
        <f t="array" ref="G198">XLOOKUP(C198,'Master Data'!C:C,'Master Data'!F:F)</f>
        <v/>
      </c>
      <c r="H198" s="89" t="str">
        <f t="array" ref="H198">XLOOKUP(C198,'Master Data'!C:C,'Master Data'!G:G)</f>
        <v/>
      </c>
      <c r="I198" s="90" t="str">
        <f t="array" ref="I198">XLOOKUP(C198,'Master Data'!C:C,'Master Data'!H:H)</f>
        <v/>
      </c>
      <c r="J198" s="91" t="s">
        <v>12</v>
      </c>
      <c r="K198" s="92"/>
      <c r="L198" s="92"/>
      <c r="M198" s="23"/>
      <c r="N198" s="23"/>
      <c r="O198" s="23"/>
    </row>
    <row r="199">
      <c r="A199" s="93" t="str">
        <f t="array" ref="A199">XLOOKUP(C199,'TSR Initiation'!C:C,'TSR Initiation'!A:A)</f>
        <v/>
      </c>
      <c r="B199" s="95"/>
      <c r="C199" s="71" t="s">
        <v>12</v>
      </c>
      <c r="D199" s="88" t="str">
        <f t="array" ref="D199">XLOOKUP(C199,'Master Data'!C:C,'Master Data'!D:D)</f>
        <v/>
      </c>
      <c r="E199" s="71" t="str">
        <f t="array" ref="E199">XLOOKUP(C199,'TSR Initiation'!C:C,'TSR Initiation'!E:E)</f>
        <v/>
      </c>
      <c r="F199" s="88" t="str">
        <f t="array" ref="F199">XLOOKUP(C199,'Master Data'!C:C,'Master Data'!E:E)</f>
        <v/>
      </c>
      <c r="G199" s="89" t="str">
        <f t="array" ref="G199">XLOOKUP(C199,'Master Data'!C:C,'Master Data'!F:F)</f>
        <v/>
      </c>
      <c r="H199" s="89" t="str">
        <f t="array" ref="H199">XLOOKUP(C199,'Master Data'!C:C,'Master Data'!G:G)</f>
        <v/>
      </c>
      <c r="I199" s="90" t="str">
        <f t="array" ref="I199">XLOOKUP(C199,'Master Data'!C:C,'Master Data'!H:H)</f>
        <v/>
      </c>
      <c r="J199" s="91" t="s">
        <v>12</v>
      </c>
      <c r="K199" s="92"/>
      <c r="L199" s="92"/>
      <c r="M199" s="23"/>
      <c r="N199" s="23"/>
      <c r="O199" s="23"/>
    </row>
    <row r="200">
      <c r="A200" s="93" t="str">
        <f t="array" ref="A200">XLOOKUP(C200,'TSR Initiation'!C:C,'TSR Initiation'!A:A)</f>
        <v/>
      </c>
      <c r="B200" s="95"/>
      <c r="C200" s="71" t="s">
        <v>12</v>
      </c>
      <c r="D200" s="88" t="str">
        <f t="array" ref="D200">XLOOKUP(C200,'Master Data'!C:C,'Master Data'!D:D)</f>
        <v/>
      </c>
      <c r="E200" s="71" t="str">
        <f t="array" ref="E200">XLOOKUP(C200,'TSR Initiation'!C:C,'TSR Initiation'!E:E)</f>
        <v/>
      </c>
      <c r="F200" s="88" t="str">
        <f t="array" ref="F200">XLOOKUP(C200,'Master Data'!C:C,'Master Data'!E:E)</f>
        <v/>
      </c>
      <c r="G200" s="89" t="str">
        <f t="array" ref="G200">XLOOKUP(C200,'Master Data'!C:C,'Master Data'!F:F)</f>
        <v/>
      </c>
      <c r="H200" s="89" t="str">
        <f t="array" ref="H200">XLOOKUP(C200,'Master Data'!C:C,'Master Data'!G:G)</f>
        <v/>
      </c>
      <c r="I200" s="90" t="str">
        <f t="array" ref="I200">XLOOKUP(C200,'Master Data'!C:C,'Master Data'!H:H)</f>
        <v/>
      </c>
      <c r="J200" s="91" t="s">
        <v>12</v>
      </c>
      <c r="K200" s="92"/>
      <c r="L200" s="92"/>
      <c r="M200" s="23"/>
      <c r="N200" s="23"/>
      <c r="O200" s="23"/>
    </row>
    <row r="201">
      <c r="A201" s="93" t="str">
        <f t="array" ref="A201">XLOOKUP(C201,'TSR Initiation'!C:C,'TSR Initiation'!A:A)</f>
        <v/>
      </c>
      <c r="B201" s="95"/>
      <c r="C201" s="71" t="s">
        <v>12</v>
      </c>
      <c r="D201" s="88" t="str">
        <f t="array" ref="D201">XLOOKUP(C201,'Master Data'!C:C,'Master Data'!D:D)</f>
        <v/>
      </c>
      <c r="E201" s="71" t="str">
        <f t="array" ref="E201">XLOOKUP(C201,'TSR Initiation'!C:C,'TSR Initiation'!E:E)</f>
        <v/>
      </c>
      <c r="F201" s="88" t="str">
        <f t="array" ref="F201">XLOOKUP(C201,'Master Data'!C:C,'Master Data'!E:E)</f>
        <v/>
      </c>
      <c r="G201" s="89" t="str">
        <f t="array" ref="G201">XLOOKUP(C201,'Master Data'!C:C,'Master Data'!F:F)</f>
        <v/>
      </c>
      <c r="H201" s="89" t="str">
        <f t="array" ref="H201">XLOOKUP(C201,'Master Data'!C:C,'Master Data'!G:G)</f>
        <v/>
      </c>
      <c r="I201" s="90" t="str">
        <f t="array" ref="I201">XLOOKUP(C201,'Master Data'!C:C,'Master Data'!H:H)</f>
        <v/>
      </c>
      <c r="J201" s="91" t="s">
        <v>12</v>
      </c>
      <c r="K201" s="92"/>
      <c r="L201" s="92"/>
      <c r="M201" s="23"/>
      <c r="N201" s="23"/>
      <c r="O201" s="23"/>
    </row>
    <row r="202">
      <c r="A202" s="93" t="str">
        <f t="array" ref="A202">XLOOKUP(C202,'TSR Initiation'!C:C,'TSR Initiation'!A:A)</f>
        <v/>
      </c>
      <c r="B202" s="95"/>
      <c r="C202" s="71" t="s">
        <v>12</v>
      </c>
      <c r="D202" s="88" t="str">
        <f t="array" ref="D202">XLOOKUP(C202,'Master Data'!C:C,'Master Data'!D:D)</f>
        <v/>
      </c>
      <c r="E202" s="71" t="str">
        <f t="array" ref="E202">XLOOKUP(C202,'TSR Initiation'!C:C,'TSR Initiation'!E:E)</f>
        <v/>
      </c>
      <c r="F202" s="88" t="str">
        <f t="array" ref="F202">XLOOKUP(C202,'Master Data'!C:C,'Master Data'!E:E)</f>
        <v/>
      </c>
      <c r="G202" s="89" t="str">
        <f t="array" ref="G202">XLOOKUP(C202,'Master Data'!C:C,'Master Data'!F:F)</f>
        <v/>
      </c>
      <c r="H202" s="89" t="str">
        <f t="array" ref="H202">XLOOKUP(C202,'Master Data'!C:C,'Master Data'!G:G)</f>
        <v/>
      </c>
      <c r="I202" s="90" t="str">
        <f t="array" ref="I202">XLOOKUP(C202,'Master Data'!C:C,'Master Data'!H:H)</f>
        <v/>
      </c>
      <c r="J202" s="91" t="s">
        <v>12</v>
      </c>
      <c r="K202" s="92"/>
      <c r="L202" s="92"/>
      <c r="M202" s="23"/>
      <c r="N202" s="23"/>
      <c r="O202" s="23"/>
    </row>
    <row r="203">
      <c r="A203" s="93" t="str">
        <f t="array" ref="A203">XLOOKUP(C203,'TSR Initiation'!C:C,'TSR Initiation'!A:A)</f>
        <v/>
      </c>
      <c r="B203" s="95"/>
      <c r="C203" s="71" t="s">
        <v>12</v>
      </c>
      <c r="D203" s="88" t="str">
        <f t="array" ref="D203">XLOOKUP(C203,'Master Data'!C:C,'Master Data'!D:D)</f>
        <v/>
      </c>
      <c r="E203" s="71" t="str">
        <f t="array" ref="E203">XLOOKUP(C203,'TSR Initiation'!C:C,'TSR Initiation'!E:E)</f>
        <v/>
      </c>
      <c r="F203" s="88" t="str">
        <f t="array" ref="F203">XLOOKUP(C203,'Master Data'!C:C,'Master Data'!E:E)</f>
        <v/>
      </c>
      <c r="G203" s="89" t="str">
        <f t="array" ref="G203">XLOOKUP(C203,'Master Data'!C:C,'Master Data'!F:F)</f>
        <v/>
      </c>
      <c r="H203" s="89" t="str">
        <f t="array" ref="H203">XLOOKUP(C203,'Master Data'!C:C,'Master Data'!G:G)</f>
        <v/>
      </c>
      <c r="I203" s="90" t="str">
        <f t="array" ref="I203">XLOOKUP(C203,'Master Data'!C:C,'Master Data'!H:H)</f>
        <v/>
      </c>
      <c r="J203" s="91" t="s">
        <v>12</v>
      </c>
      <c r="K203" s="92"/>
      <c r="L203" s="92"/>
      <c r="M203" s="23"/>
      <c r="N203" s="23"/>
      <c r="O203" s="23"/>
    </row>
    <row r="204">
      <c r="A204" s="93" t="str">
        <f t="array" ref="A204">XLOOKUP(C204,'TSR Initiation'!C:C,'TSR Initiation'!A:A)</f>
        <v/>
      </c>
      <c r="B204" s="95"/>
      <c r="C204" s="71" t="s">
        <v>12</v>
      </c>
      <c r="D204" s="88" t="str">
        <f t="array" ref="D204">XLOOKUP(C204,'Master Data'!C:C,'Master Data'!D:D)</f>
        <v/>
      </c>
      <c r="E204" s="71" t="str">
        <f t="array" ref="E204">XLOOKUP(C204,'TSR Initiation'!C:C,'TSR Initiation'!E:E)</f>
        <v/>
      </c>
      <c r="F204" s="88" t="str">
        <f t="array" ref="F204">XLOOKUP(C204,'Master Data'!C:C,'Master Data'!E:E)</f>
        <v/>
      </c>
      <c r="G204" s="89" t="str">
        <f t="array" ref="G204">XLOOKUP(C204,'Master Data'!C:C,'Master Data'!F:F)</f>
        <v/>
      </c>
      <c r="H204" s="89" t="str">
        <f t="array" ref="H204">XLOOKUP(C204,'Master Data'!C:C,'Master Data'!G:G)</f>
        <v/>
      </c>
      <c r="I204" s="90" t="str">
        <f t="array" ref="I204">XLOOKUP(C204,'Master Data'!C:C,'Master Data'!H:H)</f>
        <v/>
      </c>
      <c r="J204" s="91" t="s">
        <v>12</v>
      </c>
      <c r="K204" s="92"/>
      <c r="L204" s="92"/>
      <c r="M204" s="23"/>
      <c r="N204" s="23"/>
      <c r="O204" s="23"/>
    </row>
    <row r="205">
      <c r="A205" s="93" t="str">
        <f t="array" ref="A205">XLOOKUP(C205,'TSR Initiation'!C:C,'TSR Initiation'!A:A)</f>
        <v/>
      </c>
      <c r="B205" s="95"/>
      <c r="C205" s="71" t="s">
        <v>12</v>
      </c>
      <c r="D205" s="88" t="str">
        <f t="array" ref="D205">XLOOKUP(C205,'Master Data'!C:C,'Master Data'!D:D)</f>
        <v/>
      </c>
      <c r="E205" s="71" t="str">
        <f t="array" ref="E205">XLOOKUP(C205,'TSR Initiation'!C:C,'TSR Initiation'!E:E)</f>
        <v/>
      </c>
      <c r="F205" s="88" t="str">
        <f t="array" ref="F205">XLOOKUP(C205,'Master Data'!C:C,'Master Data'!E:E)</f>
        <v/>
      </c>
      <c r="G205" s="89" t="str">
        <f t="array" ref="G205">XLOOKUP(C205,'Master Data'!C:C,'Master Data'!F:F)</f>
        <v/>
      </c>
      <c r="H205" s="89" t="str">
        <f t="array" ref="H205">XLOOKUP(C205,'Master Data'!C:C,'Master Data'!G:G)</f>
        <v/>
      </c>
      <c r="I205" s="90" t="str">
        <f t="array" ref="I205">XLOOKUP(C205,'Master Data'!C:C,'Master Data'!H:H)</f>
        <v/>
      </c>
      <c r="J205" s="91" t="s">
        <v>12</v>
      </c>
      <c r="K205" s="92"/>
      <c r="L205" s="92"/>
      <c r="M205" s="23"/>
      <c r="N205" s="23"/>
      <c r="O205" s="23"/>
    </row>
    <row r="206">
      <c r="A206" s="93" t="str">
        <f t="array" ref="A206">XLOOKUP(C206,'TSR Initiation'!C:C,'TSR Initiation'!A:A)</f>
        <v/>
      </c>
      <c r="B206" s="95"/>
      <c r="C206" s="71" t="s">
        <v>12</v>
      </c>
      <c r="D206" s="88" t="str">
        <f t="array" ref="D206">XLOOKUP(C206,'Master Data'!C:C,'Master Data'!D:D)</f>
        <v/>
      </c>
      <c r="E206" s="71" t="str">
        <f t="array" ref="E206">XLOOKUP(C206,'TSR Initiation'!C:C,'TSR Initiation'!E:E)</f>
        <v/>
      </c>
      <c r="F206" s="88" t="str">
        <f t="array" ref="F206">XLOOKUP(C206,'Master Data'!C:C,'Master Data'!E:E)</f>
        <v/>
      </c>
      <c r="G206" s="89" t="str">
        <f t="array" ref="G206">XLOOKUP(C206,'Master Data'!C:C,'Master Data'!F:F)</f>
        <v/>
      </c>
      <c r="H206" s="89" t="str">
        <f t="array" ref="H206">XLOOKUP(C206,'Master Data'!C:C,'Master Data'!G:G)</f>
        <v/>
      </c>
      <c r="I206" s="90" t="str">
        <f t="array" ref="I206">XLOOKUP(C206,'Master Data'!C:C,'Master Data'!H:H)</f>
        <v/>
      </c>
      <c r="J206" s="91" t="s">
        <v>12</v>
      </c>
      <c r="K206" s="92"/>
      <c r="L206" s="92"/>
      <c r="M206" s="23"/>
      <c r="N206" s="23"/>
      <c r="O206" s="23"/>
    </row>
    <row r="207">
      <c r="A207" s="93" t="str">
        <f t="array" ref="A207">XLOOKUP(C207,'TSR Initiation'!C:C,'TSR Initiation'!A:A)</f>
        <v/>
      </c>
      <c r="B207" s="95"/>
      <c r="C207" s="71" t="s">
        <v>12</v>
      </c>
      <c r="D207" s="88" t="str">
        <f t="array" ref="D207">XLOOKUP(C207,'Master Data'!C:C,'Master Data'!D:D)</f>
        <v/>
      </c>
      <c r="E207" s="71" t="str">
        <f t="array" ref="E207">XLOOKUP(C207,'TSR Initiation'!C:C,'TSR Initiation'!E:E)</f>
        <v/>
      </c>
      <c r="F207" s="88" t="str">
        <f t="array" ref="F207">XLOOKUP(C207,'Master Data'!C:C,'Master Data'!E:E)</f>
        <v/>
      </c>
      <c r="G207" s="89" t="str">
        <f t="array" ref="G207">XLOOKUP(C207,'Master Data'!C:C,'Master Data'!F:F)</f>
        <v/>
      </c>
      <c r="H207" s="89" t="str">
        <f t="array" ref="H207">XLOOKUP(C207,'Master Data'!C:C,'Master Data'!G:G)</f>
        <v/>
      </c>
      <c r="I207" s="90" t="str">
        <f t="array" ref="I207">XLOOKUP(C207,'Master Data'!C:C,'Master Data'!H:H)</f>
        <v/>
      </c>
      <c r="J207" s="91" t="s">
        <v>12</v>
      </c>
      <c r="K207" s="92"/>
      <c r="L207" s="92"/>
      <c r="M207" s="23"/>
      <c r="N207" s="23"/>
      <c r="O207" s="23"/>
    </row>
    <row r="208">
      <c r="A208" s="93" t="str">
        <f t="array" ref="A208">XLOOKUP(C208,'TSR Initiation'!C:C,'TSR Initiation'!A:A)</f>
        <v/>
      </c>
      <c r="B208" s="95"/>
      <c r="C208" s="71" t="s">
        <v>12</v>
      </c>
      <c r="D208" s="88" t="str">
        <f t="array" ref="D208">XLOOKUP(C208,'Master Data'!C:C,'Master Data'!D:D)</f>
        <v/>
      </c>
      <c r="E208" s="71" t="str">
        <f t="array" ref="E208">XLOOKUP(C208,'TSR Initiation'!C:C,'TSR Initiation'!E:E)</f>
        <v/>
      </c>
      <c r="F208" s="88" t="str">
        <f t="array" ref="F208">XLOOKUP(C208,'Master Data'!C:C,'Master Data'!E:E)</f>
        <v/>
      </c>
      <c r="G208" s="89" t="str">
        <f t="array" ref="G208">XLOOKUP(C208,'Master Data'!C:C,'Master Data'!F:F)</f>
        <v/>
      </c>
      <c r="H208" s="89" t="str">
        <f t="array" ref="H208">XLOOKUP(C208,'Master Data'!C:C,'Master Data'!G:G)</f>
        <v/>
      </c>
      <c r="I208" s="90" t="str">
        <f t="array" ref="I208">XLOOKUP(C208,'Master Data'!C:C,'Master Data'!H:H)</f>
        <v/>
      </c>
      <c r="J208" s="91" t="s">
        <v>12</v>
      </c>
      <c r="K208" s="92"/>
      <c r="L208" s="92"/>
      <c r="M208" s="23"/>
      <c r="N208" s="23"/>
      <c r="O208" s="23"/>
    </row>
    <row r="209">
      <c r="A209" s="93" t="str">
        <f t="array" ref="A209">XLOOKUP(C209,'TSR Initiation'!C:C,'TSR Initiation'!A:A)</f>
        <v/>
      </c>
      <c r="B209" s="95"/>
      <c r="C209" s="71" t="s">
        <v>12</v>
      </c>
      <c r="D209" s="88" t="str">
        <f t="array" ref="D209">XLOOKUP(C209,'Master Data'!C:C,'Master Data'!D:D)</f>
        <v/>
      </c>
      <c r="E209" s="71" t="str">
        <f t="array" ref="E209">XLOOKUP(C209,'TSR Initiation'!C:C,'TSR Initiation'!E:E)</f>
        <v/>
      </c>
      <c r="F209" s="88" t="str">
        <f t="array" ref="F209">XLOOKUP(C209,'Master Data'!C:C,'Master Data'!E:E)</f>
        <v/>
      </c>
      <c r="G209" s="89" t="str">
        <f t="array" ref="G209">XLOOKUP(C209,'Master Data'!C:C,'Master Data'!F:F)</f>
        <v/>
      </c>
      <c r="H209" s="89" t="str">
        <f t="array" ref="H209">XLOOKUP(C209,'Master Data'!C:C,'Master Data'!G:G)</f>
        <v/>
      </c>
      <c r="I209" s="90" t="str">
        <f t="array" ref="I209">XLOOKUP(C209,'Master Data'!C:C,'Master Data'!H:H)</f>
        <v/>
      </c>
      <c r="J209" s="91" t="s">
        <v>12</v>
      </c>
      <c r="K209" s="92"/>
      <c r="L209" s="92"/>
      <c r="M209" s="23"/>
      <c r="N209" s="23"/>
      <c r="O209" s="23"/>
    </row>
    <row r="210">
      <c r="A210" s="93" t="str">
        <f t="array" ref="A210">XLOOKUP(C210,'TSR Initiation'!C:C,'TSR Initiation'!A:A)</f>
        <v/>
      </c>
      <c r="B210" s="95"/>
      <c r="C210" s="71" t="s">
        <v>12</v>
      </c>
      <c r="D210" s="88" t="str">
        <f t="array" ref="D210">XLOOKUP(C210,'Master Data'!C:C,'Master Data'!D:D)</f>
        <v/>
      </c>
      <c r="E210" s="71" t="str">
        <f t="array" ref="E210">XLOOKUP(C210,'TSR Initiation'!C:C,'TSR Initiation'!E:E)</f>
        <v/>
      </c>
      <c r="F210" s="88" t="str">
        <f t="array" ref="F210">XLOOKUP(C210,'Master Data'!C:C,'Master Data'!E:E)</f>
        <v/>
      </c>
      <c r="G210" s="89" t="str">
        <f t="array" ref="G210">XLOOKUP(C210,'Master Data'!C:C,'Master Data'!F:F)</f>
        <v/>
      </c>
      <c r="H210" s="89" t="str">
        <f t="array" ref="H210">XLOOKUP(C210,'Master Data'!C:C,'Master Data'!G:G)</f>
        <v/>
      </c>
      <c r="I210" s="90" t="str">
        <f t="array" ref="I210">XLOOKUP(C210,'Master Data'!C:C,'Master Data'!H:H)</f>
        <v/>
      </c>
      <c r="J210" s="91" t="s">
        <v>12</v>
      </c>
      <c r="K210" s="92"/>
      <c r="L210" s="92"/>
      <c r="M210" s="23"/>
      <c r="N210" s="23"/>
      <c r="O210" s="23"/>
    </row>
    <row r="211">
      <c r="A211" s="93" t="str">
        <f t="array" ref="A211">XLOOKUP(C211,'TSR Initiation'!C:C,'TSR Initiation'!A:A)</f>
        <v/>
      </c>
      <c r="B211" s="95"/>
      <c r="C211" s="71" t="s">
        <v>12</v>
      </c>
      <c r="D211" s="88" t="str">
        <f t="array" ref="D211">XLOOKUP(C211,'Master Data'!C:C,'Master Data'!D:D)</f>
        <v/>
      </c>
      <c r="E211" s="71" t="str">
        <f t="array" ref="E211">XLOOKUP(C211,'TSR Initiation'!C:C,'TSR Initiation'!E:E)</f>
        <v/>
      </c>
      <c r="F211" s="88" t="str">
        <f t="array" ref="F211">XLOOKUP(C211,'Master Data'!C:C,'Master Data'!E:E)</f>
        <v/>
      </c>
      <c r="G211" s="89" t="str">
        <f t="array" ref="G211">XLOOKUP(C211,'Master Data'!C:C,'Master Data'!F:F)</f>
        <v/>
      </c>
      <c r="H211" s="89" t="str">
        <f t="array" ref="H211">XLOOKUP(C211,'Master Data'!C:C,'Master Data'!G:G)</f>
        <v/>
      </c>
      <c r="I211" s="90" t="str">
        <f t="array" ref="I211">XLOOKUP(C211,'Master Data'!C:C,'Master Data'!H:H)</f>
        <v/>
      </c>
      <c r="J211" s="91" t="s">
        <v>12</v>
      </c>
      <c r="K211" s="92"/>
      <c r="L211" s="92"/>
      <c r="M211" s="23"/>
      <c r="N211" s="23"/>
      <c r="O211" s="23"/>
    </row>
    <row r="212">
      <c r="A212" s="93" t="str">
        <f t="array" ref="A212">XLOOKUP(C212,'TSR Initiation'!C:C,'TSR Initiation'!A:A)</f>
        <v/>
      </c>
      <c r="B212" s="95"/>
      <c r="C212" s="71" t="s">
        <v>12</v>
      </c>
      <c r="D212" s="88" t="str">
        <f t="array" ref="D212">XLOOKUP(C212,'Master Data'!C:C,'Master Data'!D:D)</f>
        <v/>
      </c>
      <c r="E212" s="71" t="str">
        <f t="array" ref="E212">XLOOKUP(C212,'TSR Initiation'!C:C,'TSR Initiation'!E:E)</f>
        <v/>
      </c>
      <c r="F212" s="88" t="str">
        <f t="array" ref="F212">XLOOKUP(C212,'Master Data'!C:C,'Master Data'!E:E)</f>
        <v/>
      </c>
      <c r="G212" s="89" t="str">
        <f t="array" ref="G212">XLOOKUP(C212,'Master Data'!C:C,'Master Data'!F:F)</f>
        <v/>
      </c>
      <c r="H212" s="89" t="str">
        <f t="array" ref="H212">XLOOKUP(C212,'Master Data'!C:C,'Master Data'!G:G)</f>
        <v/>
      </c>
      <c r="I212" s="90" t="str">
        <f t="array" ref="I212">XLOOKUP(C212,'Master Data'!C:C,'Master Data'!H:H)</f>
        <v/>
      </c>
      <c r="J212" s="91" t="s">
        <v>12</v>
      </c>
      <c r="K212" s="92"/>
      <c r="L212" s="92"/>
      <c r="M212" s="23"/>
      <c r="N212" s="23"/>
      <c r="O212" s="23"/>
    </row>
    <row r="213">
      <c r="A213" s="93" t="str">
        <f t="array" ref="A213">XLOOKUP(C213,'TSR Initiation'!C:C,'TSR Initiation'!A:A)</f>
        <v/>
      </c>
      <c r="B213" s="95"/>
      <c r="C213" s="71" t="s">
        <v>12</v>
      </c>
      <c r="D213" s="88" t="str">
        <f t="array" ref="D213">XLOOKUP(C213,'Master Data'!C:C,'Master Data'!D:D)</f>
        <v/>
      </c>
      <c r="E213" s="71" t="str">
        <f t="array" ref="E213">XLOOKUP(C213,'TSR Initiation'!C:C,'TSR Initiation'!E:E)</f>
        <v/>
      </c>
      <c r="F213" s="88" t="str">
        <f t="array" ref="F213">XLOOKUP(C213,'Master Data'!C:C,'Master Data'!E:E)</f>
        <v/>
      </c>
      <c r="G213" s="89" t="str">
        <f t="array" ref="G213">XLOOKUP(C213,'Master Data'!C:C,'Master Data'!F:F)</f>
        <v/>
      </c>
      <c r="H213" s="89" t="str">
        <f t="array" ref="H213">XLOOKUP(C213,'Master Data'!C:C,'Master Data'!G:G)</f>
        <v/>
      </c>
      <c r="I213" s="90" t="str">
        <f t="array" ref="I213">XLOOKUP(C213,'Master Data'!C:C,'Master Data'!H:H)</f>
        <v/>
      </c>
      <c r="J213" s="91" t="s">
        <v>12</v>
      </c>
      <c r="K213" s="92"/>
      <c r="L213" s="92"/>
      <c r="M213" s="23"/>
      <c r="N213" s="23"/>
      <c r="O213" s="23"/>
    </row>
    <row r="214">
      <c r="A214" s="93" t="str">
        <f t="array" ref="A214">XLOOKUP(C214,'TSR Initiation'!C:C,'TSR Initiation'!A:A)</f>
        <v/>
      </c>
      <c r="B214" s="95"/>
      <c r="C214" s="71" t="s">
        <v>12</v>
      </c>
      <c r="D214" s="88" t="str">
        <f t="array" ref="D214">XLOOKUP(C214,'Master Data'!C:C,'Master Data'!D:D)</f>
        <v/>
      </c>
      <c r="E214" s="71" t="str">
        <f t="array" ref="E214">XLOOKUP(C214,'TSR Initiation'!C:C,'TSR Initiation'!E:E)</f>
        <v/>
      </c>
      <c r="F214" s="88" t="str">
        <f t="array" ref="F214">XLOOKUP(C214,'Master Data'!C:C,'Master Data'!E:E)</f>
        <v/>
      </c>
      <c r="G214" s="89" t="str">
        <f t="array" ref="G214">XLOOKUP(C214,'Master Data'!C:C,'Master Data'!F:F)</f>
        <v/>
      </c>
      <c r="H214" s="89" t="str">
        <f t="array" ref="H214">XLOOKUP(C214,'Master Data'!C:C,'Master Data'!G:G)</f>
        <v/>
      </c>
      <c r="I214" s="90" t="str">
        <f t="array" ref="I214">XLOOKUP(C214,'Master Data'!C:C,'Master Data'!H:H)</f>
        <v/>
      </c>
      <c r="J214" s="91" t="s">
        <v>12</v>
      </c>
      <c r="K214" s="92"/>
      <c r="L214" s="92"/>
      <c r="M214" s="23"/>
      <c r="N214" s="23"/>
      <c r="O214" s="23"/>
    </row>
    <row r="215">
      <c r="A215" s="93" t="str">
        <f t="array" ref="A215">XLOOKUP(C215,'TSR Initiation'!C:C,'TSR Initiation'!A:A)</f>
        <v/>
      </c>
      <c r="B215" s="95"/>
      <c r="C215" s="71" t="s">
        <v>12</v>
      </c>
      <c r="D215" s="88" t="str">
        <f t="array" ref="D215">XLOOKUP(C215,'Master Data'!C:C,'Master Data'!D:D)</f>
        <v/>
      </c>
      <c r="E215" s="71" t="str">
        <f t="array" ref="E215">XLOOKUP(C215,'TSR Initiation'!C:C,'TSR Initiation'!E:E)</f>
        <v/>
      </c>
      <c r="F215" s="88" t="str">
        <f t="array" ref="F215">XLOOKUP(C215,'Master Data'!C:C,'Master Data'!E:E)</f>
        <v/>
      </c>
      <c r="G215" s="89" t="str">
        <f t="array" ref="G215">XLOOKUP(C215,'Master Data'!C:C,'Master Data'!F:F)</f>
        <v/>
      </c>
      <c r="H215" s="89" t="str">
        <f t="array" ref="H215">XLOOKUP(C215,'Master Data'!C:C,'Master Data'!G:G)</f>
        <v/>
      </c>
      <c r="I215" s="90" t="str">
        <f t="array" ref="I215">XLOOKUP(C215,'Master Data'!C:C,'Master Data'!H:H)</f>
        <v/>
      </c>
      <c r="J215" s="91" t="s">
        <v>12</v>
      </c>
      <c r="K215" s="92"/>
      <c r="L215" s="92"/>
      <c r="M215" s="23"/>
      <c r="N215" s="23"/>
      <c r="O215" s="23"/>
    </row>
    <row r="216">
      <c r="A216" s="93" t="str">
        <f t="array" ref="A216">XLOOKUP(C216,'TSR Initiation'!C:C,'TSR Initiation'!A:A)</f>
        <v/>
      </c>
      <c r="B216" s="95"/>
      <c r="C216" s="71" t="s">
        <v>12</v>
      </c>
      <c r="D216" s="88" t="str">
        <f t="array" ref="D216">XLOOKUP(C216,'Master Data'!C:C,'Master Data'!D:D)</f>
        <v/>
      </c>
      <c r="E216" s="71" t="str">
        <f t="array" ref="E216">XLOOKUP(C216,'TSR Initiation'!C:C,'TSR Initiation'!E:E)</f>
        <v/>
      </c>
      <c r="F216" s="88" t="str">
        <f t="array" ref="F216">XLOOKUP(C216,'Master Data'!C:C,'Master Data'!E:E)</f>
        <v/>
      </c>
      <c r="G216" s="89" t="str">
        <f t="array" ref="G216">XLOOKUP(C216,'Master Data'!C:C,'Master Data'!F:F)</f>
        <v/>
      </c>
      <c r="H216" s="89" t="str">
        <f t="array" ref="H216">XLOOKUP(C216,'Master Data'!C:C,'Master Data'!G:G)</f>
        <v/>
      </c>
      <c r="I216" s="90" t="str">
        <f t="array" ref="I216">XLOOKUP(C216,'Master Data'!C:C,'Master Data'!H:H)</f>
        <v/>
      </c>
      <c r="J216" s="91" t="s">
        <v>12</v>
      </c>
      <c r="K216" s="92"/>
      <c r="L216" s="92"/>
      <c r="M216" s="23"/>
      <c r="N216" s="23"/>
      <c r="O216" s="23"/>
    </row>
    <row r="217">
      <c r="A217" s="93" t="str">
        <f t="array" ref="A217">XLOOKUP(C217,'TSR Initiation'!C:C,'TSR Initiation'!A:A)</f>
        <v/>
      </c>
      <c r="B217" s="95"/>
      <c r="C217" s="71" t="s">
        <v>12</v>
      </c>
      <c r="D217" s="88" t="str">
        <f t="array" ref="D217">XLOOKUP(C217,'Master Data'!C:C,'Master Data'!D:D)</f>
        <v/>
      </c>
      <c r="E217" s="71" t="str">
        <f t="array" ref="E217">XLOOKUP(C217,'TSR Initiation'!C:C,'TSR Initiation'!E:E)</f>
        <v/>
      </c>
      <c r="F217" s="88" t="str">
        <f t="array" ref="F217">XLOOKUP(C217,'Master Data'!C:C,'Master Data'!E:E)</f>
        <v/>
      </c>
      <c r="G217" s="89" t="str">
        <f t="array" ref="G217">XLOOKUP(C217,'Master Data'!C:C,'Master Data'!F:F)</f>
        <v/>
      </c>
      <c r="H217" s="89" t="str">
        <f t="array" ref="H217">XLOOKUP(C217,'Master Data'!C:C,'Master Data'!G:G)</f>
        <v/>
      </c>
      <c r="I217" s="90" t="str">
        <f t="array" ref="I217">XLOOKUP(C217,'Master Data'!C:C,'Master Data'!H:H)</f>
        <v/>
      </c>
      <c r="J217" s="91" t="s">
        <v>12</v>
      </c>
      <c r="K217" s="92"/>
      <c r="L217" s="92"/>
      <c r="M217" s="23"/>
      <c r="N217" s="23"/>
      <c r="O217" s="23"/>
    </row>
    <row r="218">
      <c r="A218" s="93" t="str">
        <f t="array" ref="A218">XLOOKUP(C218,'TSR Initiation'!C:C,'TSR Initiation'!A:A)</f>
        <v/>
      </c>
      <c r="B218" s="95"/>
      <c r="C218" s="71" t="s">
        <v>12</v>
      </c>
      <c r="D218" s="88" t="str">
        <f t="array" ref="D218">XLOOKUP(C218,'Master Data'!C:C,'Master Data'!D:D)</f>
        <v/>
      </c>
      <c r="E218" s="71" t="str">
        <f t="array" ref="E218">XLOOKUP(C218,'TSR Initiation'!C:C,'TSR Initiation'!E:E)</f>
        <v/>
      </c>
      <c r="F218" s="88" t="str">
        <f t="array" ref="F218">XLOOKUP(C218,'Master Data'!C:C,'Master Data'!E:E)</f>
        <v/>
      </c>
      <c r="G218" s="89" t="str">
        <f t="array" ref="G218">XLOOKUP(C218,'Master Data'!C:C,'Master Data'!F:F)</f>
        <v/>
      </c>
      <c r="H218" s="89" t="str">
        <f t="array" ref="H218">XLOOKUP(C218,'Master Data'!C:C,'Master Data'!G:G)</f>
        <v/>
      </c>
      <c r="I218" s="90" t="str">
        <f t="array" ref="I218">XLOOKUP(C218,'Master Data'!C:C,'Master Data'!H:H)</f>
        <v/>
      </c>
      <c r="J218" s="91" t="s">
        <v>12</v>
      </c>
      <c r="K218" s="92"/>
      <c r="L218" s="92"/>
      <c r="M218" s="23"/>
      <c r="N218" s="23"/>
      <c r="O218" s="23"/>
    </row>
    <row r="219">
      <c r="A219" s="93" t="str">
        <f t="array" ref="A219">XLOOKUP(C219,'TSR Initiation'!C:C,'TSR Initiation'!A:A)</f>
        <v/>
      </c>
      <c r="B219" s="95"/>
      <c r="C219" s="71" t="s">
        <v>12</v>
      </c>
      <c r="D219" s="88" t="str">
        <f t="array" ref="D219">XLOOKUP(C219,'Master Data'!C:C,'Master Data'!D:D)</f>
        <v/>
      </c>
      <c r="E219" s="71" t="str">
        <f t="array" ref="E219">XLOOKUP(C219,'TSR Initiation'!C:C,'TSR Initiation'!E:E)</f>
        <v/>
      </c>
      <c r="F219" s="88" t="str">
        <f t="array" ref="F219">XLOOKUP(C219,'Master Data'!C:C,'Master Data'!E:E)</f>
        <v/>
      </c>
      <c r="G219" s="89" t="str">
        <f t="array" ref="G219">XLOOKUP(C219,'Master Data'!C:C,'Master Data'!F:F)</f>
        <v/>
      </c>
      <c r="H219" s="89" t="str">
        <f t="array" ref="H219">XLOOKUP(C219,'Master Data'!C:C,'Master Data'!G:G)</f>
        <v/>
      </c>
      <c r="I219" s="90" t="str">
        <f t="array" ref="I219">XLOOKUP(C219,'Master Data'!C:C,'Master Data'!H:H)</f>
        <v/>
      </c>
      <c r="J219" s="91" t="s">
        <v>12</v>
      </c>
      <c r="K219" s="92"/>
      <c r="L219" s="92"/>
      <c r="M219" s="23"/>
      <c r="N219" s="23"/>
      <c r="O219" s="23"/>
    </row>
    <row r="220">
      <c r="A220" s="93" t="str">
        <f t="array" ref="A220">XLOOKUP(C220,'TSR Initiation'!C:C,'TSR Initiation'!A:A)</f>
        <v/>
      </c>
      <c r="B220" s="95"/>
      <c r="C220" s="71" t="s">
        <v>12</v>
      </c>
      <c r="D220" s="88" t="str">
        <f t="array" ref="D220">XLOOKUP(C220,'Master Data'!C:C,'Master Data'!D:D)</f>
        <v/>
      </c>
      <c r="E220" s="71" t="str">
        <f t="array" ref="E220">XLOOKUP(C220,'TSR Initiation'!C:C,'TSR Initiation'!E:E)</f>
        <v/>
      </c>
      <c r="F220" s="88" t="str">
        <f t="array" ref="F220">XLOOKUP(C220,'Master Data'!C:C,'Master Data'!E:E)</f>
        <v/>
      </c>
      <c r="G220" s="89" t="str">
        <f t="array" ref="G220">XLOOKUP(C220,'Master Data'!C:C,'Master Data'!F:F)</f>
        <v/>
      </c>
      <c r="H220" s="89" t="str">
        <f t="array" ref="H220">XLOOKUP(C220,'Master Data'!C:C,'Master Data'!G:G)</f>
        <v/>
      </c>
      <c r="I220" s="90" t="str">
        <f t="array" ref="I220">XLOOKUP(C220,'Master Data'!C:C,'Master Data'!H:H)</f>
        <v/>
      </c>
      <c r="J220" s="91" t="s">
        <v>12</v>
      </c>
      <c r="K220" s="92"/>
      <c r="L220" s="92"/>
      <c r="M220" s="23"/>
      <c r="N220" s="23"/>
      <c r="O220" s="23"/>
    </row>
    <row r="221">
      <c r="A221" s="93" t="str">
        <f t="array" ref="A221">XLOOKUP(C221,'TSR Initiation'!C:C,'TSR Initiation'!A:A)</f>
        <v/>
      </c>
      <c r="B221" s="95"/>
      <c r="C221" s="71" t="s">
        <v>12</v>
      </c>
      <c r="D221" s="88" t="str">
        <f t="array" ref="D221">XLOOKUP(C221,'Master Data'!C:C,'Master Data'!D:D)</f>
        <v/>
      </c>
      <c r="E221" s="71" t="str">
        <f t="array" ref="E221">XLOOKUP(C221,'TSR Initiation'!C:C,'TSR Initiation'!E:E)</f>
        <v/>
      </c>
      <c r="F221" s="88" t="str">
        <f t="array" ref="F221">XLOOKUP(C221,'Master Data'!C:C,'Master Data'!E:E)</f>
        <v/>
      </c>
      <c r="G221" s="89" t="str">
        <f t="array" ref="G221">XLOOKUP(C221,'Master Data'!C:C,'Master Data'!F:F)</f>
        <v/>
      </c>
      <c r="H221" s="89" t="str">
        <f t="array" ref="H221">XLOOKUP(C221,'Master Data'!C:C,'Master Data'!G:G)</f>
        <v/>
      </c>
      <c r="I221" s="90" t="str">
        <f t="array" ref="I221">XLOOKUP(C221,'Master Data'!C:C,'Master Data'!H:H)</f>
        <v/>
      </c>
      <c r="J221" s="91" t="s">
        <v>12</v>
      </c>
      <c r="K221" s="92"/>
      <c r="L221" s="92"/>
      <c r="M221" s="23"/>
      <c r="N221" s="23"/>
      <c r="O221" s="23"/>
    </row>
    <row r="222">
      <c r="A222" s="93" t="str">
        <f t="array" ref="A222">XLOOKUP(C222,'TSR Initiation'!C:C,'TSR Initiation'!A:A)</f>
        <v/>
      </c>
      <c r="B222" s="95"/>
      <c r="C222" s="71" t="s">
        <v>12</v>
      </c>
      <c r="D222" s="88" t="str">
        <f t="array" ref="D222">XLOOKUP(C222,'Master Data'!C:C,'Master Data'!D:D)</f>
        <v/>
      </c>
      <c r="E222" s="71" t="str">
        <f t="array" ref="E222">XLOOKUP(C222,'TSR Initiation'!C:C,'TSR Initiation'!E:E)</f>
        <v/>
      </c>
      <c r="F222" s="88" t="str">
        <f t="array" ref="F222">XLOOKUP(C222,'Master Data'!C:C,'Master Data'!E:E)</f>
        <v/>
      </c>
      <c r="G222" s="89" t="str">
        <f t="array" ref="G222">XLOOKUP(C222,'Master Data'!C:C,'Master Data'!F:F)</f>
        <v/>
      </c>
      <c r="H222" s="89" t="str">
        <f t="array" ref="H222">XLOOKUP(C222,'Master Data'!C:C,'Master Data'!G:G)</f>
        <v/>
      </c>
      <c r="I222" s="90" t="str">
        <f t="array" ref="I222">XLOOKUP(C222,'Master Data'!C:C,'Master Data'!H:H)</f>
        <v/>
      </c>
      <c r="J222" s="91" t="s">
        <v>12</v>
      </c>
      <c r="K222" s="92"/>
      <c r="L222" s="92"/>
      <c r="M222" s="23"/>
      <c r="N222" s="23"/>
      <c r="O222" s="23"/>
    </row>
    <row r="223">
      <c r="A223" s="93" t="str">
        <f t="array" ref="A223">XLOOKUP(C223,'TSR Initiation'!C:C,'TSR Initiation'!A:A)</f>
        <v/>
      </c>
      <c r="B223" s="95"/>
      <c r="C223" s="71" t="s">
        <v>12</v>
      </c>
      <c r="D223" s="88" t="str">
        <f t="array" ref="D223">XLOOKUP(C223,'Master Data'!C:C,'Master Data'!D:D)</f>
        <v/>
      </c>
      <c r="E223" s="71" t="str">
        <f t="array" ref="E223">XLOOKUP(C223,'TSR Initiation'!C:C,'TSR Initiation'!E:E)</f>
        <v/>
      </c>
      <c r="F223" s="88" t="str">
        <f t="array" ref="F223">XLOOKUP(C223,'Master Data'!C:C,'Master Data'!E:E)</f>
        <v/>
      </c>
      <c r="G223" s="89" t="str">
        <f t="array" ref="G223">XLOOKUP(C223,'Master Data'!C:C,'Master Data'!F:F)</f>
        <v/>
      </c>
      <c r="H223" s="89" t="str">
        <f t="array" ref="H223">XLOOKUP(C223,'Master Data'!C:C,'Master Data'!G:G)</f>
        <v/>
      </c>
      <c r="I223" s="90" t="str">
        <f t="array" ref="I223">XLOOKUP(C223,'Master Data'!C:C,'Master Data'!H:H)</f>
        <v/>
      </c>
      <c r="J223" s="91" t="s">
        <v>12</v>
      </c>
      <c r="K223" s="92"/>
      <c r="L223" s="92"/>
      <c r="M223" s="23"/>
      <c r="N223" s="23"/>
      <c r="O223" s="23"/>
    </row>
    <row r="224">
      <c r="A224" s="93" t="str">
        <f t="array" ref="A224">XLOOKUP(C224,'TSR Initiation'!C:C,'TSR Initiation'!A:A)</f>
        <v/>
      </c>
      <c r="B224" s="95"/>
      <c r="C224" s="71" t="s">
        <v>12</v>
      </c>
      <c r="D224" s="88" t="str">
        <f t="array" ref="D224">XLOOKUP(C224,'Master Data'!C:C,'Master Data'!D:D)</f>
        <v/>
      </c>
      <c r="E224" s="71" t="str">
        <f t="array" ref="E224">XLOOKUP(C224,'TSR Initiation'!C:C,'TSR Initiation'!E:E)</f>
        <v/>
      </c>
      <c r="F224" s="88" t="str">
        <f t="array" ref="F224">XLOOKUP(C224,'Master Data'!C:C,'Master Data'!E:E)</f>
        <v/>
      </c>
      <c r="G224" s="89" t="str">
        <f t="array" ref="G224">XLOOKUP(C224,'Master Data'!C:C,'Master Data'!F:F)</f>
        <v/>
      </c>
      <c r="H224" s="89" t="str">
        <f t="array" ref="H224">XLOOKUP(C224,'Master Data'!C:C,'Master Data'!G:G)</f>
        <v/>
      </c>
      <c r="I224" s="90" t="str">
        <f t="array" ref="I224">XLOOKUP(C224,'Master Data'!C:C,'Master Data'!H:H)</f>
        <v/>
      </c>
      <c r="J224" s="91" t="s">
        <v>12</v>
      </c>
      <c r="K224" s="92"/>
      <c r="L224" s="92"/>
      <c r="M224" s="23"/>
      <c r="N224" s="23"/>
      <c r="O224" s="23"/>
    </row>
    <row r="225">
      <c r="A225" s="93" t="str">
        <f t="array" ref="A225">XLOOKUP(C225,'TSR Initiation'!C:C,'TSR Initiation'!A:A)</f>
        <v/>
      </c>
      <c r="B225" s="95"/>
      <c r="C225" s="71" t="s">
        <v>12</v>
      </c>
      <c r="D225" s="88" t="str">
        <f t="array" ref="D225">XLOOKUP(C225,'Master Data'!C:C,'Master Data'!D:D)</f>
        <v/>
      </c>
      <c r="E225" s="71" t="str">
        <f t="array" ref="E225">XLOOKUP(C225,'TSR Initiation'!C:C,'TSR Initiation'!E:E)</f>
        <v/>
      </c>
      <c r="F225" s="88" t="str">
        <f t="array" ref="F225">XLOOKUP(C225,'Master Data'!C:C,'Master Data'!E:E)</f>
        <v/>
      </c>
      <c r="G225" s="89" t="str">
        <f t="array" ref="G225">XLOOKUP(C225,'Master Data'!C:C,'Master Data'!F:F)</f>
        <v/>
      </c>
      <c r="H225" s="89" t="str">
        <f t="array" ref="H225">XLOOKUP(C225,'Master Data'!C:C,'Master Data'!G:G)</f>
        <v/>
      </c>
      <c r="I225" s="90" t="str">
        <f t="array" ref="I225">XLOOKUP(C225,'Master Data'!C:C,'Master Data'!H:H)</f>
        <v/>
      </c>
      <c r="J225" s="91" t="s">
        <v>12</v>
      </c>
      <c r="K225" s="92"/>
      <c r="L225" s="92"/>
      <c r="M225" s="23"/>
      <c r="N225" s="23"/>
      <c r="O225" s="23"/>
    </row>
    <row r="226">
      <c r="A226" s="93" t="str">
        <f t="array" ref="A226">XLOOKUP(C226,'TSR Initiation'!C:C,'TSR Initiation'!A:A)</f>
        <v/>
      </c>
      <c r="B226" s="95"/>
      <c r="C226" s="71" t="s">
        <v>12</v>
      </c>
      <c r="D226" s="88" t="str">
        <f t="array" ref="D226">XLOOKUP(C226,'Master Data'!C:C,'Master Data'!D:D)</f>
        <v/>
      </c>
      <c r="E226" s="71" t="str">
        <f t="array" ref="E226">XLOOKUP(C226,'TSR Initiation'!C:C,'TSR Initiation'!E:E)</f>
        <v/>
      </c>
      <c r="F226" s="88" t="str">
        <f t="array" ref="F226">XLOOKUP(C226,'Master Data'!C:C,'Master Data'!E:E)</f>
        <v/>
      </c>
      <c r="G226" s="89" t="str">
        <f t="array" ref="G226">XLOOKUP(C226,'Master Data'!C:C,'Master Data'!F:F)</f>
        <v/>
      </c>
      <c r="H226" s="89" t="str">
        <f t="array" ref="H226">XLOOKUP(C226,'Master Data'!C:C,'Master Data'!G:G)</f>
        <v/>
      </c>
      <c r="I226" s="90" t="str">
        <f t="array" ref="I226">XLOOKUP(C226,'Master Data'!C:C,'Master Data'!H:H)</f>
        <v/>
      </c>
      <c r="J226" s="91" t="s">
        <v>12</v>
      </c>
      <c r="K226" s="92"/>
      <c r="L226" s="92"/>
      <c r="M226" s="23"/>
      <c r="N226" s="23"/>
      <c r="O226" s="23"/>
    </row>
    <row r="227">
      <c r="A227" s="93" t="str">
        <f t="array" ref="A227">XLOOKUP(C227,'TSR Initiation'!C:C,'TSR Initiation'!A:A)</f>
        <v/>
      </c>
      <c r="B227" s="95"/>
      <c r="C227" s="71" t="s">
        <v>12</v>
      </c>
      <c r="D227" s="88" t="str">
        <f t="array" ref="D227">XLOOKUP(C227,'Master Data'!C:C,'Master Data'!D:D)</f>
        <v/>
      </c>
      <c r="E227" s="71" t="str">
        <f t="array" ref="E227">XLOOKUP(C227,'TSR Initiation'!C:C,'TSR Initiation'!E:E)</f>
        <v/>
      </c>
      <c r="F227" s="88" t="str">
        <f t="array" ref="F227">XLOOKUP(C227,'Master Data'!C:C,'Master Data'!E:E)</f>
        <v/>
      </c>
      <c r="G227" s="89" t="str">
        <f t="array" ref="G227">XLOOKUP(C227,'Master Data'!C:C,'Master Data'!F:F)</f>
        <v/>
      </c>
      <c r="H227" s="89" t="str">
        <f t="array" ref="H227">XLOOKUP(C227,'Master Data'!C:C,'Master Data'!G:G)</f>
        <v/>
      </c>
      <c r="I227" s="90" t="str">
        <f t="array" ref="I227">XLOOKUP(C227,'Master Data'!C:C,'Master Data'!H:H)</f>
        <v/>
      </c>
      <c r="J227" s="91" t="s">
        <v>12</v>
      </c>
      <c r="K227" s="92"/>
      <c r="L227" s="92"/>
      <c r="M227" s="23"/>
      <c r="N227" s="23"/>
      <c r="O227" s="23"/>
    </row>
    <row r="228">
      <c r="A228" s="93" t="str">
        <f t="array" ref="A228">XLOOKUP(C228,'TSR Initiation'!C:C,'TSR Initiation'!A:A)</f>
        <v/>
      </c>
      <c r="B228" s="95"/>
      <c r="C228" s="71" t="s">
        <v>12</v>
      </c>
      <c r="D228" s="88" t="str">
        <f t="array" ref="D228">XLOOKUP(C228,'Master Data'!C:C,'Master Data'!D:D)</f>
        <v/>
      </c>
      <c r="E228" s="71" t="str">
        <f t="array" ref="E228">XLOOKUP(C228,'TSR Initiation'!C:C,'TSR Initiation'!E:E)</f>
        <v/>
      </c>
      <c r="F228" s="88" t="str">
        <f t="array" ref="F228">XLOOKUP(C228,'Master Data'!C:C,'Master Data'!E:E)</f>
        <v/>
      </c>
      <c r="G228" s="89" t="str">
        <f t="array" ref="G228">XLOOKUP(C228,'Master Data'!C:C,'Master Data'!F:F)</f>
        <v/>
      </c>
      <c r="H228" s="89" t="str">
        <f t="array" ref="H228">XLOOKUP(C228,'Master Data'!C:C,'Master Data'!G:G)</f>
        <v/>
      </c>
      <c r="I228" s="90" t="str">
        <f t="array" ref="I228">XLOOKUP(C228,'Master Data'!C:C,'Master Data'!H:H)</f>
        <v/>
      </c>
      <c r="J228" s="91" t="s">
        <v>12</v>
      </c>
      <c r="K228" s="92"/>
      <c r="L228" s="92"/>
      <c r="M228" s="23"/>
      <c r="N228" s="23"/>
      <c r="O228" s="23"/>
    </row>
    <row r="229">
      <c r="A229" s="93" t="str">
        <f t="array" ref="A229">XLOOKUP(C229,'TSR Initiation'!C:C,'TSR Initiation'!A:A)</f>
        <v/>
      </c>
      <c r="B229" s="95"/>
      <c r="C229" s="71" t="s">
        <v>12</v>
      </c>
      <c r="D229" s="88" t="str">
        <f t="array" ref="D229">XLOOKUP(C229,'Master Data'!C:C,'Master Data'!D:D)</f>
        <v/>
      </c>
      <c r="E229" s="71" t="str">
        <f t="array" ref="E229">XLOOKUP(C229,'TSR Initiation'!C:C,'TSR Initiation'!E:E)</f>
        <v/>
      </c>
      <c r="F229" s="88" t="str">
        <f t="array" ref="F229">XLOOKUP(C229,'Master Data'!C:C,'Master Data'!E:E)</f>
        <v/>
      </c>
      <c r="G229" s="89" t="str">
        <f t="array" ref="G229">XLOOKUP(C229,'Master Data'!C:C,'Master Data'!F:F)</f>
        <v/>
      </c>
      <c r="H229" s="89" t="str">
        <f t="array" ref="H229">XLOOKUP(C229,'Master Data'!C:C,'Master Data'!G:G)</f>
        <v/>
      </c>
      <c r="I229" s="90" t="str">
        <f t="array" ref="I229">XLOOKUP(C229,'Master Data'!C:C,'Master Data'!H:H)</f>
        <v/>
      </c>
      <c r="J229" s="91" t="s">
        <v>12</v>
      </c>
      <c r="K229" s="92"/>
      <c r="L229" s="92"/>
      <c r="M229" s="23"/>
      <c r="N229" s="23"/>
      <c r="O229" s="23"/>
    </row>
    <row r="230">
      <c r="A230" s="93" t="str">
        <f t="array" ref="A230">XLOOKUP(C230,'TSR Initiation'!C:C,'TSR Initiation'!A:A)</f>
        <v/>
      </c>
      <c r="B230" s="95"/>
      <c r="C230" s="71" t="s">
        <v>12</v>
      </c>
      <c r="D230" s="88" t="str">
        <f t="array" ref="D230">XLOOKUP(C230,'Master Data'!C:C,'Master Data'!D:D)</f>
        <v/>
      </c>
      <c r="E230" s="71" t="str">
        <f t="array" ref="E230">XLOOKUP(C230,'TSR Initiation'!C:C,'TSR Initiation'!E:E)</f>
        <v/>
      </c>
      <c r="F230" s="88" t="str">
        <f t="array" ref="F230">XLOOKUP(C230,'Master Data'!C:C,'Master Data'!E:E)</f>
        <v/>
      </c>
      <c r="G230" s="89" t="str">
        <f t="array" ref="G230">XLOOKUP(C230,'Master Data'!C:C,'Master Data'!F:F)</f>
        <v/>
      </c>
      <c r="H230" s="89" t="str">
        <f t="array" ref="H230">XLOOKUP(C230,'Master Data'!C:C,'Master Data'!G:G)</f>
        <v/>
      </c>
      <c r="I230" s="90" t="str">
        <f t="array" ref="I230">XLOOKUP(C230,'Master Data'!C:C,'Master Data'!H:H)</f>
        <v/>
      </c>
      <c r="J230" s="91" t="s">
        <v>12</v>
      </c>
      <c r="K230" s="92"/>
      <c r="L230" s="92"/>
      <c r="M230" s="23"/>
      <c r="N230" s="23"/>
      <c r="O230" s="23"/>
    </row>
    <row r="231">
      <c r="A231" s="93" t="str">
        <f t="array" ref="A231">XLOOKUP(C231,'TSR Initiation'!C:C,'TSR Initiation'!A:A)</f>
        <v/>
      </c>
      <c r="B231" s="95"/>
      <c r="C231" s="71" t="s">
        <v>12</v>
      </c>
      <c r="D231" s="88" t="str">
        <f t="array" ref="D231">XLOOKUP(C231,'Master Data'!C:C,'Master Data'!D:D)</f>
        <v/>
      </c>
      <c r="E231" s="71" t="str">
        <f t="array" ref="E231">XLOOKUP(C231,'TSR Initiation'!C:C,'TSR Initiation'!E:E)</f>
        <v/>
      </c>
      <c r="F231" s="88" t="str">
        <f t="array" ref="F231">XLOOKUP(C231,'Master Data'!C:C,'Master Data'!E:E)</f>
        <v/>
      </c>
      <c r="G231" s="89" t="str">
        <f t="array" ref="G231">XLOOKUP(C231,'Master Data'!C:C,'Master Data'!F:F)</f>
        <v/>
      </c>
      <c r="H231" s="89" t="str">
        <f t="array" ref="H231">XLOOKUP(C231,'Master Data'!C:C,'Master Data'!G:G)</f>
        <v/>
      </c>
      <c r="I231" s="90" t="str">
        <f t="array" ref="I231">XLOOKUP(C231,'Master Data'!C:C,'Master Data'!H:H)</f>
        <v/>
      </c>
      <c r="J231" s="91" t="s">
        <v>12</v>
      </c>
      <c r="K231" s="92"/>
      <c r="L231" s="92"/>
      <c r="M231" s="23"/>
      <c r="N231" s="23"/>
      <c r="O231" s="23"/>
    </row>
    <row r="232">
      <c r="A232" s="93" t="str">
        <f t="array" ref="A232">XLOOKUP(C232,'TSR Initiation'!C:C,'TSR Initiation'!A:A)</f>
        <v/>
      </c>
      <c r="B232" s="95"/>
      <c r="C232" s="71" t="s">
        <v>12</v>
      </c>
      <c r="D232" s="88" t="str">
        <f t="array" ref="D232">XLOOKUP(C232,'Master Data'!C:C,'Master Data'!D:D)</f>
        <v/>
      </c>
      <c r="E232" s="71" t="str">
        <f t="array" ref="E232">XLOOKUP(C232,'TSR Initiation'!C:C,'TSR Initiation'!E:E)</f>
        <v/>
      </c>
      <c r="F232" s="88" t="str">
        <f t="array" ref="F232">XLOOKUP(C232,'Master Data'!C:C,'Master Data'!E:E)</f>
        <v/>
      </c>
      <c r="G232" s="89" t="str">
        <f t="array" ref="G232">XLOOKUP(C232,'Master Data'!C:C,'Master Data'!F:F)</f>
        <v/>
      </c>
      <c r="H232" s="89" t="str">
        <f t="array" ref="H232">XLOOKUP(C232,'Master Data'!C:C,'Master Data'!G:G)</f>
        <v/>
      </c>
      <c r="I232" s="90" t="str">
        <f t="array" ref="I232">XLOOKUP(C232,'Master Data'!C:C,'Master Data'!H:H)</f>
        <v/>
      </c>
      <c r="J232" s="91" t="s">
        <v>12</v>
      </c>
      <c r="K232" s="92"/>
      <c r="L232" s="92"/>
      <c r="M232" s="23"/>
      <c r="N232" s="23"/>
      <c r="O232" s="23"/>
    </row>
    <row r="233">
      <c r="A233" s="93" t="str">
        <f t="array" ref="A233">XLOOKUP(C233,'TSR Initiation'!C:C,'TSR Initiation'!A:A)</f>
        <v/>
      </c>
      <c r="B233" s="95"/>
      <c r="C233" s="71" t="s">
        <v>12</v>
      </c>
      <c r="D233" s="88" t="str">
        <f t="array" ref="D233">XLOOKUP(C233,'Master Data'!C:C,'Master Data'!D:D)</f>
        <v/>
      </c>
      <c r="E233" s="71" t="str">
        <f t="array" ref="E233">XLOOKUP(C233,'TSR Initiation'!C:C,'TSR Initiation'!E:E)</f>
        <v/>
      </c>
      <c r="F233" s="88" t="str">
        <f t="array" ref="F233">XLOOKUP(C233,'Master Data'!C:C,'Master Data'!E:E)</f>
        <v/>
      </c>
      <c r="G233" s="89" t="str">
        <f t="array" ref="G233">XLOOKUP(C233,'Master Data'!C:C,'Master Data'!F:F)</f>
        <v/>
      </c>
      <c r="H233" s="89" t="str">
        <f t="array" ref="H233">XLOOKUP(C233,'Master Data'!C:C,'Master Data'!G:G)</f>
        <v/>
      </c>
      <c r="I233" s="90" t="str">
        <f t="array" ref="I233">XLOOKUP(C233,'Master Data'!C:C,'Master Data'!H:H)</f>
        <v/>
      </c>
      <c r="J233" s="91" t="s">
        <v>12</v>
      </c>
      <c r="K233" s="92"/>
      <c r="L233" s="92"/>
      <c r="M233" s="23"/>
      <c r="N233" s="23"/>
      <c r="O233" s="23"/>
    </row>
    <row r="234">
      <c r="A234" s="93" t="str">
        <f t="array" ref="A234">XLOOKUP(C234,'TSR Initiation'!C:C,'TSR Initiation'!A:A)</f>
        <v/>
      </c>
      <c r="B234" s="95"/>
      <c r="C234" s="71" t="s">
        <v>12</v>
      </c>
      <c r="D234" s="88" t="str">
        <f t="array" ref="D234">XLOOKUP(C234,'Master Data'!C:C,'Master Data'!D:D)</f>
        <v/>
      </c>
      <c r="E234" s="71" t="str">
        <f t="array" ref="E234">XLOOKUP(C234,'TSR Initiation'!C:C,'TSR Initiation'!E:E)</f>
        <v/>
      </c>
      <c r="F234" s="88" t="str">
        <f t="array" ref="F234">XLOOKUP(C234,'Master Data'!C:C,'Master Data'!E:E)</f>
        <v/>
      </c>
      <c r="G234" s="89" t="str">
        <f t="array" ref="G234">XLOOKUP(C234,'Master Data'!C:C,'Master Data'!F:F)</f>
        <v/>
      </c>
      <c r="H234" s="89" t="str">
        <f t="array" ref="H234">XLOOKUP(C234,'Master Data'!C:C,'Master Data'!G:G)</f>
        <v/>
      </c>
      <c r="I234" s="90" t="str">
        <f t="array" ref="I234">XLOOKUP(C234,'Master Data'!C:C,'Master Data'!H:H)</f>
        <v/>
      </c>
      <c r="J234" s="91" t="s">
        <v>12</v>
      </c>
      <c r="K234" s="92"/>
      <c r="L234" s="92"/>
      <c r="M234" s="23"/>
      <c r="N234" s="23"/>
      <c r="O234" s="23"/>
    </row>
    <row r="235">
      <c r="A235" s="93" t="str">
        <f t="array" ref="A235">XLOOKUP(C235,'TSR Initiation'!C:C,'TSR Initiation'!A:A)</f>
        <v/>
      </c>
      <c r="B235" s="95"/>
      <c r="C235" s="71" t="s">
        <v>12</v>
      </c>
      <c r="D235" s="88" t="str">
        <f t="array" ref="D235">XLOOKUP(C235,'Master Data'!C:C,'Master Data'!D:D)</f>
        <v/>
      </c>
      <c r="E235" s="71" t="str">
        <f t="array" ref="E235">XLOOKUP(C235,'TSR Initiation'!C:C,'TSR Initiation'!E:E)</f>
        <v/>
      </c>
      <c r="F235" s="88" t="str">
        <f t="array" ref="F235">XLOOKUP(C235,'Master Data'!C:C,'Master Data'!E:E)</f>
        <v/>
      </c>
      <c r="G235" s="89" t="str">
        <f t="array" ref="G235">XLOOKUP(C235,'Master Data'!C:C,'Master Data'!F:F)</f>
        <v/>
      </c>
      <c r="H235" s="89" t="str">
        <f t="array" ref="H235">XLOOKUP(C235,'Master Data'!C:C,'Master Data'!G:G)</f>
        <v/>
      </c>
      <c r="I235" s="90" t="str">
        <f t="array" ref="I235">XLOOKUP(C235,'Master Data'!C:C,'Master Data'!H:H)</f>
        <v/>
      </c>
      <c r="J235" s="91" t="s">
        <v>12</v>
      </c>
      <c r="K235" s="92"/>
      <c r="L235" s="92"/>
      <c r="M235" s="23"/>
      <c r="N235" s="23"/>
      <c r="O235" s="23"/>
    </row>
    <row r="236">
      <c r="A236" s="93" t="str">
        <f t="array" ref="A236">XLOOKUP(C236,'TSR Initiation'!C:C,'TSR Initiation'!A:A)</f>
        <v/>
      </c>
      <c r="B236" s="95"/>
      <c r="C236" s="71" t="s">
        <v>12</v>
      </c>
      <c r="D236" s="88" t="str">
        <f t="array" ref="D236">XLOOKUP(C236,'Master Data'!C:C,'Master Data'!D:D)</f>
        <v/>
      </c>
      <c r="E236" s="71" t="str">
        <f t="array" ref="E236">XLOOKUP(C236,'TSR Initiation'!C:C,'TSR Initiation'!E:E)</f>
        <v/>
      </c>
      <c r="F236" s="88" t="str">
        <f t="array" ref="F236">XLOOKUP(C236,'Master Data'!C:C,'Master Data'!E:E)</f>
        <v/>
      </c>
      <c r="G236" s="89" t="str">
        <f t="array" ref="G236">XLOOKUP(C236,'Master Data'!C:C,'Master Data'!F:F)</f>
        <v/>
      </c>
      <c r="H236" s="89" t="str">
        <f t="array" ref="H236">XLOOKUP(C236,'Master Data'!C:C,'Master Data'!G:G)</f>
        <v/>
      </c>
      <c r="I236" s="90" t="str">
        <f t="array" ref="I236">XLOOKUP(C236,'Master Data'!C:C,'Master Data'!H:H)</f>
        <v/>
      </c>
      <c r="J236" s="91" t="s">
        <v>12</v>
      </c>
      <c r="K236" s="92"/>
      <c r="L236" s="92"/>
      <c r="M236" s="23"/>
      <c r="N236" s="23"/>
      <c r="O236" s="23"/>
    </row>
    <row r="237">
      <c r="A237" s="93" t="str">
        <f t="array" ref="A237">XLOOKUP(C237,'TSR Initiation'!C:C,'TSR Initiation'!A:A)</f>
        <v/>
      </c>
      <c r="B237" s="95"/>
      <c r="C237" s="71" t="s">
        <v>12</v>
      </c>
      <c r="D237" s="88" t="str">
        <f t="array" ref="D237">XLOOKUP(C237,'Master Data'!C:C,'Master Data'!D:D)</f>
        <v/>
      </c>
      <c r="E237" s="71" t="str">
        <f t="array" ref="E237">XLOOKUP(C237,'TSR Initiation'!C:C,'TSR Initiation'!E:E)</f>
        <v/>
      </c>
      <c r="F237" s="88" t="str">
        <f t="array" ref="F237">XLOOKUP(C237,'Master Data'!C:C,'Master Data'!E:E)</f>
        <v/>
      </c>
      <c r="G237" s="89" t="str">
        <f t="array" ref="G237">XLOOKUP(C237,'Master Data'!C:C,'Master Data'!F:F)</f>
        <v/>
      </c>
      <c r="H237" s="89" t="str">
        <f t="array" ref="H237">XLOOKUP(C237,'Master Data'!C:C,'Master Data'!G:G)</f>
        <v/>
      </c>
      <c r="I237" s="90" t="str">
        <f t="array" ref="I237">XLOOKUP(C237,'Master Data'!C:C,'Master Data'!H:H)</f>
        <v/>
      </c>
      <c r="J237" s="91" t="s">
        <v>12</v>
      </c>
      <c r="K237" s="92"/>
      <c r="L237" s="92"/>
      <c r="M237" s="23"/>
      <c r="N237" s="23"/>
      <c r="O237" s="23"/>
    </row>
    <row r="238">
      <c r="A238" s="93" t="str">
        <f t="array" ref="A238">XLOOKUP(C238,'TSR Initiation'!C:C,'TSR Initiation'!A:A)</f>
        <v/>
      </c>
      <c r="B238" s="95"/>
      <c r="C238" s="71" t="s">
        <v>12</v>
      </c>
      <c r="D238" s="88" t="str">
        <f t="array" ref="D238">XLOOKUP(C238,'Master Data'!C:C,'Master Data'!D:D)</f>
        <v/>
      </c>
      <c r="E238" s="71" t="str">
        <f t="array" ref="E238">XLOOKUP(C238,'TSR Initiation'!C:C,'TSR Initiation'!E:E)</f>
        <v/>
      </c>
      <c r="F238" s="88" t="str">
        <f t="array" ref="F238">XLOOKUP(C238,'Master Data'!C:C,'Master Data'!E:E)</f>
        <v/>
      </c>
      <c r="G238" s="89" t="str">
        <f t="array" ref="G238">XLOOKUP(C238,'Master Data'!C:C,'Master Data'!F:F)</f>
        <v/>
      </c>
      <c r="H238" s="89" t="str">
        <f t="array" ref="H238">XLOOKUP(C238,'Master Data'!C:C,'Master Data'!G:G)</f>
        <v/>
      </c>
      <c r="I238" s="90" t="str">
        <f t="array" ref="I238">XLOOKUP(C238,'Master Data'!C:C,'Master Data'!H:H)</f>
        <v/>
      </c>
      <c r="J238" s="91" t="s">
        <v>12</v>
      </c>
      <c r="K238" s="92"/>
      <c r="L238" s="92"/>
      <c r="M238" s="23"/>
      <c r="N238" s="23"/>
      <c r="O238" s="23"/>
    </row>
    <row r="239">
      <c r="A239" s="93" t="str">
        <f t="array" ref="A239">XLOOKUP(C239,'TSR Initiation'!C:C,'TSR Initiation'!A:A)</f>
        <v/>
      </c>
      <c r="B239" s="95"/>
      <c r="C239" s="71" t="s">
        <v>12</v>
      </c>
      <c r="D239" s="88" t="str">
        <f t="array" ref="D239">XLOOKUP(C239,'Master Data'!C:C,'Master Data'!D:D)</f>
        <v/>
      </c>
      <c r="E239" s="71" t="str">
        <f t="array" ref="E239">XLOOKUP(C239,'TSR Initiation'!C:C,'TSR Initiation'!E:E)</f>
        <v/>
      </c>
      <c r="F239" s="88" t="str">
        <f t="array" ref="F239">XLOOKUP(C239,'Master Data'!C:C,'Master Data'!E:E)</f>
        <v/>
      </c>
      <c r="G239" s="89" t="str">
        <f t="array" ref="G239">XLOOKUP(C239,'Master Data'!C:C,'Master Data'!F:F)</f>
        <v/>
      </c>
      <c r="H239" s="89" t="str">
        <f t="array" ref="H239">XLOOKUP(C239,'Master Data'!C:C,'Master Data'!G:G)</f>
        <v/>
      </c>
      <c r="I239" s="90" t="str">
        <f t="array" ref="I239">XLOOKUP(C239,'Master Data'!C:C,'Master Data'!H:H)</f>
        <v/>
      </c>
      <c r="J239" s="91" t="s">
        <v>12</v>
      </c>
      <c r="K239" s="92"/>
      <c r="L239" s="92"/>
      <c r="M239" s="23"/>
      <c r="N239" s="23"/>
      <c r="O239" s="23"/>
    </row>
    <row r="240">
      <c r="A240" s="93" t="str">
        <f t="array" ref="A240">XLOOKUP(C240,'TSR Initiation'!C:C,'TSR Initiation'!A:A)</f>
        <v/>
      </c>
      <c r="B240" s="95"/>
      <c r="C240" s="71" t="s">
        <v>12</v>
      </c>
      <c r="D240" s="88" t="str">
        <f t="array" ref="D240">XLOOKUP(C240,'Master Data'!C:C,'Master Data'!D:D)</f>
        <v/>
      </c>
      <c r="E240" s="71" t="str">
        <f t="array" ref="E240">XLOOKUP(C240,'TSR Initiation'!C:C,'TSR Initiation'!E:E)</f>
        <v/>
      </c>
      <c r="F240" s="88" t="str">
        <f t="array" ref="F240">XLOOKUP(C240,'Master Data'!C:C,'Master Data'!E:E)</f>
        <v/>
      </c>
      <c r="G240" s="89" t="str">
        <f t="array" ref="G240">XLOOKUP(C240,'Master Data'!C:C,'Master Data'!F:F)</f>
        <v/>
      </c>
      <c r="H240" s="89" t="str">
        <f t="array" ref="H240">XLOOKUP(C240,'Master Data'!C:C,'Master Data'!G:G)</f>
        <v/>
      </c>
      <c r="I240" s="90" t="str">
        <f t="array" ref="I240">XLOOKUP(C240,'Master Data'!C:C,'Master Data'!H:H)</f>
        <v/>
      </c>
      <c r="J240" s="91" t="s">
        <v>12</v>
      </c>
      <c r="K240" s="92"/>
      <c r="L240" s="92"/>
      <c r="M240" s="23"/>
      <c r="N240" s="23"/>
      <c r="O240" s="23"/>
    </row>
    <row r="241">
      <c r="A241" s="93" t="str">
        <f t="array" ref="A241">XLOOKUP(C241,'TSR Initiation'!C:C,'TSR Initiation'!A:A)</f>
        <v/>
      </c>
      <c r="B241" s="95"/>
      <c r="C241" s="71" t="s">
        <v>12</v>
      </c>
      <c r="D241" s="88" t="str">
        <f t="array" ref="D241">XLOOKUP(C241,'Master Data'!C:C,'Master Data'!D:D)</f>
        <v/>
      </c>
      <c r="E241" s="71" t="str">
        <f t="array" ref="E241">XLOOKUP(C241,'TSR Initiation'!C:C,'TSR Initiation'!E:E)</f>
        <v/>
      </c>
      <c r="F241" s="88" t="str">
        <f t="array" ref="F241">XLOOKUP(C241,'Master Data'!C:C,'Master Data'!E:E)</f>
        <v/>
      </c>
      <c r="G241" s="89" t="str">
        <f t="array" ref="G241">XLOOKUP(C241,'Master Data'!C:C,'Master Data'!F:F)</f>
        <v/>
      </c>
      <c r="H241" s="89" t="str">
        <f t="array" ref="H241">XLOOKUP(C241,'Master Data'!C:C,'Master Data'!G:G)</f>
        <v/>
      </c>
      <c r="I241" s="90" t="str">
        <f t="array" ref="I241">XLOOKUP(C241,'Master Data'!C:C,'Master Data'!H:H)</f>
        <v/>
      </c>
      <c r="J241" s="91" t="s">
        <v>12</v>
      </c>
      <c r="K241" s="92"/>
      <c r="L241" s="92"/>
      <c r="M241" s="23"/>
      <c r="N241" s="23"/>
      <c r="O241" s="23"/>
    </row>
    <row r="242">
      <c r="A242" s="93" t="str">
        <f t="array" ref="A242">XLOOKUP(C242,'TSR Initiation'!C:C,'TSR Initiation'!A:A)</f>
        <v/>
      </c>
      <c r="B242" s="95"/>
      <c r="C242" s="71" t="s">
        <v>12</v>
      </c>
      <c r="D242" s="88" t="str">
        <f t="array" ref="D242">XLOOKUP(C242,'Master Data'!C:C,'Master Data'!D:D)</f>
        <v/>
      </c>
      <c r="E242" s="71" t="str">
        <f t="array" ref="E242">XLOOKUP(C242,'TSR Initiation'!C:C,'TSR Initiation'!E:E)</f>
        <v/>
      </c>
      <c r="F242" s="88" t="str">
        <f t="array" ref="F242">XLOOKUP(C242,'Master Data'!C:C,'Master Data'!E:E)</f>
        <v/>
      </c>
      <c r="G242" s="89" t="str">
        <f t="array" ref="G242">XLOOKUP(C242,'Master Data'!C:C,'Master Data'!F:F)</f>
        <v/>
      </c>
      <c r="H242" s="89" t="str">
        <f t="array" ref="H242">XLOOKUP(C242,'Master Data'!C:C,'Master Data'!G:G)</f>
        <v/>
      </c>
      <c r="I242" s="90" t="str">
        <f t="array" ref="I242">XLOOKUP(C242,'Master Data'!C:C,'Master Data'!H:H)</f>
        <v/>
      </c>
      <c r="J242" s="91" t="s">
        <v>12</v>
      </c>
      <c r="K242" s="92"/>
      <c r="L242" s="92"/>
      <c r="M242" s="23"/>
      <c r="N242" s="23"/>
      <c r="O242" s="23"/>
    </row>
    <row r="243">
      <c r="A243" s="93" t="str">
        <f t="array" ref="A243">XLOOKUP(C243,'TSR Initiation'!C:C,'TSR Initiation'!A:A)</f>
        <v/>
      </c>
      <c r="B243" s="95"/>
      <c r="C243" s="71" t="s">
        <v>12</v>
      </c>
      <c r="D243" s="88" t="str">
        <f t="array" ref="D243">XLOOKUP(C243,'Master Data'!C:C,'Master Data'!D:D)</f>
        <v/>
      </c>
      <c r="E243" s="71" t="str">
        <f t="array" ref="E243">XLOOKUP(C243,'TSR Initiation'!C:C,'TSR Initiation'!E:E)</f>
        <v/>
      </c>
      <c r="F243" s="88" t="str">
        <f t="array" ref="F243">XLOOKUP(C243,'Master Data'!C:C,'Master Data'!E:E)</f>
        <v/>
      </c>
      <c r="G243" s="89" t="str">
        <f t="array" ref="G243">XLOOKUP(C243,'Master Data'!C:C,'Master Data'!F:F)</f>
        <v/>
      </c>
      <c r="H243" s="89" t="str">
        <f t="array" ref="H243">XLOOKUP(C243,'Master Data'!C:C,'Master Data'!G:G)</f>
        <v/>
      </c>
      <c r="I243" s="90" t="str">
        <f t="array" ref="I243">XLOOKUP(C243,'Master Data'!C:C,'Master Data'!H:H)</f>
        <v/>
      </c>
      <c r="J243" s="91" t="s">
        <v>12</v>
      </c>
      <c r="K243" s="92"/>
      <c r="L243" s="92"/>
      <c r="M243" s="23"/>
      <c r="N243" s="23"/>
      <c r="O243" s="23"/>
    </row>
    <row r="244">
      <c r="A244" s="93" t="str">
        <f t="array" ref="A244">XLOOKUP(C244,'TSR Initiation'!C:C,'TSR Initiation'!A:A)</f>
        <v/>
      </c>
      <c r="B244" s="95"/>
      <c r="C244" s="71" t="s">
        <v>12</v>
      </c>
      <c r="D244" s="88" t="str">
        <f t="array" ref="D244">XLOOKUP(C244,'Master Data'!C:C,'Master Data'!D:D)</f>
        <v/>
      </c>
      <c r="E244" s="71" t="str">
        <f t="array" ref="E244">XLOOKUP(C244,'TSR Initiation'!C:C,'TSR Initiation'!E:E)</f>
        <v/>
      </c>
      <c r="F244" s="88" t="str">
        <f t="array" ref="F244">XLOOKUP(C244,'Master Data'!C:C,'Master Data'!E:E)</f>
        <v/>
      </c>
      <c r="G244" s="89" t="str">
        <f t="array" ref="G244">XLOOKUP(C244,'Master Data'!C:C,'Master Data'!F:F)</f>
        <v/>
      </c>
      <c r="H244" s="89" t="str">
        <f t="array" ref="H244">XLOOKUP(C244,'Master Data'!C:C,'Master Data'!G:G)</f>
        <v/>
      </c>
      <c r="I244" s="90" t="str">
        <f t="array" ref="I244">XLOOKUP(C244,'Master Data'!C:C,'Master Data'!H:H)</f>
        <v/>
      </c>
      <c r="J244" s="91" t="s">
        <v>12</v>
      </c>
      <c r="K244" s="92"/>
      <c r="L244" s="92"/>
      <c r="M244" s="23"/>
      <c r="N244" s="23"/>
      <c r="O244" s="23"/>
    </row>
    <row r="245">
      <c r="A245" s="93" t="str">
        <f t="array" ref="A245">XLOOKUP(C245,'TSR Initiation'!C:C,'TSR Initiation'!A:A)</f>
        <v/>
      </c>
      <c r="B245" s="95"/>
      <c r="C245" s="71" t="s">
        <v>12</v>
      </c>
      <c r="D245" s="88" t="str">
        <f t="array" ref="D245">XLOOKUP(C245,'Master Data'!C:C,'Master Data'!D:D)</f>
        <v/>
      </c>
      <c r="E245" s="71" t="str">
        <f t="array" ref="E245">XLOOKUP(C245,'TSR Initiation'!C:C,'TSR Initiation'!E:E)</f>
        <v/>
      </c>
      <c r="F245" s="88" t="str">
        <f t="array" ref="F245">XLOOKUP(C245,'Master Data'!C:C,'Master Data'!E:E)</f>
        <v/>
      </c>
      <c r="G245" s="89" t="str">
        <f t="array" ref="G245">XLOOKUP(C245,'Master Data'!C:C,'Master Data'!F:F)</f>
        <v/>
      </c>
      <c r="H245" s="89" t="str">
        <f t="array" ref="H245">XLOOKUP(C245,'Master Data'!C:C,'Master Data'!G:G)</f>
        <v/>
      </c>
      <c r="I245" s="90" t="str">
        <f t="array" ref="I245">XLOOKUP(C245,'Master Data'!C:C,'Master Data'!H:H)</f>
        <v/>
      </c>
      <c r="J245" s="91" t="s">
        <v>12</v>
      </c>
      <c r="K245" s="92"/>
      <c r="L245" s="92"/>
      <c r="M245" s="23"/>
      <c r="N245" s="23"/>
      <c r="O245" s="23"/>
    </row>
    <row r="246">
      <c r="A246" s="93" t="str">
        <f t="array" ref="A246">XLOOKUP(C246,'TSR Initiation'!C:C,'TSR Initiation'!A:A)</f>
        <v/>
      </c>
      <c r="B246" s="95"/>
      <c r="C246" s="71" t="s">
        <v>12</v>
      </c>
      <c r="D246" s="88" t="str">
        <f t="array" ref="D246">XLOOKUP(C246,'Master Data'!C:C,'Master Data'!D:D)</f>
        <v/>
      </c>
      <c r="E246" s="71" t="str">
        <f t="array" ref="E246">XLOOKUP(C246,'TSR Initiation'!C:C,'TSR Initiation'!E:E)</f>
        <v/>
      </c>
      <c r="F246" s="88" t="str">
        <f t="array" ref="F246">XLOOKUP(C246,'Master Data'!C:C,'Master Data'!E:E)</f>
        <v/>
      </c>
      <c r="G246" s="89" t="str">
        <f t="array" ref="G246">XLOOKUP(C246,'Master Data'!C:C,'Master Data'!F:F)</f>
        <v/>
      </c>
      <c r="H246" s="89" t="str">
        <f t="array" ref="H246">XLOOKUP(C246,'Master Data'!C:C,'Master Data'!G:G)</f>
        <v/>
      </c>
      <c r="I246" s="90" t="str">
        <f t="array" ref="I246">XLOOKUP(C246,'Master Data'!C:C,'Master Data'!H:H)</f>
        <v/>
      </c>
      <c r="J246" s="91" t="s">
        <v>12</v>
      </c>
      <c r="K246" s="92"/>
      <c r="L246" s="92"/>
      <c r="M246" s="23"/>
      <c r="N246" s="23"/>
      <c r="O246" s="23"/>
    </row>
    <row r="247">
      <c r="A247" s="93" t="str">
        <f t="array" ref="A247">XLOOKUP(C247,'TSR Initiation'!C:C,'TSR Initiation'!A:A)</f>
        <v/>
      </c>
      <c r="B247" s="95"/>
      <c r="C247" s="71" t="s">
        <v>12</v>
      </c>
      <c r="D247" s="88" t="str">
        <f t="array" ref="D247">XLOOKUP(C247,'Master Data'!C:C,'Master Data'!D:D)</f>
        <v/>
      </c>
      <c r="E247" s="71" t="str">
        <f t="array" ref="E247">XLOOKUP(C247,'TSR Initiation'!C:C,'TSR Initiation'!E:E)</f>
        <v/>
      </c>
      <c r="F247" s="88" t="str">
        <f t="array" ref="F247">XLOOKUP(C247,'Master Data'!C:C,'Master Data'!E:E)</f>
        <v/>
      </c>
      <c r="G247" s="89" t="str">
        <f t="array" ref="G247">XLOOKUP(C247,'Master Data'!C:C,'Master Data'!F:F)</f>
        <v/>
      </c>
      <c r="H247" s="89" t="str">
        <f t="array" ref="H247">XLOOKUP(C247,'Master Data'!C:C,'Master Data'!G:G)</f>
        <v/>
      </c>
      <c r="I247" s="90" t="str">
        <f t="array" ref="I247">XLOOKUP(C247,'Master Data'!C:C,'Master Data'!H:H)</f>
        <v/>
      </c>
      <c r="J247" s="91" t="s">
        <v>12</v>
      </c>
      <c r="K247" s="92"/>
      <c r="L247" s="92"/>
      <c r="M247" s="23"/>
      <c r="N247" s="23"/>
      <c r="O247" s="23"/>
    </row>
    <row r="248">
      <c r="A248" s="93" t="str">
        <f t="array" ref="A248">XLOOKUP(C248,'TSR Initiation'!C:C,'TSR Initiation'!A:A)</f>
        <v/>
      </c>
      <c r="B248" s="95"/>
      <c r="C248" s="71" t="s">
        <v>12</v>
      </c>
      <c r="D248" s="88" t="str">
        <f t="array" ref="D248">XLOOKUP(C248,'Master Data'!C:C,'Master Data'!D:D)</f>
        <v/>
      </c>
      <c r="E248" s="71" t="str">
        <f t="array" ref="E248">XLOOKUP(C248,'TSR Initiation'!C:C,'TSR Initiation'!E:E)</f>
        <v/>
      </c>
      <c r="F248" s="88" t="str">
        <f t="array" ref="F248">XLOOKUP(C248,'Master Data'!C:C,'Master Data'!E:E)</f>
        <v/>
      </c>
      <c r="G248" s="89" t="str">
        <f t="array" ref="G248">XLOOKUP(C248,'Master Data'!C:C,'Master Data'!F:F)</f>
        <v/>
      </c>
      <c r="H248" s="89" t="str">
        <f t="array" ref="H248">XLOOKUP(C248,'Master Data'!C:C,'Master Data'!G:G)</f>
        <v/>
      </c>
      <c r="I248" s="90" t="str">
        <f t="array" ref="I248">XLOOKUP(C248,'Master Data'!C:C,'Master Data'!H:H)</f>
        <v/>
      </c>
      <c r="J248" s="91" t="s">
        <v>12</v>
      </c>
      <c r="K248" s="92"/>
      <c r="L248" s="92"/>
      <c r="M248" s="23"/>
      <c r="N248" s="23"/>
      <c r="O248" s="23"/>
    </row>
    <row r="249">
      <c r="A249" s="93" t="str">
        <f t="array" ref="A249">XLOOKUP(C249,'TSR Initiation'!C:C,'TSR Initiation'!A:A)</f>
        <v/>
      </c>
      <c r="B249" s="95"/>
      <c r="C249" s="71" t="s">
        <v>12</v>
      </c>
      <c r="D249" s="88" t="str">
        <f t="array" ref="D249">XLOOKUP(C249,'Master Data'!C:C,'Master Data'!D:D)</f>
        <v/>
      </c>
      <c r="E249" s="71" t="str">
        <f t="array" ref="E249">XLOOKUP(C249,'TSR Initiation'!C:C,'TSR Initiation'!E:E)</f>
        <v/>
      </c>
      <c r="F249" s="88" t="str">
        <f t="array" ref="F249">XLOOKUP(C249,'Master Data'!C:C,'Master Data'!E:E)</f>
        <v/>
      </c>
      <c r="G249" s="89" t="str">
        <f t="array" ref="G249">XLOOKUP(C249,'Master Data'!C:C,'Master Data'!F:F)</f>
        <v/>
      </c>
      <c r="H249" s="89" t="str">
        <f t="array" ref="H249">XLOOKUP(C249,'Master Data'!C:C,'Master Data'!G:G)</f>
        <v/>
      </c>
      <c r="I249" s="90" t="str">
        <f t="array" ref="I249">XLOOKUP(C249,'Master Data'!C:C,'Master Data'!H:H)</f>
        <v/>
      </c>
      <c r="J249" s="91" t="s">
        <v>12</v>
      </c>
      <c r="K249" s="92"/>
      <c r="L249" s="92"/>
      <c r="M249" s="23"/>
      <c r="N249" s="23"/>
      <c r="O249" s="23"/>
    </row>
    <row r="250">
      <c r="A250" s="93" t="str">
        <f t="array" ref="A250">XLOOKUP(C250,'TSR Initiation'!C:C,'TSR Initiation'!A:A)</f>
        <v/>
      </c>
      <c r="B250" s="95"/>
      <c r="C250" s="71" t="s">
        <v>12</v>
      </c>
      <c r="D250" s="88" t="str">
        <f t="array" ref="D250">XLOOKUP(C250,'Master Data'!C:C,'Master Data'!D:D)</f>
        <v/>
      </c>
      <c r="E250" s="71" t="str">
        <f t="array" ref="E250">XLOOKUP(C250,'TSR Initiation'!C:C,'TSR Initiation'!E:E)</f>
        <v/>
      </c>
      <c r="F250" s="88" t="str">
        <f t="array" ref="F250">XLOOKUP(C250,'Master Data'!C:C,'Master Data'!E:E)</f>
        <v/>
      </c>
      <c r="G250" s="89" t="str">
        <f t="array" ref="G250">XLOOKUP(C250,'Master Data'!C:C,'Master Data'!F:F)</f>
        <v/>
      </c>
      <c r="H250" s="89" t="str">
        <f t="array" ref="H250">XLOOKUP(C250,'Master Data'!C:C,'Master Data'!G:G)</f>
        <v/>
      </c>
      <c r="I250" s="90" t="str">
        <f t="array" ref="I250">XLOOKUP(C250,'Master Data'!C:C,'Master Data'!H:H)</f>
        <v/>
      </c>
      <c r="J250" s="91" t="s">
        <v>12</v>
      </c>
      <c r="K250" s="92"/>
      <c r="L250" s="92"/>
      <c r="M250" s="23"/>
      <c r="N250" s="23"/>
      <c r="O250" s="23"/>
    </row>
    <row r="251">
      <c r="A251" s="93" t="str">
        <f t="array" ref="A251">XLOOKUP(C251,'TSR Initiation'!C:C,'TSR Initiation'!A:A)</f>
        <v/>
      </c>
      <c r="B251" s="95"/>
      <c r="C251" s="71" t="s">
        <v>12</v>
      </c>
      <c r="D251" s="88" t="str">
        <f t="array" ref="D251">XLOOKUP(C251,'Master Data'!C:C,'Master Data'!D:D)</f>
        <v/>
      </c>
      <c r="E251" s="71" t="str">
        <f t="array" ref="E251">XLOOKUP(C251,'TSR Initiation'!C:C,'TSR Initiation'!E:E)</f>
        <v/>
      </c>
      <c r="F251" s="88" t="str">
        <f t="array" ref="F251">XLOOKUP(C251,'Master Data'!C:C,'Master Data'!E:E)</f>
        <v/>
      </c>
      <c r="G251" s="89" t="str">
        <f t="array" ref="G251">XLOOKUP(C251,'Master Data'!C:C,'Master Data'!F:F)</f>
        <v/>
      </c>
      <c r="H251" s="89" t="str">
        <f t="array" ref="H251">XLOOKUP(C251,'Master Data'!C:C,'Master Data'!G:G)</f>
        <v/>
      </c>
      <c r="I251" s="90" t="str">
        <f t="array" ref="I251">XLOOKUP(C251,'Master Data'!C:C,'Master Data'!H:H)</f>
        <v/>
      </c>
      <c r="J251" s="91" t="s">
        <v>12</v>
      </c>
      <c r="K251" s="92"/>
      <c r="L251" s="92"/>
      <c r="M251" s="23"/>
      <c r="N251" s="23"/>
      <c r="O251" s="23"/>
    </row>
    <row r="252">
      <c r="A252" s="93" t="str">
        <f t="array" ref="A252">XLOOKUP(C252,'TSR Initiation'!C:C,'TSR Initiation'!A:A)</f>
        <v/>
      </c>
      <c r="B252" s="95"/>
      <c r="C252" s="71" t="s">
        <v>12</v>
      </c>
      <c r="D252" s="88" t="str">
        <f t="array" ref="D252">XLOOKUP(C252,'Master Data'!C:C,'Master Data'!D:D)</f>
        <v/>
      </c>
      <c r="E252" s="71" t="str">
        <f t="array" ref="E252">XLOOKUP(C252,'TSR Initiation'!C:C,'TSR Initiation'!E:E)</f>
        <v/>
      </c>
      <c r="F252" s="88" t="str">
        <f t="array" ref="F252">XLOOKUP(C252,'Master Data'!C:C,'Master Data'!E:E)</f>
        <v/>
      </c>
      <c r="G252" s="89" t="str">
        <f t="array" ref="G252">XLOOKUP(C252,'Master Data'!C:C,'Master Data'!F:F)</f>
        <v/>
      </c>
      <c r="H252" s="89" t="str">
        <f t="array" ref="H252">XLOOKUP(C252,'Master Data'!C:C,'Master Data'!G:G)</f>
        <v/>
      </c>
      <c r="I252" s="90" t="str">
        <f t="array" ref="I252">XLOOKUP(C252,'Master Data'!C:C,'Master Data'!H:H)</f>
        <v/>
      </c>
      <c r="J252" s="91" t="s">
        <v>12</v>
      </c>
      <c r="K252" s="92"/>
      <c r="L252" s="92"/>
      <c r="M252" s="23"/>
      <c r="N252" s="23"/>
      <c r="O252" s="23"/>
    </row>
    <row r="253">
      <c r="A253" s="93" t="str">
        <f t="array" ref="A253">XLOOKUP(C253,'TSR Initiation'!C:C,'TSR Initiation'!A:A)</f>
        <v/>
      </c>
      <c r="B253" s="95"/>
      <c r="C253" s="71" t="s">
        <v>12</v>
      </c>
      <c r="D253" s="88" t="str">
        <f t="array" ref="D253">XLOOKUP(C253,'Master Data'!C:C,'Master Data'!D:D)</f>
        <v/>
      </c>
      <c r="E253" s="71" t="str">
        <f t="array" ref="E253">XLOOKUP(C253,'TSR Initiation'!C:C,'TSR Initiation'!E:E)</f>
        <v/>
      </c>
      <c r="F253" s="88" t="str">
        <f t="array" ref="F253">XLOOKUP(C253,'Master Data'!C:C,'Master Data'!E:E)</f>
        <v/>
      </c>
      <c r="G253" s="89" t="str">
        <f t="array" ref="G253">XLOOKUP(C253,'Master Data'!C:C,'Master Data'!F:F)</f>
        <v/>
      </c>
      <c r="H253" s="89" t="str">
        <f t="array" ref="H253">XLOOKUP(C253,'Master Data'!C:C,'Master Data'!G:G)</f>
        <v/>
      </c>
      <c r="I253" s="90" t="str">
        <f t="array" ref="I253">XLOOKUP(C253,'Master Data'!C:C,'Master Data'!H:H)</f>
        <v/>
      </c>
      <c r="J253" s="91" t="s">
        <v>12</v>
      </c>
      <c r="K253" s="92"/>
      <c r="L253" s="92"/>
      <c r="M253" s="23"/>
      <c r="N253" s="23"/>
      <c r="O253" s="23"/>
    </row>
    <row r="254">
      <c r="A254" s="93" t="str">
        <f t="array" ref="A254">XLOOKUP(C254,'TSR Initiation'!C:C,'TSR Initiation'!A:A)</f>
        <v/>
      </c>
      <c r="B254" s="95"/>
      <c r="C254" s="71" t="s">
        <v>12</v>
      </c>
      <c r="D254" s="88" t="str">
        <f t="array" ref="D254">XLOOKUP(C254,'Master Data'!C:C,'Master Data'!D:D)</f>
        <v/>
      </c>
      <c r="E254" s="71" t="str">
        <f t="array" ref="E254">XLOOKUP(C254,'TSR Initiation'!C:C,'TSR Initiation'!E:E)</f>
        <v/>
      </c>
      <c r="F254" s="88" t="str">
        <f t="array" ref="F254">XLOOKUP(C254,'Master Data'!C:C,'Master Data'!E:E)</f>
        <v/>
      </c>
      <c r="G254" s="89" t="str">
        <f t="array" ref="G254">XLOOKUP(C254,'Master Data'!C:C,'Master Data'!F:F)</f>
        <v/>
      </c>
      <c r="H254" s="89" t="str">
        <f t="array" ref="H254">XLOOKUP(C254,'Master Data'!C:C,'Master Data'!G:G)</f>
        <v/>
      </c>
      <c r="I254" s="90" t="str">
        <f t="array" ref="I254">XLOOKUP(C254,'Master Data'!C:C,'Master Data'!H:H)</f>
        <v/>
      </c>
      <c r="J254" s="91" t="s">
        <v>12</v>
      </c>
      <c r="K254" s="92"/>
      <c r="L254" s="92"/>
      <c r="M254" s="23"/>
      <c r="N254" s="23"/>
      <c r="O254" s="23"/>
    </row>
    <row r="255">
      <c r="A255" s="93" t="str">
        <f t="array" ref="A255">XLOOKUP(C255,'TSR Initiation'!C:C,'TSR Initiation'!A:A)</f>
        <v/>
      </c>
      <c r="B255" s="95"/>
      <c r="C255" s="71" t="s">
        <v>12</v>
      </c>
      <c r="D255" s="88" t="str">
        <f t="array" ref="D255">XLOOKUP(C255,'Master Data'!C:C,'Master Data'!D:D)</f>
        <v/>
      </c>
      <c r="E255" s="71" t="str">
        <f t="array" ref="E255">XLOOKUP(C255,'TSR Initiation'!C:C,'TSR Initiation'!E:E)</f>
        <v/>
      </c>
      <c r="F255" s="88" t="str">
        <f t="array" ref="F255">XLOOKUP(C255,'Master Data'!C:C,'Master Data'!E:E)</f>
        <v/>
      </c>
      <c r="G255" s="89" t="str">
        <f t="array" ref="G255">XLOOKUP(C255,'Master Data'!C:C,'Master Data'!F:F)</f>
        <v/>
      </c>
      <c r="H255" s="89" t="str">
        <f t="array" ref="H255">XLOOKUP(C255,'Master Data'!C:C,'Master Data'!G:G)</f>
        <v/>
      </c>
      <c r="I255" s="90" t="str">
        <f t="array" ref="I255">XLOOKUP(C255,'Master Data'!C:C,'Master Data'!H:H)</f>
        <v/>
      </c>
      <c r="J255" s="91" t="s">
        <v>12</v>
      </c>
      <c r="K255" s="92"/>
      <c r="L255" s="92"/>
      <c r="M255" s="23"/>
      <c r="N255" s="23"/>
      <c r="O255" s="23"/>
    </row>
    <row r="256">
      <c r="A256" s="93" t="str">
        <f t="array" ref="A256">XLOOKUP(C256,'TSR Initiation'!C:C,'TSR Initiation'!A:A)</f>
        <v/>
      </c>
      <c r="B256" s="95"/>
      <c r="C256" s="71" t="s">
        <v>12</v>
      </c>
      <c r="D256" s="88" t="str">
        <f t="array" ref="D256">XLOOKUP(C256,'Master Data'!C:C,'Master Data'!D:D)</f>
        <v/>
      </c>
      <c r="E256" s="71" t="str">
        <f t="array" ref="E256">XLOOKUP(C256,'TSR Initiation'!C:C,'TSR Initiation'!E:E)</f>
        <v/>
      </c>
      <c r="F256" s="88" t="str">
        <f t="array" ref="F256">XLOOKUP(C256,'Master Data'!C:C,'Master Data'!E:E)</f>
        <v/>
      </c>
      <c r="G256" s="89" t="str">
        <f t="array" ref="G256">XLOOKUP(C256,'Master Data'!C:C,'Master Data'!F:F)</f>
        <v/>
      </c>
      <c r="H256" s="89" t="str">
        <f t="array" ref="H256">XLOOKUP(C256,'Master Data'!C:C,'Master Data'!G:G)</f>
        <v/>
      </c>
      <c r="I256" s="90" t="str">
        <f t="array" ref="I256">XLOOKUP(C256,'Master Data'!C:C,'Master Data'!H:H)</f>
        <v/>
      </c>
      <c r="J256" s="91" t="s">
        <v>12</v>
      </c>
      <c r="K256" s="92"/>
      <c r="L256" s="92"/>
      <c r="M256" s="23"/>
      <c r="N256" s="23"/>
      <c r="O256" s="23"/>
    </row>
    <row r="257">
      <c r="A257" s="93" t="str">
        <f t="array" ref="A257">XLOOKUP(C257,'TSR Initiation'!C:C,'TSR Initiation'!A:A)</f>
        <v/>
      </c>
      <c r="B257" s="95"/>
      <c r="C257" s="71" t="s">
        <v>12</v>
      </c>
      <c r="D257" s="88" t="str">
        <f t="array" ref="D257">XLOOKUP(C257,'Master Data'!C:C,'Master Data'!D:D)</f>
        <v/>
      </c>
      <c r="E257" s="71" t="str">
        <f t="array" ref="E257">XLOOKUP(C257,'TSR Initiation'!C:C,'TSR Initiation'!E:E)</f>
        <v/>
      </c>
      <c r="F257" s="88" t="str">
        <f t="array" ref="F257">XLOOKUP(C257,'Master Data'!C:C,'Master Data'!E:E)</f>
        <v/>
      </c>
      <c r="G257" s="89" t="str">
        <f t="array" ref="G257">XLOOKUP(C257,'Master Data'!C:C,'Master Data'!F:F)</f>
        <v/>
      </c>
      <c r="H257" s="89" t="str">
        <f t="array" ref="H257">XLOOKUP(C257,'Master Data'!C:C,'Master Data'!G:G)</f>
        <v/>
      </c>
      <c r="I257" s="90" t="str">
        <f t="array" ref="I257">XLOOKUP(C257,'Master Data'!C:C,'Master Data'!H:H)</f>
        <v/>
      </c>
      <c r="J257" s="91" t="s">
        <v>12</v>
      </c>
      <c r="K257" s="92"/>
      <c r="L257" s="92"/>
      <c r="M257" s="23"/>
      <c r="N257" s="23"/>
      <c r="O257" s="23"/>
    </row>
    <row r="258">
      <c r="A258" s="93" t="str">
        <f t="array" ref="A258">XLOOKUP(C258,'TSR Initiation'!C:C,'TSR Initiation'!A:A)</f>
        <v/>
      </c>
      <c r="B258" s="95"/>
      <c r="C258" s="71" t="s">
        <v>12</v>
      </c>
      <c r="D258" s="88" t="str">
        <f t="array" ref="D258">XLOOKUP(C258,'Master Data'!C:C,'Master Data'!D:D)</f>
        <v/>
      </c>
      <c r="E258" s="71" t="str">
        <f t="array" ref="E258">XLOOKUP(C258,'TSR Initiation'!C:C,'TSR Initiation'!E:E)</f>
        <v/>
      </c>
      <c r="F258" s="88" t="str">
        <f t="array" ref="F258">XLOOKUP(C258,'Master Data'!C:C,'Master Data'!E:E)</f>
        <v/>
      </c>
      <c r="G258" s="89" t="str">
        <f t="array" ref="G258">XLOOKUP(C258,'Master Data'!C:C,'Master Data'!F:F)</f>
        <v/>
      </c>
      <c r="H258" s="89" t="str">
        <f t="array" ref="H258">XLOOKUP(C258,'Master Data'!C:C,'Master Data'!G:G)</f>
        <v/>
      </c>
      <c r="I258" s="90" t="str">
        <f t="array" ref="I258">XLOOKUP(C258,'Master Data'!C:C,'Master Data'!H:H)</f>
        <v/>
      </c>
      <c r="J258" s="91" t="s">
        <v>12</v>
      </c>
      <c r="K258" s="92"/>
      <c r="L258" s="92"/>
      <c r="M258" s="23"/>
      <c r="N258" s="23"/>
      <c r="O258" s="23"/>
    </row>
    <row r="259">
      <c r="A259" s="93" t="str">
        <f t="array" ref="A259">XLOOKUP(C259,'TSR Initiation'!C:C,'TSR Initiation'!A:A)</f>
        <v/>
      </c>
      <c r="B259" s="95"/>
      <c r="C259" s="71" t="s">
        <v>12</v>
      </c>
      <c r="D259" s="88" t="str">
        <f t="array" ref="D259">XLOOKUP(C259,'Master Data'!C:C,'Master Data'!D:D)</f>
        <v/>
      </c>
      <c r="E259" s="71" t="str">
        <f t="array" ref="E259">XLOOKUP(C259,'TSR Initiation'!C:C,'TSR Initiation'!E:E)</f>
        <v/>
      </c>
      <c r="F259" s="88" t="str">
        <f t="array" ref="F259">XLOOKUP(C259,'Master Data'!C:C,'Master Data'!E:E)</f>
        <v/>
      </c>
      <c r="G259" s="89" t="str">
        <f t="array" ref="G259">XLOOKUP(C259,'Master Data'!C:C,'Master Data'!F:F)</f>
        <v/>
      </c>
      <c r="H259" s="89" t="str">
        <f t="array" ref="H259">XLOOKUP(C259,'Master Data'!C:C,'Master Data'!G:G)</f>
        <v/>
      </c>
      <c r="I259" s="90" t="str">
        <f t="array" ref="I259">XLOOKUP(C259,'Master Data'!C:C,'Master Data'!H:H)</f>
        <v/>
      </c>
      <c r="J259" s="91" t="s">
        <v>12</v>
      </c>
      <c r="K259" s="92"/>
      <c r="L259" s="92"/>
      <c r="M259" s="23"/>
      <c r="N259" s="23"/>
      <c r="O259" s="23"/>
    </row>
    <row r="260">
      <c r="A260" s="93" t="str">
        <f t="array" ref="A260">XLOOKUP(C260,'TSR Initiation'!C:C,'TSR Initiation'!A:A)</f>
        <v/>
      </c>
      <c r="B260" s="95"/>
      <c r="C260" s="71" t="s">
        <v>12</v>
      </c>
      <c r="D260" s="88" t="str">
        <f t="array" ref="D260">XLOOKUP(C260,'Master Data'!C:C,'Master Data'!D:D)</f>
        <v/>
      </c>
      <c r="E260" s="71" t="str">
        <f t="array" ref="E260">XLOOKUP(C260,'TSR Initiation'!C:C,'TSR Initiation'!E:E)</f>
        <v/>
      </c>
      <c r="F260" s="88" t="str">
        <f t="array" ref="F260">XLOOKUP(C260,'Master Data'!C:C,'Master Data'!E:E)</f>
        <v/>
      </c>
      <c r="G260" s="89" t="str">
        <f t="array" ref="G260">XLOOKUP(C260,'Master Data'!C:C,'Master Data'!F:F)</f>
        <v/>
      </c>
      <c r="H260" s="89" t="str">
        <f t="array" ref="H260">XLOOKUP(C260,'Master Data'!C:C,'Master Data'!G:G)</f>
        <v/>
      </c>
      <c r="I260" s="90" t="str">
        <f t="array" ref="I260">XLOOKUP(C260,'Master Data'!C:C,'Master Data'!H:H)</f>
        <v/>
      </c>
      <c r="J260" s="91" t="s">
        <v>12</v>
      </c>
      <c r="K260" s="92"/>
      <c r="L260" s="92"/>
      <c r="M260" s="23"/>
      <c r="N260" s="23"/>
      <c r="O260" s="23"/>
    </row>
    <row r="261">
      <c r="A261" s="93" t="str">
        <f t="array" ref="A261">XLOOKUP(C261,'TSR Initiation'!C:C,'TSR Initiation'!A:A)</f>
        <v/>
      </c>
      <c r="B261" s="95"/>
      <c r="C261" s="71" t="s">
        <v>12</v>
      </c>
      <c r="D261" s="88" t="str">
        <f t="array" ref="D261">XLOOKUP(C261,'Master Data'!C:C,'Master Data'!D:D)</f>
        <v/>
      </c>
      <c r="E261" s="71" t="str">
        <f t="array" ref="E261">XLOOKUP(C261,'TSR Initiation'!C:C,'TSR Initiation'!E:E)</f>
        <v/>
      </c>
      <c r="F261" s="88" t="str">
        <f t="array" ref="F261">XLOOKUP(C261,'Master Data'!C:C,'Master Data'!E:E)</f>
        <v/>
      </c>
      <c r="G261" s="89" t="str">
        <f t="array" ref="G261">XLOOKUP(C261,'Master Data'!C:C,'Master Data'!F:F)</f>
        <v/>
      </c>
      <c r="H261" s="89" t="str">
        <f t="array" ref="H261">XLOOKUP(C261,'Master Data'!C:C,'Master Data'!G:G)</f>
        <v/>
      </c>
      <c r="I261" s="90" t="str">
        <f t="array" ref="I261">XLOOKUP(C261,'Master Data'!C:C,'Master Data'!H:H)</f>
        <v/>
      </c>
      <c r="J261" s="91" t="s">
        <v>12</v>
      </c>
      <c r="K261" s="92"/>
      <c r="L261" s="92"/>
      <c r="M261" s="23"/>
      <c r="N261" s="23"/>
      <c r="O261" s="23"/>
    </row>
    <row r="262">
      <c r="A262" s="93" t="str">
        <f t="array" ref="A262">XLOOKUP(C262,'TSR Initiation'!C:C,'TSR Initiation'!A:A)</f>
        <v/>
      </c>
      <c r="B262" s="95"/>
      <c r="C262" s="71" t="s">
        <v>12</v>
      </c>
      <c r="D262" s="88" t="str">
        <f t="array" ref="D262">XLOOKUP(C262,'Master Data'!C:C,'Master Data'!D:D)</f>
        <v/>
      </c>
      <c r="E262" s="71" t="str">
        <f t="array" ref="E262">XLOOKUP(C262,'TSR Initiation'!C:C,'TSR Initiation'!E:E)</f>
        <v/>
      </c>
      <c r="F262" s="88" t="str">
        <f t="array" ref="F262">XLOOKUP(C262,'Master Data'!C:C,'Master Data'!E:E)</f>
        <v/>
      </c>
      <c r="G262" s="89" t="str">
        <f t="array" ref="G262">XLOOKUP(C262,'Master Data'!C:C,'Master Data'!F:F)</f>
        <v/>
      </c>
      <c r="H262" s="89" t="str">
        <f t="array" ref="H262">XLOOKUP(C262,'Master Data'!C:C,'Master Data'!G:G)</f>
        <v/>
      </c>
      <c r="I262" s="90" t="str">
        <f t="array" ref="I262">XLOOKUP(C262,'Master Data'!C:C,'Master Data'!H:H)</f>
        <v/>
      </c>
      <c r="J262" s="91" t="s">
        <v>12</v>
      </c>
      <c r="K262" s="92"/>
      <c r="L262" s="92"/>
      <c r="M262" s="23"/>
      <c r="N262" s="23"/>
      <c r="O262" s="23"/>
    </row>
    <row r="263">
      <c r="A263" s="93" t="str">
        <f t="array" ref="A263">XLOOKUP(C263,'TSR Initiation'!C:C,'TSR Initiation'!A:A)</f>
        <v/>
      </c>
      <c r="B263" s="95"/>
      <c r="C263" s="71" t="s">
        <v>12</v>
      </c>
      <c r="D263" s="88" t="str">
        <f t="array" ref="D263">XLOOKUP(C263,'Master Data'!C:C,'Master Data'!D:D)</f>
        <v/>
      </c>
      <c r="E263" s="71" t="str">
        <f t="array" ref="E263">XLOOKUP(C263,'TSR Initiation'!C:C,'TSR Initiation'!E:E)</f>
        <v/>
      </c>
      <c r="F263" s="88" t="str">
        <f t="array" ref="F263">XLOOKUP(C263,'Master Data'!C:C,'Master Data'!E:E)</f>
        <v/>
      </c>
      <c r="G263" s="89" t="str">
        <f t="array" ref="G263">XLOOKUP(C263,'Master Data'!C:C,'Master Data'!F:F)</f>
        <v/>
      </c>
      <c r="H263" s="89" t="str">
        <f t="array" ref="H263">XLOOKUP(C263,'Master Data'!C:C,'Master Data'!G:G)</f>
        <v/>
      </c>
      <c r="I263" s="90" t="str">
        <f t="array" ref="I263">XLOOKUP(C263,'Master Data'!C:C,'Master Data'!H:H)</f>
        <v/>
      </c>
      <c r="J263" s="91" t="s">
        <v>12</v>
      </c>
      <c r="K263" s="92"/>
      <c r="L263" s="92"/>
      <c r="M263" s="23"/>
      <c r="N263" s="23"/>
      <c r="O263" s="23"/>
    </row>
    <row r="264">
      <c r="A264" s="93" t="str">
        <f t="array" ref="A264">XLOOKUP(C264,'TSR Initiation'!C:C,'TSR Initiation'!A:A)</f>
        <v/>
      </c>
      <c r="B264" s="95"/>
      <c r="C264" s="71" t="s">
        <v>12</v>
      </c>
      <c r="D264" s="88" t="str">
        <f t="array" ref="D264">XLOOKUP(C264,'Master Data'!C:C,'Master Data'!D:D)</f>
        <v/>
      </c>
      <c r="E264" s="71" t="str">
        <f t="array" ref="E264">XLOOKUP(C264,'TSR Initiation'!C:C,'TSR Initiation'!E:E)</f>
        <v/>
      </c>
      <c r="F264" s="88" t="str">
        <f t="array" ref="F264">XLOOKUP(C264,'Master Data'!C:C,'Master Data'!E:E)</f>
        <v/>
      </c>
      <c r="G264" s="89" t="str">
        <f t="array" ref="G264">XLOOKUP(C264,'Master Data'!C:C,'Master Data'!F:F)</f>
        <v/>
      </c>
      <c r="H264" s="89" t="str">
        <f t="array" ref="H264">XLOOKUP(C264,'Master Data'!C:C,'Master Data'!G:G)</f>
        <v/>
      </c>
      <c r="I264" s="90" t="str">
        <f t="array" ref="I264">XLOOKUP(C264,'Master Data'!C:C,'Master Data'!H:H)</f>
        <v/>
      </c>
      <c r="J264" s="91" t="s">
        <v>12</v>
      </c>
      <c r="K264" s="92"/>
      <c r="L264" s="92"/>
      <c r="M264" s="23"/>
      <c r="N264" s="23"/>
      <c r="O264" s="23"/>
    </row>
    <row r="265">
      <c r="A265" s="93" t="str">
        <f t="array" ref="A265">XLOOKUP(C265,'TSR Initiation'!C:C,'TSR Initiation'!A:A)</f>
        <v/>
      </c>
      <c r="B265" s="95"/>
      <c r="C265" s="71" t="s">
        <v>12</v>
      </c>
      <c r="D265" s="88" t="str">
        <f t="array" ref="D265">XLOOKUP(C265,'Master Data'!C:C,'Master Data'!D:D)</f>
        <v/>
      </c>
      <c r="E265" s="71" t="str">
        <f t="array" ref="E265">XLOOKUP(C265,'TSR Initiation'!C:C,'TSR Initiation'!E:E)</f>
        <v/>
      </c>
      <c r="F265" s="88" t="str">
        <f t="array" ref="F265">XLOOKUP(C265,'Master Data'!C:C,'Master Data'!E:E)</f>
        <v/>
      </c>
      <c r="G265" s="89" t="str">
        <f t="array" ref="G265">XLOOKUP(C265,'Master Data'!C:C,'Master Data'!F:F)</f>
        <v/>
      </c>
      <c r="H265" s="89" t="str">
        <f t="array" ref="H265">XLOOKUP(C265,'Master Data'!C:C,'Master Data'!G:G)</f>
        <v/>
      </c>
      <c r="I265" s="90" t="str">
        <f t="array" ref="I265">XLOOKUP(C265,'Master Data'!C:C,'Master Data'!H:H)</f>
        <v/>
      </c>
      <c r="J265" s="91" t="s">
        <v>12</v>
      </c>
      <c r="K265" s="92"/>
      <c r="L265" s="92"/>
      <c r="M265" s="23"/>
      <c r="N265" s="23"/>
      <c r="O265" s="23"/>
    </row>
    <row r="266">
      <c r="A266" s="93" t="str">
        <f t="array" ref="A266">XLOOKUP(C266,'TSR Initiation'!C:C,'TSR Initiation'!A:A)</f>
        <v/>
      </c>
      <c r="B266" s="95"/>
      <c r="C266" s="71" t="s">
        <v>12</v>
      </c>
      <c r="D266" s="88" t="str">
        <f t="array" ref="D266">XLOOKUP(C266,'Master Data'!C:C,'Master Data'!D:D)</f>
        <v/>
      </c>
      <c r="E266" s="71" t="str">
        <f t="array" ref="E266">XLOOKUP(C266,'TSR Initiation'!C:C,'TSR Initiation'!E:E)</f>
        <v/>
      </c>
      <c r="F266" s="88" t="str">
        <f t="array" ref="F266">XLOOKUP(C266,'Master Data'!C:C,'Master Data'!E:E)</f>
        <v/>
      </c>
      <c r="G266" s="89" t="str">
        <f t="array" ref="G266">XLOOKUP(C266,'Master Data'!C:C,'Master Data'!F:F)</f>
        <v/>
      </c>
      <c r="H266" s="89" t="str">
        <f t="array" ref="H266">XLOOKUP(C266,'Master Data'!C:C,'Master Data'!G:G)</f>
        <v/>
      </c>
      <c r="I266" s="90" t="str">
        <f t="array" ref="I266">XLOOKUP(C266,'Master Data'!C:C,'Master Data'!H:H)</f>
        <v/>
      </c>
      <c r="J266" s="91" t="s">
        <v>12</v>
      </c>
      <c r="K266" s="92"/>
      <c r="L266" s="92"/>
      <c r="M266" s="23"/>
      <c r="N266" s="23"/>
      <c r="O266" s="23"/>
    </row>
    <row r="267">
      <c r="A267" s="93" t="str">
        <f t="array" ref="A267">XLOOKUP(C267,'TSR Initiation'!C:C,'TSR Initiation'!A:A)</f>
        <v/>
      </c>
      <c r="B267" s="95"/>
      <c r="C267" s="71" t="s">
        <v>12</v>
      </c>
      <c r="D267" s="88" t="str">
        <f t="array" ref="D267">XLOOKUP(C267,'Master Data'!C:C,'Master Data'!D:D)</f>
        <v/>
      </c>
      <c r="E267" s="71" t="str">
        <f t="array" ref="E267">XLOOKUP(C267,'TSR Initiation'!C:C,'TSR Initiation'!E:E)</f>
        <v/>
      </c>
      <c r="F267" s="88" t="str">
        <f t="array" ref="F267">XLOOKUP(C267,'Master Data'!C:C,'Master Data'!E:E)</f>
        <v/>
      </c>
      <c r="G267" s="89" t="str">
        <f t="array" ref="G267">XLOOKUP(C267,'Master Data'!C:C,'Master Data'!F:F)</f>
        <v/>
      </c>
      <c r="H267" s="89" t="str">
        <f t="array" ref="H267">XLOOKUP(C267,'Master Data'!C:C,'Master Data'!G:G)</f>
        <v/>
      </c>
      <c r="I267" s="90" t="str">
        <f t="array" ref="I267">XLOOKUP(C267,'Master Data'!C:C,'Master Data'!H:H)</f>
        <v/>
      </c>
      <c r="J267" s="91" t="s">
        <v>12</v>
      </c>
      <c r="K267" s="92"/>
      <c r="L267" s="92"/>
      <c r="M267" s="23"/>
      <c r="N267" s="23"/>
      <c r="O267" s="23"/>
    </row>
    <row r="268">
      <c r="A268" s="93" t="str">
        <f t="array" ref="A268">XLOOKUP(C268,'TSR Initiation'!C:C,'TSR Initiation'!A:A)</f>
        <v/>
      </c>
      <c r="B268" s="95"/>
      <c r="C268" s="71" t="s">
        <v>12</v>
      </c>
      <c r="D268" s="88" t="str">
        <f t="array" ref="D268">XLOOKUP(C268,'Master Data'!C:C,'Master Data'!D:D)</f>
        <v/>
      </c>
      <c r="E268" s="71" t="str">
        <f t="array" ref="E268">XLOOKUP(C268,'TSR Initiation'!C:C,'TSR Initiation'!E:E)</f>
        <v/>
      </c>
      <c r="F268" s="88" t="str">
        <f t="array" ref="F268">XLOOKUP(C268,'Master Data'!C:C,'Master Data'!E:E)</f>
        <v/>
      </c>
      <c r="G268" s="89" t="str">
        <f t="array" ref="G268">XLOOKUP(C268,'Master Data'!C:C,'Master Data'!F:F)</f>
        <v/>
      </c>
      <c r="H268" s="89" t="str">
        <f t="array" ref="H268">XLOOKUP(C268,'Master Data'!C:C,'Master Data'!G:G)</f>
        <v/>
      </c>
      <c r="I268" s="90" t="str">
        <f t="array" ref="I268">XLOOKUP(C268,'Master Data'!C:C,'Master Data'!H:H)</f>
        <v/>
      </c>
      <c r="J268" s="91" t="s">
        <v>12</v>
      </c>
      <c r="K268" s="92"/>
      <c r="L268" s="92"/>
      <c r="M268" s="23"/>
      <c r="N268" s="23"/>
      <c r="O268" s="23"/>
    </row>
    <row r="269">
      <c r="A269" s="93" t="str">
        <f t="array" ref="A269">XLOOKUP(C269,'TSR Initiation'!C:C,'TSR Initiation'!A:A)</f>
        <v/>
      </c>
      <c r="B269" s="95"/>
      <c r="C269" s="71" t="s">
        <v>12</v>
      </c>
      <c r="D269" s="88" t="str">
        <f t="array" ref="D269">XLOOKUP(C269,'Master Data'!C:C,'Master Data'!D:D)</f>
        <v/>
      </c>
      <c r="E269" s="71" t="str">
        <f t="array" ref="E269">XLOOKUP(C269,'TSR Initiation'!C:C,'TSR Initiation'!E:E)</f>
        <v/>
      </c>
      <c r="F269" s="88" t="str">
        <f t="array" ref="F269">XLOOKUP(C269,'Master Data'!C:C,'Master Data'!E:E)</f>
        <v/>
      </c>
      <c r="G269" s="89" t="str">
        <f t="array" ref="G269">XLOOKUP(C269,'Master Data'!C:C,'Master Data'!F:F)</f>
        <v/>
      </c>
      <c r="H269" s="89" t="str">
        <f t="array" ref="H269">XLOOKUP(C269,'Master Data'!C:C,'Master Data'!G:G)</f>
        <v/>
      </c>
      <c r="I269" s="90" t="str">
        <f t="array" ref="I269">XLOOKUP(C269,'Master Data'!C:C,'Master Data'!H:H)</f>
        <v/>
      </c>
      <c r="J269" s="91" t="s">
        <v>12</v>
      </c>
      <c r="K269" s="92"/>
      <c r="L269" s="92"/>
      <c r="M269" s="23"/>
      <c r="N269" s="23"/>
      <c r="O269" s="23"/>
    </row>
    <row r="270">
      <c r="A270" s="93" t="str">
        <f t="array" ref="A270">XLOOKUP(C270,'TSR Initiation'!C:C,'TSR Initiation'!A:A)</f>
        <v/>
      </c>
      <c r="B270" s="95"/>
      <c r="C270" s="71" t="s">
        <v>12</v>
      </c>
      <c r="D270" s="88" t="str">
        <f t="array" ref="D270">XLOOKUP(C270,'Master Data'!C:C,'Master Data'!D:D)</f>
        <v/>
      </c>
      <c r="E270" s="71" t="str">
        <f t="array" ref="E270">XLOOKUP(C270,'TSR Initiation'!C:C,'TSR Initiation'!E:E)</f>
        <v/>
      </c>
      <c r="F270" s="88" t="str">
        <f t="array" ref="F270">XLOOKUP(C270,'Master Data'!C:C,'Master Data'!E:E)</f>
        <v/>
      </c>
      <c r="G270" s="89" t="str">
        <f t="array" ref="G270">XLOOKUP(C270,'Master Data'!C:C,'Master Data'!F:F)</f>
        <v/>
      </c>
      <c r="H270" s="89" t="str">
        <f t="array" ref="H270">XLOOKUP(C270,'Master Data'!C:C,'Master Data'!G:G)</f>
        <v/>
      </c>
      <c r="I270" s="90" t="str">
        <f t="array" ref="I270">XLOOKUP(C270,'Master Data'!C:C,'Master Data'!H:H)</f>
        <v/>
      </c>
      <c r="J270" s="91" t="s">
        <v>12</v>
      </c>
      <c r="K270" s="92"/>
      <c r="L270" s="92"/>
      <c r="M270" s="23"/>
      <c r="N270" s="23"/>
      <c r="O270" s="23"/>
    </row>
    <row r="271">
      <c r="A271" s="93" t="str">
        <f t="array" ref="A271">XLOOKUP(C271,'TSR Initiation'!C:C,'TSR Initiation'!A:A)</f>
        <v/>
      </c>
      <c r="B271" s="95"/>
      <c r="C271" s="71" t="s">
        <v>12</v>
      </c>
      <c r="D271" s="88" t="str">
        <f t="array" ref="D271">XLOOKUP(C271,'Master Data'!C:C,'Master Data'!D:D)</f>
        <v/>
      </c>
      <c r="E271" s="71" t="str">
        <f t="array" ref="E271">XLOOKUP(C271,'TSR Initiation'!C:C,'TSR Initiation'!E:E)</f>
        <v/>
      </c>
      <c r="F271" s="88" t="str">
        <f t="array" ref="F271">XLOOKUP(C271,'Master Data'!C:C,'Master Data'!E:E)</f>
        <v/>
      </c>
      <c r="G271" s="89" t="str">
        <f t="array" ref="G271">XLOOKUP(C271,'Master Data'!C:C,'Master Data'!F:F)</f>
        <v/>
      </c>
      <c r="H271" s="89" t="str">
        <f t="array" ref="H271">XLOOKUP(C271,'Master Data'!C:C,'Master Data'!G:G)</f>
        <v/>
      </c>
      <c r="I271" s="90" t="str">
        <f t="array" ref="I271">XLOOKUP(C271,'Master Data'!C:C,'Master Data'!H:H)</f>
        <v/>
      </c>
      <c r="J271" s="91" t="s">
        <v>12</v>
      </c>
      <c r="K271" s="92"/>
      <c r="L271" s="92"/>
      <c r="M271" s="23"/>
      <c r="N271" s="23"/>
      <c r="O271" s="23"/>
    </row>
    <row r="272">
      <c r="A272" s="93" t="str">
        <f t="array" ref="A272">XLOOKUP(C272,'TSR Initiation'!C:C,'TSR Initiation'!A:A)</f>
        <v/>
      </c>
      <c r="B272" s="95"/>
      <c r="C272" s="71" t="s">
        <v>12</v>
      </c>
      <c r="D272" s="88" t="str">
        <f t="array" ref="D272">XLOOKUP(C272,'Master Data'!C:C,'Master Data'!D:D)</f>
        <v/>
      </c>
      <c r="E272" s="71" t="str">
        <f t="array" ref="E272">XLOOKUP(C272,'TSR Initiation'!C:C,'TSR Initiation'!E:E)</f>
        <v/>
      </c>
      <c r="F272" s="88" t="str">
        <f t="array" ref="F272">XLOOKUP(C272,'Master Data'!C:C,'Master Data'!E:E)</f>
        <v/>
      </c>
      <c r="G272" s="89" t="str">
        <f t="array" ref="G272">XLOOKUP(C272,'Master Data'!C:C,'Master Data'!F:F)</f>
        <v/>
      </c>
      <c r="H272" s="89" t="str">
        <f t="array" ref="H272">XLOOKUP(C272,'Master Data'!C:C,'Master Data'!G:G)</f>
        <v/>
      </c>
      <c r="I272" s="90" t="str">
        <f t="array" ref="I272">XLOOKUP(C272,'Master Data'!C:C,'Master Data'!H:H)</f>
        <v/>
      </c>
      <c r="J272" s="91" t="s">
        <v>12</v>
      </c>
      <c r="K272" s="92"/>
      <c r="L272" s="92"/>
      <c r="M272" s="23"/>
      <c r="N272" s="23"/>
      <c r="O272" s="23"/>
    </row>
    <row r="273">
      <c r="A273" s="93" t="str">
        <f t="array" ref="A273">XLOOKUP(C273,'TSR Initiation'!C:C,'TSR Initiation'!A:A)</f>
        <v/>
      </c>
      <c r="B273" s="95"/>
      <c r="C273" s="71" t="s">
        <v>12</v>
      </c>
      <c r="D273" s="88" t="str">
        <f t="array" ref="D273">XLOOKUP(C273,'Master Data'!C:C,'Master Data'!D:D)</f>
        <v/>
      </c>
      <c r="E273" s="71" t="str">
        <f t="array" ref="E273">XLOOKUP(C273,'TSR Initiation'!C:C,'TSR Initiation'!E:E)</f>
        <v/>
      </c>
      <c r="F273" s="88" t="str">
        <f t="array" ref="F273">XLOOKUP(C273,'Master Data'!C:C,'Master Data'!E:E)</f>
        <v/>
      </c>
      <c r="G273" s="89" t="str">
        <f t="array" ref="G273">XLOOKUP(C273,'Master Data'!C:C,'Master Data'!F:F)</f>
        <v/>
      </c>
      <c r="H273" s="89" t="str">
        <f t="array" ref="H273">XLOOKUP(C273,'Master Data'!C:C,'Master Data'!G:G)</f>
        <v/>
      </c>
      <c r="I273" s="90" t="str">
        <f t="array" ref="I273">XLOOKUP(C273,'Master Data'!C:C,'Master Data'!H:H)</f>
        <v/>
      </c>
      <c r="J273" s="91" t="s">
        <v>12</v>
      </c>
      <c r="K273" s="92"/>
      <c r="L273" s="92"/>
      <c r="M273" s="23"/>
      <c r="N273" s="23"/>
      <c r="O273" s="23"/>
    </row>
    <row r="274">
      <c r="A274" s="93" t="str">
        <f t="array" ref="A274">XLOOKUP(C274,'TSR Initiation'!C:C,'TSR Initiation'!A:A)</f>
        <v/>
      </c>
      <c r="B274" s="95"/>
      <c r="C274" s="71" t="s">
        <v>12</v>
      </c>
      <c r="D274" s="88" t="str">
        <f t="array" ref="D274">XLOOKUP(C274,'Master Data'!C:C,'Master Data'!D:D)</f>
        <v/>
      </c>
      <c r="E274" s="71" t="str">
        <f t="array" ref="E274">XLOOKUP(C274,'TSR Initiation'!C:C,'TSR Initiation'!E:E)</f>
        <v/>
      </c>
      <c r="F274" s="88" t="str">
        <f t="array" ref="F274">XLOOKUP(C274,'Master Data'!C:C,'Master Data'!E:E)</f>
        <v/>
      </c>
      <c r="G274" s="89" t="str">
        <f t="array" ref="G274">XLOOKUP(C274,'Master Data'!C:C,'Master Data'!F:F)</f>
        <v/>
      </c>
      <c r="H274" s="89" t="str">
        <f t="array" ref="H274">XLOOKUP(C274,'Master Data'!C:C,'Master Data'!G:G)</f>
        <v/>
      </c>
      <c r="I274" s="90" t="str">
        <f t="array" ref="I274">XLOOKUP(C274,'Master Data'!C:C,'Master Data'!H:H)</f>
        <v/>
      </c>
      <c r="J274" s="91" t="s">
        <v>12</v>
      </c>
      <c r="K274" s="92"/>
      <c r="L274" s="92"/>
      <c r="M274" s="23"/>
      <c r="N274" s="23"/>
      <c r="O274" s="23"/>
    </row>
    <row r="275">
      <c r="A275" s="93" t="str">
        <f t="array" ref="A275">XLOOKUP(C275,'TSR Initiation'!C:C,'TSR Initiation'!A:A)</f>
        <v/>
      </c>
      <c r="B275" s="95"/>
      <c r="C275" s="71" t="s">
        <v>12</v>
      </c>
      <c r="D275" s="88" t="str">
        <f t="array" ref="D275">XLOOKUP(C275,'Master Data'!C:C,'Master Data'!D:D)</f>
        <v/>
      </c>
      <c r="E275" s="71" t="str">
        <f t="array" ref="E275">XLOOKUP(C275,'TSR Initiation'!C:C,'TSR Initiation'!E:E)</f>
        <v/>
      </c>
      <c r="F275" s="88" t="str">
        <f t="array" ref="F275">XLOOKUP(C275,'Master Data'!C:C,'Master Data'!E:E)</f>
        <v/>
      </c>
      <c r="G275" s="89" t="str">
        <f t="array" ref="G275">XLOOKUP(C275,'Master Data'!C:C,'Master Data'!F:F)</f>
        <v/>
      </c>
      <c r="H275" s="89" t="str">
        <f t="array" ref="H275">XLOOKUP(C275,'Master Data'!C:C,'Master Data'!G:G)</f>
        <v/>
      </c>
      <c r="I275" s="90" t="str">
        <f t="array" ref="I275">XLOOKUP(C275,'Master Data'!C:C,'Master Data'!H:H)</f>
        <v/>
      </c>
      <c r="J275" s="91" t="s">
        <v>12</v>
      </c>
      <c r="K275" s="92"/>
      <c r="L275" s="92"/>
      <c r="M275" s="23"/>
      <c r="N275" s="23"/>
      <c r="O275" s="23"/>
    </row>
    <row r="276">
      <c r="A276" s="93" t="str">
        <f t="array" ref="A276">XLOOKUP(C276,'TSR Initiation'!C:C,'TSR Initiation'!A:A)</f>
        <v/>
      </c>
      <c r="B276" s="95"/>
      <c r="C276" s="71" t="s">
        <v>12</v>
      </c>
      <c r="D276" s="88" t="str">
        <f t="array" ref="D276">XLOOKUP(C276,'Master Data'!C:C,'Master Data'!D:D)</f>
        <v/>
      </c>
      <c r="E276" s="71" t="str">
        <f t="array" ref="E276">XLOOKUP(C276,'TSR Initiation'!C:C,'TSR Initiation'!E:E)</f>
        <v/>
      </c>
      <c r="F276" s="88" t="str">
        <f t="array" ref="F276">XLOOKUP(C276,'Master Data'!C:C,'Master Data'!E:E)</f>
        <v/>
      </c>
      <c r="G276" s="89" t="str">
        <f t="array" ref="G276">XLOOKUP(C276,'Master Data'!C:C,'Master Data'!F:F)</f>
        <v/>
      </c>
      <c r="H276" s="89" t="str">
        <f t="array" ref="H276">XLOOKUP(C276,'Master Data'!C:C,'Master Data'!G:G)</f>
        <v/>
      </c>
      <c r="I276" s="90" t="str">
        <f t="array" ref="I276">XLOOKUP(C276,'Master Data'!C:C,'Master Data'!H:H)</f>
        <v/>
      </c>
      <c r="J276" s="91" t="s">
        <v>12</v>
      </c>
      <c r="K276" s="92"/>
      <c r="L276" s="92"/>
      <c r="M276" s="23"/>
      <c r="N276" s="23"/>
      <c r="O276" s="23"/>
    </row>
    <row r="277">
      <c r="A277" s="93" t="str">
        <f t="array" ref="A277">XLOOKUP(C277,'TSR Initiation'!C:C,'TSR Initiation'!A:A)</f>
        <v/>
      </c>
      <c r="B277" s="95"/>
      <c r="C277" s="71" t="s">
        <v>12</v>
      </c>
      <c r="D277" s="88" t="str">
        <f t="array" ref="D277">XLOOKUP(C277,'Master Data'!C:C,'Master Data'!D:D)</f>
        <v/>
      </c>
      <c r="E277" s="71" t="str">
        <f t="array" ref="E277">XLOOKUP(C277,'TSR Initiation'!C:C,'TSR Initiation'!E:E)</f>
        <v/>
      </c>
      <c r="F277" s="88" t="str">
        <f t="array" ref="F277">XLOOKUP(C277,'Master Data'!C:C,'Master Data'!E:E)</f>
        <v/>
      </c>
      <c r="G277" s="89" t="str">
        <f t="array" ref="G277">XLOOKUP(C277,'Master Data'!C:C,'Master Data'!F:F)</f>
        <v/>
      </c>
      <c r="H277" s="89" t="str">
        <f t="array" ref="H277">XLOOKUP(C277,'Master Data'!C:C,'Master Data'!G:G)</f>
        <v/>
      </c>
      <c r="I277" s="90" t="str">
        <f t="array" ref="I277">XLOOKUP(C277,'Master Data'!C:C,'Master Data'!H:H)</f>
        <v/>
      </c>
      <c r="J277" s="91" t="s">
        <v>12</v>
      </c>
      <c r="K277" s="92"/>
      <c r="L277" s="92"/>
      <c r="M277" s="23"/>
      <c r="N277" s="23"/>
      <c r="O277" s="23"/>
    </row>
    <row r="278">
      <c r="A278" s="93" t="str">
        <f t="array" ref="A278">XLOOKUP(C278,'TSR Initiation'!C:C,'TSR Initiation'!A:A)</f>
        <v/>
      </c>
      <c r="B278" s="95"/>
      <c r="C278" s="71" t="s">
        <v>12</v>
      </c>
      <c r="D278" s="88" t="str">
        <f t="array" ref="D278">XLOOKUP(C278,'Master Data'!C:C,'Master Data'!D:D)</f>
        <v/>
      </c>
      <c r="E278" s="71" t="str">
        <f t="array" ref="E278">XLOOKUP(C278,'TSR Initiation'!C:C,'TSR Initiation'!E:E)</f>
        <v/>
      </c>
      <c r="F278" s="88" t="str">
        <f t="array" ref="F278">XLOOKUP(C278,'Master Data'!C:C,'Master Data'!E:E)</f>
        <v/>
      </c>
      <c r="G278" s="89" t="str">
        <f t="array" ref="G278">XLOOKUP(C278,'Master Data'!C:C,'Master Data'!F:F)</f>
        <v/>
      </c>
      <c r="H278" s="89" t="str">
        <f t="array" ref="H278">XLOOKUP(C278,'Master Data'!C:C,'Master Data'!G:G)</f>
        <v/>
      </c>
      <c r="I278" s="90" t="str">
        <f t="array" ref="I278">XLOOKUP(C278,'Master Data'!C:C,'Master Data'!H:H)</f>
        <v/>
      </c>
      <c r="J278" s="91" t="s">
        <v>12</v>
      </c>
      <c r="K278" s="92"/>
      <c r="L278" s="92"/>
      <c r="M278" s="23"/>
      <c r="N278" s="23"/>
      <c r="O278" s="23"/>
    </row>
    <row r="279">
      <c r="A279" s="93" t="str">
        <f t="array" ref="A279">XLOOKUP(C279,'TSR Initiation'!C:C,'TSR Initiation'!A:A)</f>
        <v/>
      </c>
      <c r="B279" s="95"/>
      <c r="C279" s="71" t="s">
        <v>12</v>
      </c>
      <c r="D279" s="88" t="str">
        <f t="array" ref="D279">XLOOKUP(C279,'Master Data'!C:C,'Master Data'!D:D)</f>
        <v/>
      </c>
      <c r="E279" s="71" t="str">
        <f t="array" ref="E279">XLOOKUP(C279,'TSR Initiation'!C:C,'TSR Initiation'!E:E)</f>
        <v/>
      </c>
      <c r="F279" s="88" t="str">
        <f t="array" ref="F279">XLOOKUP(C279,'Master Data'!C:C,'Master Data'!E:E)</f>
        <v/>
      </c>
      <c r="G279" s="89" t="str">
        <f t="array" ref="G279">XLOOKUP(C279,'Master Data'!C:C,'Master Data'!F:F)</f>
        <v/>
      </c>
      <c r="H279" s="89" t="str">
        <f t="array" ref="H279">XLOOKUP(C279,'Master Data'!C:C,'Master Data'!G:G)</f>
        <v/>
      </c>
      <c r="I279" s="90" t="str">
        <f t="array" ref="I279">XLOOKUP(C279,'Master Data'!C:C,'Master Data'!H:H)</f>
        <v/>
      </c>
      <c r="J279" s="91" t="s">
        <v>12</v>
      </c>
      <c r="K279" s="92"/>
      <c r="L279" s="92"/>
      <c r="M279" s="23"/>
      <c r="N279" s="23"/>
      <c r="O279" s="23"/>
    </row>
    <row r="280">
      <c r="A280" s="93" t="str">
        <f t="array" ref="A280">XLOOKUP(C280,'TSR Initiation'!C:C,'TSR Initiation'!A:A)</f>
        <v/>
      </c>
      <c r="B280" s="95"/>
      <c r="C280" s="71" t="s">
        <v>12</v>
      </c>
      <c r="D280" s="88" t="str">
        <f t="array" ref="D280">XLOOKUP(C280,'Master Data'!C:C,'Master Data'!D:D)</f>
        <v/>
      </c>
      <c r="E280" s="71" t="str">
        <f t="array" ref="E280">XLOOKUP(C280,'TSR Initiation'!C:C,'TSR Initiation'!E:E)</f>
        <v/>
      </c>
      <c r="F280" s="88" t="str">
        <f t="array" ref="F280">XLOOKUP(C280,'Master Data'!C:C,'Master Data'!E:E)</f>
        <v/>
      </c>
      <c r="G280" s="89" t="str">
        <f t="array" ref="G280">XLOOKUP(C280,'Master Data'!C:C,'Master Data'!F:F)</f>
        <v/>
      </c>
      <c r="H280" s="89" t="str">
        <f t="array" ref="H280">XLOOKUP(C280,'Master Data'!C:C,'Master Data'!G:G)</f>
        <v/>
      </c>
      <c r="I280" s="90" t="str">
        <f t="array" ref="I280">XLOOKUP(C280,'Master Data'!C:C,'Master Data'!H:H)</f>
        <v/>
      </c>
      <c r="J280" s="91" t="s">
        <v>12</v>
      </c>
      <c r="K280" s="92"/>
      <c r="L280" s="92"/>
      <c r="M280" s="23"/>
      <c r="N280" s="23"/>
      <c r="O280" s="23"/>
    </row>
    <row r="281">
      <c r="A281" s="93" t="str">
        <f t="array" ref="A281">XLOOKUP(C281,'TSR Initiation'!C:C,'TSR Initiation'!A:A)</f>
        <v/>
      </c>
      <c r="B281" s="95"/>
      <c r="C281" s="71" t="s">
        <v>12</v>
      </c>
      <c r="D281" s="88" t="str">
        <f t="array" ref="D281">XLOOKUP(C281,'Master Data'!C:C,'Master Data'!D:D)</f>
        <v/>
      </c>
      <c r="E281" s="71" t="str">
        <f t="array" ref="E281">XLOOKUP(C281,'TSR Initiation'!C:C,'TSR Initiation'!E:E)</f>
        <v/>
      </c>
      <c r="F281" s="88" t="str">
        <f t="array" ref="F281">XLOOKUP(C281,'Master Data'!C:C,'Master Data'!E:E)</f>
        <v/>
      </c>
      <c r="G281" s="89" t="str">
        <f t="array" ref="G281">XLOOKUP(C281,'Master Data'!C:C,'Master Data'!F:F)</f>
        <v/>
      </c>
      <c r="H281" s="89" t="str">
        <f t="array" ref="H281">XLOOKUP(C281,'Master Data'!C:C,'Master Data'!G:G)</f>
        <v/>
      </c>
      <c r="I281" s="90" t="str">
        <f t="array" ref="I281">XLOOKUP(C281,'Master Data'!C:C,'Master Data'!H:H)</f>
        <v/>
      </c>
      <c r="J281" s="91" t="s">
        <v>12</v>
      </c>
      <c r="K281" s="92"/>
      <c r="L281" s="92"/>
      <c r="M281" s="23"/>
      <c r="N281" s="23"/>
      <c r="O281" s="23"/>
    </row>
    <row r="282">
      <c r="A282" s="93" t="str">
        <f t="array" ref="A282">XLOOKUP(C282,'TSR Initiation'!C:C,'TSR Initiation'!A:A)</f>
        <v/>
      </c>
      <c r="B282" s="95"/>
      <c r="C282" s="71" t="s">
        <v>12</v>
      </c>
      <c r="D282" s="88" t="str">
        <f t="array" ref="D282">XLOOKUP(C282,'Master Data'!C:C,'Master Data'!D:D)</f>
        <v/>
      </c>
      <c r="E282" s="71" t="str">
        <f t="array" ref="E282">XLOOKUP(C282,'TSR Initiation'!C:C,'TSR Initiation'!E:E)</f>
        <v/>
      </c>
      <c r="F282" s="88" t="str">
        <f t="array" ref="F282">XLOOKUP(C282,'Master Data'!C:C,'Master Data'!E:E)</f>
        <v/>
      </c>
      <c r="G282" s="89" t="str">
        <f t="array" ref="G282">XLOOKUP(C282,'Master Data'!C:C,'Master Data'!F:F)</f>
        <v/>
      </c>
      <c r="H282" s="89" t="str">
        <f t="array" ref="H282">XLOOKUP(C282,'Master Data'!C:C,'Master Data'!G:G)</f>
        <v/>
      </c>
      <c r="I282" s="90" t="str">
        <f t="array" ref="I282">XLOOKUP(C282,'Master Data'!C:C,'Master Data'!H:H)</f>
        <v/>
      </c>
      <c r="J282" s="91" t="s">
        <v>12</v>
      </c>
      <c r="K282" s="92"/>
      <c r="L282" s="92"/>
      <c r="M282" s="23"/>
      <c r="N282" s="23"/>
      <c r="O282" s="23"/>
    </row>
    <row r="283">
      <c r="A283" s="93" t="str">
        <f t="array" ref="A283">XLOOKUP(C283,'TSR Initiation'!C:C,'TSR Initiation'!A:A)</f>
        <v/>
      </c>
      <c r="B283" s="95"/>
      <c r="C283" s="71" t="s">
        <v>12</v>
      </c>
      <c r="D283" s="88" t="str">
        <f t="array" ref="D283">XLOOKUP(C283,'Master Data'!C:C,'Master Data'!D:D)</f>
        <v/>
      </c>
      <c r="E283" s="71" t="str">
        <f t="array" ref="E283">XLOOKUP(C283,'TSR Initiation'!C:C,'TSR Initiation'!E:E)</f>
        <v/>
      </c>
      <c r="F283" s="88" t="str">
        <f t="array" ref="F283">XLOOKUP(C283,'Master Data'!C:C,'Master Data'!E:E)</f>
        <v/>
      </c>
      <c r="G283" s="89" t="str">
        <f t="array" ref="G283">XLOOKUP(C283,'Master Data'!C:C,'Master Data'!F:F)</f>
        <v/>
      </c>
      <c r="H283" s="89" t="str">
        <f t="array" ref="H283">XLOOKUP(C283,'Master Data'!C:C,'Master Data'!G:G)</f>
        <v/>
      </c>
      <c r="I283" s="90" t="str">
        <f t="array" ref="I283">XLOOKUP(C283,'Master Data'!C:C,'Master Data'!H:H)</f>
        <v/>
      </c>
      <c r="J283" s="91" t="s">
        <v>12</v>
      </c>
      <c r="K283" s="92"/>
      <c r="L283" s="92"/>
      <c r="M283" s="23"/>
      <c r="N283" s="23"/>
      <c r="O283" s="23"/>
    </row>
    <row r="284">
      <c r="A284" s="93" t="str">
        <f t="array" ref="A284">XLOOKUP(C284,'TSR Initiation'!C:C,'TSR Initiation'!A:A)</f>
        <v/>
      </c>
      <c r="B284" s="95"/>
      <c r="C284" s="71" t="s">
        <v>12</v>
      </c>
      <c r="D284" s="88" t="str">
        <f t="array" ref="D284">XLOOKUP(C284,'Master Data'!C:C,'Master Data'!D:D)</f>
        <v/>
      </c>
      <c r="E284" s="71" t="str">
        <f t="array" ref="E284">XLOOKUP(C284,'TSR Initiation'!C:C,'TSR Initiation'!E:E)</f>
        <v/>
      </c>
      <c r="F284" s="88" t="str">
        <f t="array" ref="F284">XLOOKUP(C284,'Master Data'!C:C,'Master Data'!E:E)</f>
        <v/>
      </c>
      <c r="G284" s="89" t="str">
        <f t="array" ref="G284">XLOOKUP(C284,'Master Data'!C:C,'Master Data'!F:F)</f>
        <v/>
      </c>
      <c r="H284" s="89" t="str">
        <f t="array" ref="H284">XLOOKUP(C284,'Master Data'!C:C,'Master Data'!G:G)</f>
        <v/>
      </c>
      <c r="I284" s="90" t="str">
        <f t="array" ref="I284">XLOOKUP(C284,'Master Data'!C:C,'Master Data'!H:H)</f>
        <v/>
      </c>
      <c r="J284" s="91" t="s">
        <v>12</v>
      </c>
      <c r="K284" s="92"/>
      <c r="L284" s="92"/>
      <c r="M284" s="23"/>
      <c r="N284" s="23"/>
      <c r="O284" s="23"/>
    </row>
    <row r="285">
      <c r="A285" s="93" t="str">
        <f t="array" ref="A285">XLOOKUP(C285,'TSR Initiation'!C:C,'TSR Initiation'!A:A)</f>
        <v/>
      </c>
      <c r="B285" s="95"/>
      <c r="C285" s="71" t="s">
        <v>12</v>
      </c>
      <c r="D285" s="88" t="str">
        <f t="array" ref="D285">XLOOKUP(C285,'Master Data'!C:C,'Master Data'!D:D)</f>
        <v/>
      </c>
      <c r="E285" s="71" t="str">
        <f t="array" ref="E285">XLOOKUP(C285,'TSR Initiation'!C:C,'TSR Initiation'!E:E)</f>
        <v/>
      </c>
      <c r="F285" s="88" t="str">
        <f t="array" ref="F285">XLOOKUP(C285,'Master Data'!C:C,'Master Data'!E:E)</f>
        <v/>
      </c>
      <c r="G285" s="89" t="str">
        <f t="array" ref="G285">XLOOKUP(C285,'Master Data'!C:C,'Master Data'!F:F)</f>
        <v/>
      </c>
      <c r="H285" s="89" t="str">
        <f t="array" ref="H285">XLOOKUP(C285,'Master Data'!C:C,'Master Data'!G:G)</f>
        <v/>
      </c>
      <c r="I285" s="90" t="str">
        <f t="array" ref="I285">XLOOKUP(C285,'Master Data'!C:C,'Master Data'!H:H)</f>
        <v/>
      </c>
      <c r="J285" s="91" t="s">
        <v>12</v>
      </c>
      <c r="K285" s="92"/>
      <c r="L285" s="92"/>
      <c r="M285" s="23"/>
      <c r="N285" s="23"/>
      <c r="O285" s="23"/>
    </row>
    <row r="286">
      <c r="A286" s="93" t="str">
        <f t="array" ref="A286">XLOOKUP(C286,'TSR Initiation'!C:C,'TSR Initiation'!A:A)</f>
        <v/>
      </c>
      <c r="B286" s="95"/>
      <c r="C286" s="71" t="s">
        <v>12</v>
      </c>
      <c r="D286" s="88" t="str">
        <f t="array" ref="D286">XLOOKUP(C286,'Master Data'!C:C,'Master Data'!D:D)</f>
        <v/>
      </c>
      <c r="E286" s="71" t="str">
        <f t="array" ref="E286">XLOOKUP(C286,'TSR Initiation'!C:C,'TSR Initiation'!E:E)</f>
        <v/>
      </c>
      <c r="F286" s="88" t="str">
        <f t="array" ref="F286">XLOOKUP(C286,'Master Data'!C:C,'Master Data'!E:E)</f>
        <v/>
      </c>
      <c r="G286" s="89" t="str">
        <f t="array" ref="G286">XLOOKUP(C286,'Master Data'!C:C,'Master Data'!F:F)</f>
        <v/>
      </c>
      <c r="H286" s="89" t="str">
        <f t="array" ref="H286">XLOOKUP(C286,'Master Data'!C:C,'Master Data'!G:G)</f>
        <v/>
      </c>
      <c r="I286" s="90" t="str">
        <f t="array" ref="I286">XLOOKUP(C286,'Master Data'!C:C,'Master Data'!H:H)</f>
        <v/>
      </c>
      <c r="J286" s="91" t="s">
        <v>12</v>
      </c>
      <c r="K286" s="92"/>
      <c r="L286" s="92"/>
      <c r="M286" s="23"/>
      <c r="N286" s="23"/>
      <c r="O286" s="23"/>
    </row>
    <row r="287">
      <c r="A287" s="93" t="str">
        <f t="array" ref="A287">XLOOKUP(C287,'TSR Initiation'!C:C,'TSR Initiation'!A:A)</f>
        <v/>
      </c>
      <c r="B287" s="95"/>
      <c r="C287" s="71" t="s">
        <v>12</v>
      </c>
      <c r="D287" s="88" t="str">
        <f t="array" ref="D287">XLOOKUP(C287,'Master Data'!C:C,'Master Data'!D:D)</f>
        <v/>
      </c>
      <c r="E287" s="71" t="str">
        <f t="array" ref="E287">XLOOKUP(C287,'TSR Initiation'!C:C,'TSR Initiation'!E:E)</f>
        <v/>
      </c>
      <c r="F287" s="88" t="str">
        <f t="array" ref="F287">XLOOKUP(C287,'Master Data'!C:C,'Master Data'!E:E)</f>
        <v/>
      </c>
      <c r="G287" s="89" t="str">
        <f t="array" ref="G287">XLOOKUP(C287,'Master Data'!C:C,'Master Data'!F:F)</f>
        <v/>
      </c>
      <c r="H287" s="89" t="str">
        <f t="array" ref="H287">XLOOKUP(C287,'Master Data'!C:C,'Master Data'!G:G)</f>
        <v/>
      </c>
      <c r="I287" s="90" t="str">
        <f t="array" ref="I287">XLOOKUP(C287,'Master Data'!C:C,'Master Data'!H:H)</f>
        <v/>
      </c>
      <c r="J287" s="91" t="s">
        <v>12</v>
      </c>
      <c r="K287" s="92"/>
      <c r="L287" s="92"/>
      <c r="M287" s="23"/>
      <c r="N287" s="23"/>
      <c r="O287" s="23"/>
    </row>
    <row r="288">
      <c r="A288" s="93" t="str">
        <f t="array" ref="A288">XLOOKUP(C288,'TSR Initiation'!C:C,'TSR Initiation'!A:A)</f>
        <v/>
      </c>
      <c r="B288" s="95"/>
      <c r="C288" s="71" t="s">
        <v>12</v>
      </c>
      <c r="D288" s="88" t="str">
        <f t="array" ref="D288">XLOOKUP(C288,'Master Data'!C:C,'Master Data'!D:D)</f>
        <v/>
      </c>
      <c r="E288" s="71" t="str">
        <f t="array" ref="E288">XLOOKUP(C288,'TSR Initiation'!C:C,'TSR Initiation'!E:E)</f>
        <v/>
      </c>
      <c r="F288" s="88" t="str">
        <f t="array" ref="F288">XLOOKUP(C288,'Master Data'!C:C,'Master Data'!E:E)</f>
        <v/>
      </c>
      <c r="G288" s="89" t="str">
        <f t="array" ref="G288">XLOOKUP(C288,'Master Data'!C:C,'Master Data'!F:F)</f>
        <v/>
      </c>
      <c r="H288" s="89" t="str">
        <f t="array" ref="H288">XLOOKUP(C288,'Master Data'!C:C,'Master Data'!G:G)</f>
        <v/>
      </c>
      <c r="I288" s="90" t="str">
        <f t="array" ref="I288">XLOOKUP(C288,'Master Data'!C:C,'Master Data'!H:H)</f>
        <v/>
      </c>
      <c r="J288" s="91" t="s">
        <v>12</v>
      </c>
      <c r="K288" s="92"/>
      <c r="L288" s="92"/>
      <c r="M288" s="23"/>
      <c r="N288" s="23"/>
      <c r="O288" s="23"/>
    </row>
    <row r="289">
      <c r="A289" s="93" t="str">
        <f t="array" ref="A289">XLOOKUP(C289,'TSR Initiation'!C:C,'TSR Initiation'!A:A)</f>
        <v/>
      </c>
      <c r="B289" s="95"/>
      <c r="C289" s="71" t="s">
        <v>12</v>
      </c>
      <c r="D289" s="88" t="str">
        <f t="array" ref="D289">XLOOKUP(C289,'Master Data'!C:C,'Master Data'!D:D)</f>
        <v/>
      </c>
      <c r="E289" s="71" t="str">
        <f t="array" ref="E289">XLOOKUP(C289,'TSR Initiation'!C:C,'TSR Initiation'!E:E)</f>
        <v/>
      </c>
      <c r="F289" s="88" t="str">
        <f t="array" ref="F289">XLOOKUP(C289,'Master Data'!C:C,'Master Data'!E:E)</f>
        <v/>
      </c>
      <c r="G289" s="89" t="str">
        <f t="array" ref="G289">XLOOKUP(C289,'Master Data'!C:C,'Master Data'!F:F)</f>
        <v/>
      </c>
      <c r="H289" s="89" t="str">
        <f t="array" ref="H289">XLOOKUP(C289,'Master Data'!C:C,'Master Data'!G:G)</f>
        <v/>
      </c>
      <c r="I289" s="90" t="str">
        <f t="array" ref="I289">XLOOKUP(C289,'Master Data'!C:C,'Master Data'!H:H)</f>
        <v/>
      </c>
      <c r="J289" s="91" t="s">
        <v>12</v>
      </c>
      <c r="K289" s="92"/>
      <c r="L289" s="92"/>
      <c r="M289" s="23"/>
      <c r="N289" s="23"/>
      <c r="O289" s="23"/>
    </row>
    <row r="290">
      <c r="A290" s="93" t="str">
        <f t="array" ref="A290">XLOOKUP(C290,'TSR Initiation'!C:C,'TSR Initiation'!A:A)</f>
        <v/>
      </c>
      <c r="B290" s="95"/>
      <c r="C290" s="71" t="s">
        <v>12</v>
      </c>
      <c r="D290" s="88" t="str">
        <f t="array" ref="D290">XLOOKUP(C290,'Master Data'!C:C,'Master Data'!D:D)</f>
        <v/>
      </c>
      <c r="E290" s="71" t="str">
        <f t="array" ref="E290">XLOOKUP(C290,'TSR Initiation'!C:C,'TSR Initiation'!E:E)</f>
        <v/>
      </c>
      <c r="F290" s="88" t="str">
        <f t="array" ref="F290">XLOOKUP(C290,'Master Data'!C:C,'Master Data'!E:E)</f>
        <v/>
      </c>
      <c r="G290" s="89" t="str">
        <f t="array" ref="G290">XLOOKUP(C290,'Master Data'!C:C,'Master Data'!F:F)</f>
        <v/>
      </c>
      <c r="H290" s="89" t="str">
        <f t="array" ref="H290">XLOOKUP(C290,'Master Data'!C:C,'Master Data'!G:G)</f>
        <v/>
      </c>
      <c r="I290" s="90" t="str">
        <f t="array" ref="I290">XLOOKUP(C290,'Master Data'!C:C,'Master Data'!H:H)</f>
        <v/>
      </c>
      <c r="J290" s="91" t="s">
        <v>12</v>
      </c>
      <c r="K290" s="92"/>
      <c r="L290" s="92"/>
      <c r="M290" s="23"/>
      <c r="N290" s="23"/>
      <c r="O290" s="23"/>
    </row>
    <row r="291">
      <c r="A291" s="93" t="str">
        <f t="array" ref="A291">XLOOKUP(C291,'TSR Initiation'!C:C,'TSR Initiation'!A:A)</f>
        <v/>
      </c>
      <c r="B291" s="95"/>
      <c r="C291" s="71" t="s">
        <v>12</v>
      </c>
      <c r="D291" s="88" t="str">
        <f t="array" ref="D291">XLOOKUP(C291,'Master Data'!C:C,'Master Data'!D:D)</f>
        <v/>
      </c>
      <c r="E291" s="71" t="str">
        <f t="array" ref="E291">XLOOKUP(C291,'TSR Initiation'!C:C,'TSR Initiation'!E:E)</f>
        <v/>
      </c>
      <c r="F291" s="88" t="str">
        <f t="array" ref="F291">XLOOKUP(C291,'Master Data'!C:C,'Master Data'!E:E)</f>
        <v/>
      </c>
      <c r="G291" s="89" t="str">
        <f t="array" ref="G291">XLOOKUP(C291,'Master Data'!C:C,'Master Data'!F:F)</f>
        <v/>
      </c>
      <c r="H291" s="89" t="str">
        <f t="array" ref="H291">XLOOKUP(C291,'Master Data'!C:C,'Master Data'!G:G)</f>
        <v/>
      </c>
      <c r="I291" s="90" t="str">
        <f t="array" ref="I291">XLOOKUP(C291,'Master Data'!C:C,'Master Data'!H:H)</f>
        <v/>
      </c>
      <c r="J291" s="91" t="s">
        <v>12</v>
      </c>
      <c r="K291" s="92"/>
      <c r="L291" s="92"/>
      <c r="M291" s="23"/>
      <c r="N291" s="23"/>
      <c r="O291" s="23"/>
    </row>
    <row r="292">
      <c r="A292" s="93" t="str">
        <f t="array" ref="A292">XLOOKUP(C292,'TSR Initiation'!C:C,'TSR Initiation'!A:A)</f>
        <v/>
      </c>
      <c r="B292" s="95"/>
      <c r="C292" s="71" t="s">
        <v>12</v>
      </c>
      <c r="D292" s="88" t="str">
        <f t="array" ref="D292">XLOOKUP(C292,'Master Data'!C:C,'Master Data'!D:D)</f>
        <v/>
      </c>
      <c r="E292" s="71" t="str">
        <f t="array" ref="E292">XLOOKUP(C292,'TSR Initiation'!C:C,'TSR Initiation'!E:E)</f>
        <v/>
      </c>
      <c r="F292" s="88" t="str">
        <f t="array" ref="F292">XLOOKUP(C292,'Master Data'!C:C,'Master Data'!E:E)</f>
        <v/>
      </c>
      <c r="G292" s="89" t="str">
        <f t="array" ref="G292">XLOOKUP(C292,'Master Data'!C:C,'Master Data'!F:F)</f>
        <v/>
      </c>
      <c r="H292" s="89" t="str">
        <f t="array" ref="H292">XLOOKUP(C292,'Master Data'!C:C,'Master Data'!G:G)</f>
        <v/>
      </c>
      <c r="I292" s="90" t="str">
        <f t="array" ref="I292">XLOOKUP(C292,'Master Data'!C:C,'Master Data'!H:H)</f>
        <v/>
      </c>
      <c r="J292" s="91" t="s">
        <v>12</v>
      </c>
      <c r="K292" s="92"/>
      <c r="L292" s="92"/>
      <c r="M292" s="23"/>
      <c r="N292" s="23"/>
      <c r="O292" s="23"/>
    </row>
    <row r="293">
      <c r="A293" s="93" t="str">
        <f t="array" ref="A293">XLOOKUP(C293,'TSR Initiation'!C:C,'TSR Initiation'!A:A)</f>
        <v/>
      </c>
      <c r="B293" s="95"/>
      <c r="C293" s="71" t="s">
        <v>12</v>
      </c>
      <c r="D293" s="88" t="str">
        <f t="array" ref="D293">XLOOKUP(C293,'Master Data'!C:C,'Master Data'!D:D)</f>
        <v/>
      </c>
      <c r="E293" s="71" t="str">
        <f t="array" ref="E293">XLOOKUP(C293,'TSR Initiation'!C:C,'TSR Initiation'!E:E)</f>
        <v/>
      </c>
      <c r="F293" s="88" t="str">
        <f t="array" ref="F293">XLOOKUP(C293,'Master Data'!C:C,'Master Data'!E:E)</f>
        <v/>
      </c>
      <c r="G293" s="89" t="str">
        <f t="array" ref="G293">XLOOKUP(C293,'Master Data'!C:C,'Master Data'!F:F)</f>
        <v/>
      </c>
      <c r="H293" s="89" t="str">
        <f t="array" ref="H293">XLOOKUP(C293,'Master Data'!C:C,'Master Data'!G:G)</f>
        <v/>
      </c>
      <c r="I293" s="90" t="str">
        <f t="array" ref="I293">XLOOKUP(C293,'Master Data'!C:C,'Master Data'!H:H)</f>
        <v/>
      </c>
      <c r="J293" s="91" t="s">
        <v>12</v>
      </c>
      <c r="K293" s="92"/>
      <c r="L293" s="92"/>
      <c r="M293" s="23"/>
      <c r="N293" s="23"/>
      <c r="O293" s="23"/>
    </row>
    <row r="294">
      <c r="A294" s="93" t="str">
        <f t="array" ref="A294">XLOOKUP(C294,'TSR Initiation'!C:C,'TSR Initiation'!A:A)</f>
        <v/>
      </c>
      <c r="B294" s="95"/>
      <c r="C294" s="71" t="s">
        <v>12</v>
      </c>
      <c r="D294" s="88" t="str">
        <f t="array" ref="D294">XLOOKUP(C294,'Master Data'!C:C,'Master Data'!D:D)</f>
        <v/>
      </c>
      <c r="E294" s="71" t="str">
        <f t="array" ref="E294">XLOOKUP(C294,'TSR Initiation'!C:C,'TSR Initiation'!E:E)</f>
        <v/>
      </c>
      <c r="F294" s="88" t="str">
        <f t="array" ref="F294">XLOOKUP(C294,'Master Data'!C:C,'Master Data'!E:E)</f>
        <v/>
      </c>
      <c r="G294" s="89" t="str">
        <f t="array" ref="G294">XLOOKUP(C294,'Master Data'!C:C,'Master Data'!F:F)</f>
        <v/>
      </c>
      <c r="H294" s="89" t="str">
        <f t="array" ref="H294">XLOOKUP(C294,'Master Data'!C:C,'Master Data'!G:G)</f>
        <v/>
      </c>
      <c r="I294" s="90" t="str">
        <f t="array" ref="I294">XLOOKUP(C294,'Master Data'!C:C,'Master Data'!H:H)</f>
        <v/>
      </c>
      <c r="J294" s="91" t="s">
        <v>12</v>
      </c>
      <c r="K294" s="92"/>
      <c r="L294" s="92"/>
      <c r="M294" s="23"/>
      <c r="N294" s="23"/>
      <c r="O294" s="23"/>
    </row>
    <row r="295">
      <c r="A295" s="93" t="str">
        <f t="array" ref="A295">XLOOKUP(C295,'TSR Initiation'!C:C,'TSR Initiation'!A:A)</f>
        <v/>
      </c>
      <c r="B295" s="95"/>
      <c r="C295" s="71" t="s">
        <v>12</v>
      </c>
      <c r="D295" s="88" t="str">
        <f t="array" ref="D295">XLOOKUP(C295,'Master Data'!C:C,'Master Data'!D:D)</f>
        <v/>
      </c>
      <c r="E295" s="71" t="str">
        <f t="array" ref="E295">XLOOKUP(C295,'TSR Initiation'!C:C,'TSR Initiation'!E:E)</f>
        <v/>
      </c>
      <c r="F295" s="88" t="str">
        <f t="array" ref="F295">XLOOKUP(C295,'Master Data'!C:C,'Master Data'!E:E)</f>
        <v/>
      </c>
      <c r="G295" s="89" t="str">
        <f t="array" ref="G295">XLOOKUP(C295,'Master Data'!C:C,'Master Data'!F:F)</f>
        <v/>
      </c>
      <c r="H295" s="89" t="str">
        <f t="array" ref="H295">XLOOKUP(C295,'Master Data'!C:C,'Master Data'!G:G)</f>
        <v/>
      </c>
      <c r="I295" s="90" t="str">
        <f t="array" ref="I295">XLOOKUP(C295,'Master Data'!C:C,'Master Data'!H:H)</f>
        <v/>
      </c>
      <c r="J295" s="91" t="s">
        <v>12</v>
      </c>
      <c r="K295" s="92"/>
      <c r="L295" s="92"/>
      <c r="M295" s="23"/>
      <c r="N295" s="23"/>
      <c r="O295" s="23"/>
    </row>
    <row r="296">
      <c r="A296" s="93" t="str">
        <f t="array" ref="A296">XLOOKUP(C296,'TSR Initiation'!C:C,'TSR Initiation'!A:A)</f>
        <v/>
      </c>
      <c r="B296" s="95"/>
      <c r="C296" s="71" t="s">
        <v>12</v>
      </c>
      <c r="D296" s="88" t="str">
        <f t="array" ref="D296">XLOOKUP(C296,'Master Data'!C:C,'Master Data'!D:D)</f>
        <v/>
      </c>
      <c r="E296" s="71" t="str">
        <f t="array" ref="E296">XLOOKUP(C296,'TSR Initiation'!C:C,'TSR Initiation'!E:E)</f>
        <v/>
      </c>
      <c r="F296" s="88" t="str">
        <f t="array" ref="F296">XLOOKUP(C296,'Master Data'!C:C,'Master Data'!E:E)</f>
        <v/>
      </c>
      <c r="G296" s="89" t="str">
        <f t="array" ref="G296">XLOOKUP(C296,'Master Data'!C:C,'Master Data'!F:F)</f>
        <v/>
      </c>
      <c r="H296" s="89" t="str">
        <f t="array" ref="H296">XLOOKUP(C296,'Master Data'!C:C,'Master Data'!G:G)</f>
        <v/>
      </c>
      <c r="I296" s="90" t="str">
        <f t="array" ref="I296">XLOOKUP(C296,'Master Data'!C:C,'Master Data'!H:H)</f>
        <v/>
      </c>
      <c r="J296" s="91" t="s">
        <v>12</v>
      </c>
      <c r="K296" s="92"/>
      <c r="L296" s="92"/>
      <c r="M296" s="23"/>
      <c r="N296" s="23"/>
      <c r="O296" s="23"/>
    </row>
    <row r="297">
      <c r="A297" s="93" t="str">
        <f t="array" ref="A297">XLOOKUP(C297,'TSR Initiation'!C:C,'TSR Initiation'!A:A)</f>
        <v/>
      </c>
      <c r="B297" s="95"/>
      <c r="C297" s="71" t="s">
        <v>12</v>
      </c>
      <c r="D297" s="88" t="str">
        <f t="array" ref="D297">XLOOKUP(C297,'Master Data'!C:C,'Master Data'!D:D)</f>
        <v/>
      </c>
      <c r="E297" s="71" t="str">
        <f t="array" ref="E297">XLOOKUP(C297,'TSR Initiation'!C:C,'TSR Initiation'!E:E)</f>
        <v/>
      </c>
      <c r="F297" s="88" t="str">
        <f t="array" ref="F297">XLOOKUP(C297,'Master Data'!C:C,'Master Data'!E:E)</f>
        <v/>
      </c>
      <c r="G297" s="89" t="str">
        <f t="array" ref="G297">XLOOKUP(C297,'Master Data'!C:C,'Master Data'!F:F)</f>
        <v/>
      </c>
      <c r="H297" s="89" t="str">
        <f t="array" ref="H297">XLOOKUP(C297,'Master Data'!C:C,'Master Data'!G:G)</f>
        <v/>
      </c>
      <c r="I297" s="90" t="str">
        <f t="array" ref="I297">XLOOKUP(C297,'Master Data'!C:C,'Master Data'!H:H)</f>
        <v/>
      </c>
      <c r="J297" s="91" t="s">
        <v>12</v>
      </c>
      <c r="K297" s="92"/>
      <c r="L297" s="92"/>
      <c r="M297" s="23"/>
      <c r="N297" s="23"/>
      <c r="O297" s="23"/>
    </row>
    <row r="298">
      <c r="A298" s="93" t="str">
        <f t="array" ref="A298">XLOOKUP(C298,'TSR Initiation'!C:C,'TSR Initiation'!A:A)</f>
        <v/>
      </c>
      <c r="B298" s="95"/>
      <c r="C298" s="71" t="s">
        <v>12</v>
      </c>
      <c r="D298" s="88" t="str">
        <f t="array" ref="D298">XLOOKUP(C298,'Master Data'!C:C,'Master Data'!D:D)</f>
        <v/>
      </c>
      <c r="E298" s="71" t="str">
        <f t="array" ref="E298">XLOOKUP(C298,'TSR Initiation'!C:C,'TSR Initiation'!E:E)</f>
        <v/>
      </c>
      <c r="F298" s="88" t="str">
        <f t="array" ref="F298">XLOOKUP(C298,'Master Data'!C:C,'Master Data'!E:E)</f>
        <v/>
      </c>
      <c r="G298" s="89" t="str">
        <f t="array" ref="G298">XLOOKUP(C298,'Master Data'!C:C,'Master Data'!F:F)</f>
        <v/>
      </c>
      <c r="H298" s="89" t="str">
        <f t="array" ref="H298">XLOOKUP(C298,'Master Data'!C:C,'Master Data'!G:G)</f>
        <v/>
      </c>
      <c r="I298" s="90" t="str">
        <f t="array" ref="I298">XLOOKUP(C298,'Master Data'!C:C,'Master Data'!H:H)</f>
        <v/>
      </c>
      <c r="J298" s="91" t="s">
        <v>12</v>
      </c>
      <c r="K298" s="92"/>
      <c r="L298" s="92"/>
      <c r="M298" s="23"/>
      <c r="N298" s="23"/>
      <c r="O298" s="23"/>
    </row>
    <row r="299">
      <c r="A299" s="93" t="str">
        <f t="array" ref="A299">XLOOKUP(C299,'TSR Initiation'!C:C,'TSR Initiation'!A:A)</f>
        <v/>
      </c>
      <c r="B299" s="95"/>
      <c r="C299" s="71" t="s">
        <v>12</v>
      </c>
      <c r="D299" s="88" t="str">
        <f t="array" ref="D299">XLOOKUP(C299,'Master Data'!C:C,'Master Data'!D:D)</f>
        <v/>
      </c>
      <c r="E299" s="71" t="str">
        <f t="array" ref="E299">XLOOKUP(C299,'TSR Initiation'!C:C,'TSR Initiation'!E:E)</f>
        <v/>
      </c>
      <c r="F299" s="88" t="str">
        <f t="array" ref="F299">XLOOKUP(C299,'Master Data'!C:C,'Master Data'!E:E)</f>
        <v/>
      </c>
      <c r="G299" s="89" t="str">
        <f t="array" ref="G299">XLOOKUP(C299,'Master Data'!C:C,'Master Data'!F:F)</f>
        <v/>
      </c>
      <c r="H299" s="89" t="str">
        <f t="array" ref="H299">XLOOKUP(C299,'Master Data'!C:C,'Master Data'!G:G)</f>
        <v/>
      </c>
      <c r="I299" s="90" t="str">
        <f t="array" ref="I299">XLOOKUP(C299,'Master Data'!C:C,'Master Data'!H:H)</f>
        <v/>
      </c>
      <c r="J299" s="91" t="s">
        <v>12</v>
      </c>
      <c r="K299" s="92"/>
      <c r="L299" s="92"/>
      <c r="M299" s="23"/>
      <c r="N299" s="23"/>
      <c r="O299" s="23"/>
    </row>
    <row r="300">
      <c r="A300" s="93" t="str">
        <f t="array" ref="A300">XLOOKUP(C300,'TSR Initiation'!C:C,'TSR Initiation'!A:A)</f>
        <v/>
      </c>
      <c r="B300" s="95"/>
      <c r="C300" s="71" t="s">
        <v>12</v>
      </c>
      <c r="D300" s="88" t="str">
        <f t="array" ref="D300">XLOOKUP(C300,'Master Data'!C:C,'Master Data'!D:D)</f>
        <v/>
      </c>
      <c r="E300" s="71" t="str">
        <f t="array" ref="E300">XLOOKUP(C300,'TSR Initiation'!C:C,'TSR Initiation'!E:E)</f>
        <v/>
      </c>
      <c r="F300" s="88" t="str">
        <f t="array" ref="F300">XLOOKUP(C300,'Master Data'!C:C,'Master Data'!E:E)</f>
        <v/>
      </c>
      <c r="G300" s="89" t="str">
        <f t="array" ref="G300">XLOOKUP(C300,'Master Data'!C:C,'Master Data'!F:F)</f>
        <v/>
      </c>
      <c r="H300" s="89" t="str">
        <f t="array" ref="H300">XLOOKUP(C300,'Master Data'!C:C,'Master Data'!G:G)</f>
        <v/>
      </c>
      <c r="I300" s="90" t="str">
        <f t="array" ref="I300">XLOOKUP(C300,'Master Data'!C:C,'Master Data'!H:H)</f>
        <v/>
      </c>
      <c r="J300" s="91" t="s">
        <v>12</v>
      </c>
      <c r="K300" s="92"/>
      <c r="L300" s="92"/>
      <c r="M300" s="23"/>
      <c r="N300" s="23"/>
      <c r="O300" s="23"/>
    </row>
    <row r="301">
      <c r="A301" s="93" t="str">
        <f t="array" ref="A301">XLOOKUP(C301,'TSR Initiation'!C:C,'TSR Initiation'!A:A)</f>
        <v/>
      </c>
      <c r="B301" s="95"/>
      <c r="C301" s="71" t="s">
        <v>12</v>
      </c>
      <c r="D301" s="88" t="str">
        <f t="array" ref="D301">XLOOKUP(C301,'Master Data'!C:C,'Master Data'!D:D)</f>
        <v/>
      </c>
      <c r="E301" s="71" t="str">
        <f t="array" ref="E301">XLOOKUP(C301,'TSR Initiation'!C:C,'TSR Initiation'!E:E)</f>
        <v/>
      </c>
      <c r="F301" s="88" t="str">
        <f t="array" ref="F301">XLOOKUP(C301,'Master Data'!C:C,'Master Data'!E:E)</f>
        <v/>
      </c>
      <c r="G301" s="89" t="str">
        <f t="array" ref="G301">XLOOKUP(C301,'Master Data'!C:C,'Master Data'!F:F)</f>
        <v/>
      </c>
      <c r="H301" s="89" t="str">
        <f t="array" ref="H301">XLOOKUP(C301,'Master Data'!C:C,'Master Data'!G:G)</f>
        <v/>
      </c>
      <c r="I301" s="90" t="str">
        <f t="array" ref="I301">XLOOKUP(C301,'Master Data'!C:C,'Master Data'!H:H)</f>
        <v/>
      </c>
      <c r="J301" s="91" t="s">
        <v>12</v>
      </c>
      <c r="K301" s="92"/>
      <c r="L301" s="92"/>
      <c r="M301" s="23"/>
      <c r="N301" s="23"/>
      <c r="O301" s="23"/>
    </row>
    <row r="302">
      <c r="A302" s="93" t="str">
        <f t="array" ref="A302">XLOOKUP(C302,'TSR Initiation'!C:C,'TSR Initiation'!A:A)</f>
        <v/>
      </c>
      <c r="B302" s="95"/>
      <c r="C302" s="71" t="s">
        <v>12</v>
      </c>
      <c r="D302" s="88" t="str">
        <f t="array" ref="D302">XLOOKUP(C302,'Master Data'!C:C,'Master Data'!D:D)</f>
        <v/>
      </c>
      <c r="E302" s="71" t="str">
        <f t="array" ref="E302">XLOOKUP(C302,'TSR Initiation'!C:C,'TSR Initiation'!E:E)</f>
        <v/>
      </c>
      <c r="F302" s="88" t="str">
        <f t="array" ref="F302">XLOOKUP(C302,'Master Data'!C:C,'Master Data'!E:E)</f>
        <v/>
      </c>
      <c r="G302" s="89" t="str">
        <f t="array" ref="G302">XLOOKUP(C302,'Master Data'!C:C,'Master Data'!F:F)</f>
        <v/>
      </c>
      <c r="H302" s="89" t="str">
        <f t="array" ref="H302">XLOOKUP(C302,'Master Data'!C:C,'Master Data'!G:G)</f>
        <v/>
      </c>
      <c r="I302" s="90" t="str">
        <f t="array" ref="I302">XLOOKUP(C302,'Master Data'!C:C,'Master Data'!H:H)</f>
        <v/>
      </c>
      <c r="J302" s="91" t="s">
        <v>12</v>
      </c>
      <c r="K302" s="92"/>
      <c r="L302" s="92"/>
      <c r="M302" s="23"/>
      <c r="N302" s="23"/>
      <c r="O302" s="23"/>
    </row>
    <row r="303">
      <c r="A303" s="93" t="str">
        <f t="array" ref="A303">XLOOKUP(C303,'TSR Initiation'!C:C,'TSR Initiation'!A:A)</f>
        <v/>
      </c>
      <c r="B303" s="95"/>
      <c r="C303" s="71" t="s">
        <v>12</v>
      </c>
      <c r="D303" s="88" t="str">
        <f t="array" ref="D303">XLOOKUP(C303,'Master Data'!C:C,'Master Data'!D:D)</f>
        <v/>
      </c>
      <c r="E303" s="71" t="str">
        <f t="array" ref="E303">XLOOKUP(C303,'TSR Initiation'!C:C,'TSR Initiation'!E:E)</f>
        <v/>
      </c>
      <c r="F303" s="88" t="str">
        <f t="array" ref="F303">XLOOKUP(C303,'Master Data'!C:C,'Master Data'!E:E)</f>
        <v/>
      </c>
      <c r="G303" s="89" t="str">
        <f t="array" ref="G303">XLOOKUP(C303,'Master Data'!C:C,'Master Data'!F:F)</f>
        <v/>
      </c>
      <c r="H303" s="89" t="str">
        <f t="array" ref="H303">XLOOKUP(C303,'Master Data'!C:C,'Master Data'!G:G)</f>
        <v/>
      </c>
      <c r="I303" s="90" t="str">
        <f t="array" ref="I303">XLOOKUP(C303,'Master Data'!C:C,'Master Data'!H:H)</f>
        <v/>
      </c>
      <c r="J303" s="91" t="s">
        <v>12</v>
      </c>
      <c r="K303" s="92"/>
      <c r="L303" s="92"/>
      <c r="M303" s="23"/>
      <c r="N303" s="23"/>
      <c r="O303" s="23"/>
    </row>
    <row r="304">
      <c r="A304" s="93" t="str">
        <f t="array" ref="A304">XLOOKUP(C304,'TSR Initiation'!C:C,'TSR Initiation'!A:A)</f>
        <v/>
      </c>
      <c r="B304" s="95"/>
      <c r="C304" s="71" t="s">
        <v>12</v>
      </c>
      <c r="D304" s="88" t="str">
        <f t="array" ref="D304">XLOOKUP(C304,'Master Data'!C:C,'Master Data'!D:D)</f>
        <v/>
      </c>
      <c r="E304" s="71" t="str">
        <f t="array" ref="E304">XLOOKUP(C304,'TSR Initiation'!C:C,'TSR Initiation'!E:E)</f>
        <v/>
      </c>
      <c r="F304" s="88" t="str">
        <f t="array" ref="F304">XLOOKUP(C304,'Master Data'!C:C,'Master Data'!E:E)</f>
        <v/>
      </c>
      <c r="G304" s="89" t="str">
        <f t="array" ref="G304">XLOOKUP(C304,'Master Data'!C:C,'Master Data'!F:F)</f>
        <v/>
      </c>
      <c r="H304" s="89" t="str">
        <f t="array" ref="H304">XLOOKUP(C304,'Master Data'!C:C,'Master Data'!G:G)</f>
        <v/>
      </c>
      <c r="I304" s="90" t="str">
        <f t="array" ref="I304">XLOOKUP(C304,'Master Data'!C:C,'Master Data'!H:H)</f>
        <v/>
      </c>
      <c r="J304" s="91" t="s">
        <v>12</v>
      </c>
      <c r="K304" s="92"/>
      <c r="L304" s="92"/>
      <c r="M304" s="23"/>
      <c r="N304" s="23"/>
      <c r="O304" s="23"/>
    </row>
    <row r="305">
      <c r="A305" s="93" t="str">
        <f t="array" ref="A305">XLOOKUP(C305,'TSR Initiation'!C:C,'TSR Initiation'!A:A)</f>
        <v/>
      </c>
      <c r="B305" s="95"/>
      <c r="C305" s="71" t="s">
        <v>12</v>
      </c>
      <c r="D305" s="88" t="str">
        <f t="array" ref="D305">XLOOKUP(C305,'Master Data'!C:C,'Master Data'!D:D)</f>
        <v/>
      </c>
      <c r="E305" s="71" t="str">
        <f t="array" ref="E305">XLOOKUP(C305,'TSR Initiation'!C:C,'TSR Initiation'!E:E)</f>
        <v/>
      </c>
      <c r="F305" s="88" t="str">
        <f t="array" ref="F305">XLOOKUP(C305,'Master Data'!C:C,'Master Data'!E:E)</f>
        <v/>
      </c>
      <c r="G305" s="89" t="str">
        <f t="array" ref="G305">XLOOKUP(C305,'Master Data'!C:C,'Master Data'!F:F)</f>
        <v/>
      </c>
      <c r="H305" s="89" t="str">
        <f t="array" ref="H305">XLOOKUP(C305,'Master Data'!C:C,'Master Data'!G:G)</f>
        <v/>
      </c>
      <c r="I305" s="90" t="str">
        <f t="array" ref="I305">XLOOKUP(C305,'Master Data'!C:C,'Master Data'!H:H)</f>
        <v/>
      </c>
      <c r="J305" s="91" t="s">
        <v>12</v>
      </c>
      <c r="K305" s="92"/>
      <c r="L305" s="92"/>
      <c r="M305" s="23"/>
      <c r="N305" s="23"/>
      <c r="O305" s="23"/>
    </row>
    <row r="306">
      <c r="A306" s="93" t="str">
        <f t="array" ref="A306">XLOOKUP(C306,'TSR Initiation'!C:C,'TSR Initiation'!A:A)</f>
        <v/>
      </c>
      <c r="B306" s="95"/>
      <c r="C306" s="71" t="s">
        <v>12</v>
      </c>
      <c r="D306" s="88" t="str">
        <f t="array" ref="D306">XLOOKUP(C306,'Master Data'!C:C,'Master Data'!D:D)</f>
        <v/>
      </c>
      <c r="E306" s="71" t="str">
        <f t="array" ref="E306">XLOOKUP(C306,'TSR Initiation'!C:C,'TSR Initiation'!E:E)</f>
        <v/>
      </c>
      <c r="F306" s="88" t="str">
        <f t="array" ref="F306">XLOOKUP(C306,'Master Data'!C:C,'Master Data'!E:E)</f>
        <v/>
      </c>
      <c r="G306" s="89" t="str">
        <f t="array" ref="G306">XLOOKUP(C306,'Master Data'!C:C,'Master Data'!F:F)</f>
        <v/>
      </c>
      <c r="H306" s="89" t="str">
        <f t="array" ref="H306">XLOOKUP(C306,'Master Data'!C:C,'Master Data'!G:G)</f>
        <v/>
      </c>
      <c r="I306" s="90" t="str">
        <f t="array" ref="I306">XLOOKUP(C306,'Master Data'!C:C,'Master Data'!H:H)</f>
        <v/>
      </c>
      <c r="J306" s="91" t="s">
        <v>12</v>
      </c>
      <c r="K306" s="92"/>
      <c r="L306" s="92"/>
      <c r="M306" s="23"/>
      <c r="N306" s="23"/>
      <c r="O306" s="23"/>
    </row>
    <row r="307">
      <c r="A307" s="93" t="str">
        <f t="array" ref="A307">XLOOKUP(C307,'TSR Initiation'!C:C,'TSR Initiation'!A:A)</f>
        <v/>
      </c>
      <c r="B307" s="95"/>
      <c r="C307" s="71" t="s">
        <v>12</v>
      </c>
      <c r="D307" s="88" t="str">
        <f t="array" ref="D307">XLOOKUP(C307,'Master Data'!C:C,'Master Data'!D:D)</f>
        <v/>
      </c>
      <c r="E307" s="71" t="str">
        <f t="array" ref="E307">XLOOKUP(C307,'TSR Initiation'!C:C,'TSR Initiation'!E:E)</f>
        <v/>
      </c>
      <c r="F307" s="88" t="str">
        <f t="array" ref="F307">XLOOKUP(C307,'Master Data'!C:C,'Master Data'!E:E)</f>
        <v/>
      </c>
      <c r="G307" s="89" t="str">
        <f t="array" ref="G307">XLOOKUP(C307,'Master Data'!C:C,'Master Data'!F:F)</f>
        <v/>
      </c>
      <c r="H307" s="89" t="str">
        <f t="array" ref="H307">XLOOKUP(C307,'Master Data'!C:C,'Master Data'!G:G)</f>
        <v/>
      </c>
      <c r="I307" s="90" t="str">
        <f t="array" ref="I307">XLOOKUP(C307,'Master Data'!C:C,'Master Data'!H:H)</f>
        <v/>
      </c>
      <c r="J307" s="91" t="s">
        <v>12</v>
      </c>
      <c r="K307" s="92"/>
      <c r="L307" s="92"/>
      <c r="M307" s="23"/>
      <c r="N307" s="23"/>
      <c r="O307" s="23"/>
    </row>
    <row r="308">
      <c r="A308" s="93" t="str">
        <f t="array" ref="A308">XLOOKUP(C308,'TSR Initiation'!C:C,'TSR Initiation'!A:A)</f>
        <v/>
      </c>
      <c r="B308" s="95"/>
      <c r="C308" s="71" t="s">
        <v>12</v>
      </c>
      <c r="D308" s="88" t="str">
        <f t="array" ref="D308">XLOOKUP(C308,'Master Data'!C:C,'Master Data'!D:D)</f>
        <v/>
      </c>
      <c r="E308" s="71" t="str">
        <f t="array" ref="E308">XLOOKUP(C308,'TSR Initiation'!C:C,'TSR Initiation'!E:E)</f>
        <v/>
      </c>
      <c r="F308" s="88" t="str">
        <f t="array" ref="F308">XLOOKUP(C308,'Master Data'!C:C,'Master Data'!E:E)</f>
        <v/>
      </c>
      <c r="G308" s="89" t="str">
        <f t="array" ref="G308">XLOOKUP(C308,'Master Data'!C:C,'Master Data'!F:F)</f>
        <v/>
      </c>
      <c r="H308" s="89" t="str">
        <f t="array" ref="H308">XLOOKUP(C308,'Master Data'!C:C,'Master Data'!G:G)</f>
        <v/>
      </c>
      <c r="I308" s="90" t="str">
        <f t="array" ref="I308">XLOOKUP(C308,'Master Data'!C:C,'Master Data'!H:H)</f>
        <v/>
      </c>
      <c r="J308" s="91" t="s">
        <v>12</v>
      </c>
      <c r="K308" s="92"/>
      <c r="L308" s="92"/>
      <c r="M308" s="23"/>
      <c r="N308" s="23"/>
      <c r="O308" s="23"/>
    </row>
    <row r="309">
      <c r="A309" s="93" t="str">
        <f t="array" ref="A309">XLOOKUP(C309,'TSR Initiation'!C:C,'TSR Initiation'!A:A)</f>
        <v/>
      </c>
      <c r="B309" s="95"/>
      <c r="C309" s="71" t="s">
        <v>12</v>
      </c>
      <c r="D309" s="88" t="str">
        <f t="array" ref="D309">XLOOKUP(C309,'Master Data'!C:C,'Master Data'!D:D)</f>
        <v/>
      </c>
      <c r="E309" s="71" t="str">
        <f t="array" ref="E309">XLOOKUP(C309,'TSR Initiation'!C:C,'TSR Initiation'!E:E)</f>
        <v/>
      </c>
      <c r="F309" s="88" t="str">
        <f t="array" ref="F309">XLOOKUP(C309,'Master Data'!C:C,'Master Data'!E:E)</f>
        <v/>
      </c>
      <c r="G309" s="89" t="str">
        <f t="array" ref="G309">XLOOKUP(C309,'Master Data'!C:C,'Master Data'!F:F)</f>
        <v/>
      </c>
      <c r="H309" s="89" t="str">
        <f t="array" ref="H309">XLOOKUP(C309,'Master Data'!C:C,'Master Data'!G:G)</f>
        <v/>
      </c>
      <c r="I309" s="90" t="str">
        <f t="array" ref="I309">XLOOKUP(C309,'Master Data'!C:C,'Master Data'!H:H)</f>
        <v/>
      </c>
      <c r="J309" s="91" t="s">
        <v>12</v>
      </c>
      <c r="K309" s="92"/>
      <c r="L309" s="92"/>
      <c r="M309" s="23"/>
      <c r="N309" s="23"/>
      <c r="O309" s="23"/>
    </row>
    <row r="310">
      <c r="A310" s="93" t="str">
        <f t="array" ref="A310">XLOOKUP(C310,'TSR Initiation'!C:C,'TSR Initiation'!A:A)</f>
        <v/>
      </c>
      <c r="B310" s="95"/>
      <c r="C310" s="71" t="s">
        <v>12</v>
      </c>
      <c r="D310" s="88" t="str">
        <f t="array" ref="D310">XLOOKUP(C310,'Master Data'!C:C,'Master Data'!D:D)</f>
        <v/>
      </c>
      <c r="E310" s="71" t="str">
        <f t="array" ref="E310">XLOOKUP(C310,'TSR Initiation'!C:C,'TSR Initiation'!E:E)</f>
        <v/>
      </c>
      <c r="F310" s="88" t="str">
        <f t="array" ref="F310">XLOOKUP(C310,'Master Data'!C:C,'Master Data'!E:E)</f>
        <v/>
      </c>
      <c r="G310" s="89" t="str">
        <f t="array" ref="G310">XLOOKUP(C310,'Master Data'!C:C,'Master Data'!F:F)</f>
        <v/>
      </c>
      <c r="H310" s="89" t="str">
        <f t="array" ref="H310">XLOOKUP(C310,'Master Data'!C:C,'Master Data'!G:G)</f>
        <v/>
      </c>
      <c r="I310" s="90" t="str">
        <f t="array" ref="I310">XLOOKUP(C310,'Master Data'!C:C,'Master Data'!H:H)</f>
        <v/>
      </c>
      <c r="J310" s="91" t="s">
        <v>12</v>
      </c>
      <c r="K310" s="92"/>
      <c r="L310" s="92"/>
      <c r="M310" s="23"/>
      <c r="N310" s="23"/>
      <c r="O310" s="23"/>
    </row>
    <row r="311">
      <c r="A311" s="93" t="str">
        <f t="array" ref="A311">XLOOKUP(C311,'TSR Initiation'!C:C,'TSR Initiation'!A:A)</f>
        <v/>
      </c>
      <c r="B311" s="95"/>
      <c r="C311" s="71" t="s">
        <v>12</v>
      </c>
      <c r="D311" s="88" t="str">
        <f t="array" ref="D311">XLOOKUP(C311,'Master Data'!C:C,'Master Data'!D:D)</f>
        <v/>
      </c>
      <c r="E311" s="71" t="str">
        <f t="array" ref="E311">XLOOKUP(C311,'TSR Initiation'!C:C,'TSR Initiation'!E:E)</f>
        <v/>
      </c>
      <c r="F311" s="88" t="str">
        <f t="array" ref="F311">XLOOKUP(C311,'Master Data'!C:C,'Master Data'!E:E)</f>
        <v/>
      </c>
      <c r="G311" s="89" t="str">
        <f t="array" ref="G311">XLOOKUP(C311,'Master Data'!C:C,'Master Data'!F:F)</f>
        <v/>
      </c>
      <c r="H311" s="89" t="str">
        <f t="array" ref="H311">XLOOKUP(C311,'Master Data'!C:C,'Master Data'!G:G)</f>
        <v/>
      </c>
      <c r="I311" s="90" t="str">
        <f t="array" ref="I311">XLOOKUP(C311,'Master Data'!C:C,'Master Data'!H:H)</f>
        <v/>
      </c>
      <c r="J311" s="91" t="s">
        <v>12</v>
      </c>
      <c r="K311" s="92"/>
      <c r="L311" s="92"/>
      <c r="M311" s="23"/>
      <c r="N311" s="23"/>
      <c r="O311" s="23"/>
    </row>
    <row r="312">
      <c r="A312" s="93" t="str">
        <f t="array" ref="A312">XLOOKUP(C312,'TSR Initiation'!C:C,'TSR Initiation'!A:A)</f>
        <v/>
      </c>
      <c r="B312" s="95"/>
      <c r="C312" s="71" t="s">
        <v>12</v>
      </c>
      <c r="D312" s="88" t="str">
        <f t="array" ref="D312">XLOOKUP(C312,'Master Data'!C:C,'Master Data'!D:D)</f>
        <v/>
      </c>
      <c r="E312" s="71" t="str">
        <f t="array" ref="E312">XLOOKUP(C312,'TSR Initiation'!C:C,'TSR Initiation'!E:E)</f>
        <v/>
      </c>
      <c r="F312" s="88" t="str">
        <f t="array" ref="F312">XLOOKUP(C312,'Master Data'!C:C,'Master Data'!E:E)</f>
        <v/>
      </c>
      <c r="G312" s="89" t="str">
        <f t="array" ref="G312">XLOOKUP(C312,'Master Data'!C:C,'Master Data'!F:F)</f>
        <v/>
      </c>
      <c r="H312" s="89" t="str">
        <f t="array" ref="H312">XLOOKUP(C312,'Master Data'!C:C,'Master Data'!G:G)</f>
        <v/>
      </c>
      <c r="I312" s="90" t="str">
        <f t="array" ref="I312">XLOOKUP(C312,'Master Data'!C:C,'Master Data'!H:H)</f>
        <v/>
      </c>
      <c r="J312" s="91" t="s">
        <v>12</v>
      </c>
      <c r="K312" s="92"/>
      <c r="L312" s="92"/>
      <c r="M312" s="23"/>
      <c r="N312" s="23"/>
      <c r="O312" s="23"/>
    </row>
    <row r="313">
      <c r="A313" s="93" t="str">
        <f t="array" ref="A313">XLOOKUP(C313,'TSR Initiation'!C:C,'TSR Initiation'!A:A)</f>
        <v/>
      </c>
      <c r="B313" s="95"/>
      <c r="C313" s="71" t="s">
        <v>12</v>
      </c>
      <c r="D313" s="88" t="str">
        <f t="array" ref="D313">XLOOKUP(C313,'Master Data'!C:C,'Master Data'!D:D)</f>
        <v/>
      </c>
      <c r="E313" s="71" t="str">
        <f t="array" ref="E313">XLOOKUP(C313,'TSR Initiation'!C:C,'TSR Initiation'!E:E)</f>
        <v/>
      </c>
      <c r="F313" s="88" t="str">
        <f t="array" ref="F313">XLOOKUP(C313,'Master Data'!C:C,'Master Data'!E:E)</f>
        <v/>
      </c>
      <c r="G313" s="89" t="str">
        <f t="array" ref="G313">XLOOKUP(C313,'Master Data'!C:C,'Master Data'!F:F)</f>
        <v/>
      </c>
      <c r="H313" s="89" t="str">
        <f t="array" ref="H313">XLOOKUP(C313,'Master Data'!C:C,'Master Data'!G:G)</f>
        <v/>
      </c>
      <c r="I313" s="90" t="str">
        <f t="array" ref="I313">XLOOKUP(C313,'Master Data'!C:C,'Master Data'!H:H)</f>
        <v/>
      </c>
      <c r="J313" s="91" t="s">
        <v>12</v>
      </c>
      <c r="K313" s="92"/>
      <c r="L313" s="92"/>
      <c r="M313" s="23"/>
      <c r="N313" s="23"/>
      <c r="O313" s="23"/>
    </row>
    <row r="314">
      <c r="A314" s="93" t="str">
        <f t="array" ref="A314">XLOOKUP(C314,'TSR Initiation'!C:C,'TSR Initiation'!A:A)</f>
        <v/>
      </c>
      <c r="B314" s="95"/>
      <c r="C314" s="71" t="s">
        <v>12</v>
      </c>
      <c r="D314" s="88" t="str">
        <f t="array" ref="D314">XLOOKUP(C314,'Master Data'!C:C,'Master Data'!D:D)</f>
        <v/>
      </c>
      <c r="E314" s="71" t="str">
        <f t="array" ref="E314">XLOOKUP(C314,'TSR Initiation'!C:C,'TSR Initiation'!E:E)</f>
        <v/>
      </c>
      <c r="F314" s="88" t="str">
        <f t="array" ref="F314">XLOOKUP(C314,'Master Data'!C:C,'Master Data'!E:E)</f>
        <v/>
      </c>
      <c r="G314" s="89" t="str">
        <f t="array" ref="G314">XLOOKUP(C314,'Master Data'!C:C,'Master Data'!F:F)</f>
        <v/>
      </c>
      <c r="H314" s="89" t="str">
        <f t="array" ref="H314">XLOOKUP(C314,'Master Data'!C:C,'Master Data'!G:G)</f>
        <v/>
      </c>
      <c r="I314" s="90" t="str">
        <f t="array" ref="I314">XLOOKUP(C314,'Master Data'!C:C,'Master Data'!H:H)</f>
        <v/>
      </c>
      <c r="J314" s="91" t="s">
        <v>12</v>
      </c>
      <c r="K314" s="92"/>
      <c r="L314" s="92"/>
      <c r="M314" s="23"/>
      <c r="N314" s="23"/>
      <c r="O314" s="23"/>
    </row>
    <row r="315">
      <c r="A315" s="93" t="str">
        <f t="array" ref="A315">XLOOKUP(C315,'TSR Initiation'!C:C,'TSR Initiation'!A:A)</f>
        <v/>
      </c>
      <c r="B315" s="95"/>
      <c r="C315" s="71" t="s">
        <v>12</v>
      </c>
      <c r="D315" s="88" t="str">
        <f t="array" ref="D315">XLOOKUP(C315,'Master Data'!C:C,'Master Data'!D:D)</f>
        <v/>
      </c>
      <c r="E315" s="71" t="str">
        <f t="array" ref="E315">XLOOKUP(C315,'TSR Initiation'!C:C,'TSR Initiation'!E:E)</f>
        <v/>
      </c>
      <c r="F315" s="88" t="str">
        <f t="array" ref="F315">XLOOKUP(C315,'Master Data'!C:C,'Master Data'!E:E)</f>
        <v/>
      </c>
      <c r="G315" s="89" t="str">
        <f t="array" ref="G315">XLOOKUP(C315,'Master Data'!C:C,'Master Data'!F:F)</f>
        <v/>
      </c>
      <c r="H315" s="89" t="str">
        <f t="array" ref="H315">XLOOKUP(C315,'Master Data'!C:C,'Master Data'!G:G)</f>
        <v/>
      </c>
      <c r="I315" s="90" t="str">
        <f t="array" ref="I315">XLOOKUP(C315,'Master Data'!C:C,'Master Data'!H:H)</f>
        <v/>
      </c>
      <c r="J315" s="91" t="s">
        <v>12</v>
      </c>
      <c r="K315" s="92"/>
      <c r="L315" s="92"/>
      <c r="M315" s="23"/>
      <c r="N315" s="23"/>
      <c r="O315" s="23"/>
    </row>
    <row r="316">
      <c r="A316" s="93" t="str">
        <f t="array" ref="A316">XLOOKUP(C316,'TSR Initiation'!C:C,'TSR Initiation'!A:A)</f>
        <v/>
      </c>
      <c r="B316" s="95"/>
      <c r="C316" s="71" t="s">
        <v>12</v>
      </c>
      <c r="D316" s="88" t="str">
        <f t="array" ref="D316">XLOOKUP(C316,'Master Data'!C:C,'Master Data'!D:D)</f>
        <v/>
      </c>
      <c r="E316" s="71" t="str">
        <f t="array" ref="E316">XLOOKUP(C316,'TSR Initiation'!C:C,'TSR Initiation'!E:E)</f>
        <v/>
      </c>
      <c r="F316" s="88" t="str">
        <f t="array" ref="F316">XLOOKUP(C316,'Master Data'!C:C,'Master Data'!E:E)</f>
        <v/>
      </c>
      <c r="G316" s="89" t="str">
        <f t="array" ref="G316">XLOOKUP(C316,'Master Data'!C:C,'Master Data'!F:F)</f>
        <v/>
      </c>
      <c r="H316" s="89" t="str">
        <f t="array" ref="H316">XLOOKUP(C316,'Master Data'!C:C,'Master Data'!G:G)</f>
        <v/>
      </c>
      <c r="I316" s="90" t="str">
        <f t="array" ref="I316">XLOOKUP(C316,'Master Data'!C:C,'Master Data'!H:H)</f>
        <v/>
      </c>
      <c r="J316" s="91" t="s">
        <v>12</v>
      </c>
      <c r="K316" s="92"/>
      <c r="L316" s="92"/>
      <c r="M316" s="23"/>
      <c r="N316" s="23"/>
      <c r="O316" s="23"/>
    </row>
    <row r="317">
      <c r="A317" s="93" t="str">
        <f t="array" ref="A317">XLOOKUP(C317,'TSR Initiation'!C:C,'TSR Initiation'!A:A)</f>
        <v/>
      </c>
      <c r="B317" s="95"/>
      <c r="C317" s="71" t="s">
        <v>12</v>
      </c>
      <c r="D317" s="88" t="str">
        <f t="array" ref="D317">XLOOKUP(C317,'Master Data'!C:C,'Master Data'!D:D)</f>
        <v/>
      </c>
      <c r="E317" s="71" t="str">
        <f t="array" ref="E317">XLOOKUP(C317,'TSR Initiation'!C:C,'TSR Initiation'!E:E)</f>
        <v/>
      </c>
      <c r="F317" s="88" t="str">
        <f t="array" ref="F317">XLOOKUP(C317,'Master Data'!C:C,'Master Data'!E:E)</f>
        <v/>
      </c>
      <c r="G317" s="89" t="str">
        <f t="array" ref="G317">XLOOKUP(C317,'Master Data'!C:C,'Master Data'!F:F)</f>
        <v/>
      </c>
      <c r="H317" s="89" t="str">
        <f t="array" ref="H317">XLOOKUP(C317,'Master Data'!C:C,'Master Data'!G:G)</f>
        <v/>
      </c>
      <c r="I317" s="90" t="str">
        <f t="array" ref="I317">XLOOKUP(C317,'Master Data'!C:C,'Master Data'!H:H)</f>
        <v/>
      </c>
      <c r="J317" s="91" t="s">
        <v>12</v>
      </c>
      <c r="K317" s="92"/>
      <c r="L317" s="92"/>
      <c r="M317" s="23"/>
      <c r="N317" s="23"/>
      <c r="O317" s="23"/>
    </row>
    <row r="318">
      <c r="A318" s="93" t="str">
        <f t="array" ref="A318">XLOOKUP(C318,'TSR Initiation'!C:C,'TSR Initiation'!A:A)</f>
        <v/>
      </c>
      <c r="B318" s="95"/>
      <c r="C318" s="71" t="s">
        <v>12</v>
      </c>
      <c r="D318" s="88" t="str">
        <f t="array" ref="D318">XLOOKUP(C318,'Master Data'!C:C,'Master Data'!D:D)</f>
        <v/>
      </c>
      <c r="E318" s="71" t="str">
        <f t="array" ref="E318">XLOOKUP(C318,'TSR Initiation'!C:C,'TSR Initiation'!E:E)</f>
        <v/>
      </c>
      <c r="F318" s="88" t="str">
        <f t="array" ref="F318">XLOOKUP(C318,'Master Data'!C:C,'Master Data'!E:E)</f>
        <v/>
      </c>
      <c r="G318" s="89" t="str">
        <f t="array" ref="G318">XLOOKUP(C318,'Master Data'!C:C,'Master Data'!F:F)</f>
        <v/>
      </c>
      <c r="H318" s="89" t="str">
        <f t="array" ref="H318">XLOOKUP(C318,'Master Data'!C:C,'Master Data'!G:G)</f>
        <v/>
      </c>
      <c r="I318" s="90" t="str">
        <f t="array" ref="I318">XLOOKUP(C318,'Master Data'!C:C,'Master Data'!H:H)</f>
        <v/>
      </c>
      <c r="J318" s="91" t="s">
        <v>12</v>
      </c>
      <c r="K318" s="92"/>
      <c r="L318" s="92"/>
      <c r="M318" s="23"/>
      <c r="N318" s="23"/>
      <c r="O318" s="23"/>
    </row>
    <row r="319">
      <c r="A319" s="93" t="str">
        <f t="array" ref="A319">XLOOKUP(C319,'TSR Initiation'!C:C,'TSR Initiation'!A:A)</f>
        <v/>
      </c>
      <c r="B319" s="95"/>
      <c r="C319" s="71" t="s">
        <v>12</v>
      </c>
      <c r="D319" s="88" t="str">
        <f t="array" ref="D319">XLOOKUP(C319,'Master Data'!C:C,'Master Data'!D:D)</f>
        <v/>
      </c>
      <c r="E319" s="71" t="str">
        <f t="array" ref="E319">XLOOKUP(C319,'TSR Initiation'!C:C,'TSR Initiation'!E:E)</f>
        <v/>
      </c>
      <c r="F319" s="88" t="str">
        <f t="array" ref="F319">XLOOKUP(C319,'Master Data'!C:C,'Master Data'!E:E)</f>
        <v/>
      </c>
      <c r="G319" s="89" t="str">
        <f t="array" ref="G319">XLOOKUP(C319,'Master Data'!C:C,'Master Data'!F:F)</f>
        <v/>
      </c>
      <c r="H319" s="89" t="str">
        <f t="array" ref="H319">XLOOKUP(C319,'Master Data'!C:C,'Master Data'!G:G)</f>
        <v/>
      </c>
      <c r="I319" s="90" t="str">
        <f t="array" ref="I319">XLOOKUP(C319,'Master Data'!C:C,'Master Data'!H:H)</f>
        <v/>
      </c>
      <c r="J319" s="91" t="s">
        <v>12</v>
      </c>
      <c r="K319" s="92"/>
      <c r="L319" s="92"/>
      <c r="M319" s="23"/>
      <c r="N319" s="23"/>
      <c r="O319" s="23"/>
    </row>
    <row r="320">
      <c r="A320" s="93" t="str">
        <f t="array" ref="A320">XLOOKUP(C320,'TSR Initiation'!C:C,'TSR Initiation'!A:A)</f>
        <v/>
      </c>
      <c r="B320" s="95"/>
      <c r="C320" s="71" t="s">
        <v>12</v>
      </c>
      <c r="D320" s="88" t="str">
        <f t="array" ref="D320">XLOOKUP(C320,'Master Data'!C:C,'Master Data'!D:D)</f>
        <v/>
      </c>
      <c r="E320" s="71" t="str">
        <f t="array" ref="E320">XLOOKUP(C320,'TSR Initiation'!C:C,'TSR Initiation'!E:E)</f>
        <v/>
      </c>
      <c r="F320" s="88" t="str">
        <f t="array" ref="F320">XLOOKUP(C320,'Master Data'!C:C,'Master Data'!E:E)</f>
        <v/>
      </c>
      <c r="G320" s="89" t="str">
        <f t="array" ref="G320">XLOOKUP(C320,'Master Data'!C:C,'Master Data'!F:F)</f>
        <v/>
      </c>
      <c r="H320" s="89" t="str">
        <f t="array" ref="H320">XLOOKUP(C320,'Master Data'!C:C,'Master Data'!G:G)</f>
        <v/>
      </c>
      <c r="I320" s="90" t="str">
        <f t="array" ref="I320">XLOOKUP(C320,'Master Data'!C:C,'Master Data'!H:H)</f>
        <v/>
      </c>
      <c r="J320" s="91" t="s">
        <v>12</v>
      </c>
      <c r="K320" s="92"/>
      <c r="L320" s="92"/>
      <c r="M320" s="23"/>
      <c r="N320" s="23"/>
      <c r="O320" s="23"/>
    </row>
    <row r="321">
      <c r="A321" s="93" t="str">
        <f t="array" ref="A321">XLOOKUP(C321,'TSR Initiation'!C:C,'TSR Initiation'!A:A)</f>
        <v/>
      </c>
      <c r="B321" s="95"/>
      <c r="C321" s="71" t="s">
        <v>12</v>
      </c>
      <c r="D321" s="88" t="str">
        <f t="array" ref="D321">XLOOKUP(C321,'Master Data'!C:C,'Master Data'!D:D)</f>
        <v/>
      </c>
      <c r="E321" s="71" t="str">
        <f t="array" ref="E321">XLOOKUP(C321,'TSR Initiation'!C:C,'TSR Initiation'!E:E)</f>
        <v/>
      </c>
      <c r="F321" s="88" t="str">
        <f t="array" ref="F321">XLOOKUP(C321,'Master Data'!C:C,'Master Data'!E:E)</f>
        <v/>
      </c>
      <c r="G321" s="89" t="str">
        <f t="array" ref="G321">XLOOKUP(C321,'Master Data'!C:C,'Master Data'!F:F)</f>
        <v/>
      </c>
      <c r="H321" s="89" t="str">
        <f t="array" ref="H321">XLOOKUP(C321,'Master Data'!C:C,'Master Data'!G:G)</f>
        <v/>
      </c>
      <c r="I321" s="90" t="str">
        <f t="array" ref="I321">XLOOKUP(C321,'Master Data'!C:C,'Master Data'!H:H)</f>
        <v/>
      </c>
      <c r="J321" s="91" t="s">
        <v>12</v>
      </c>
      <c r="K321" s="92"/>
      <c r="L321" s="92"/>
      <c r="M321" s="23"/>
      <c r="N321" s="23"/>
      <c r="O321" s="23"/>
    </row>
    <row r="322">
      <c r="A322" s="93" t="str">
        <f t="array" ref="A322">XLOOKUP(C322,'TSR Initiation'!C:C,'TSR Initiation'!A:A)</f>
        <v/>
      </c>
      <c r="B322" s="95"/>
      <c r="C322" s="71" t="s">
        <v>12</v>
      </c>
      <c r="D322" s="88" t="str">
        <f t="array" ref="D322">XLOOKUP(C322,'Master Data'!C:C,'Master Data'!D:D)</f>
        <v/>
      </c>
      <c r="E322" s="71" t="str">
        <f t="array" ref="E322">XLOOKUP(C322,'TSR Initiation'!C:C,'TSR Initiation'!E:E)</f>
        <v/>
      </c>
      <c r="F322" s="88" t="str">
        <f t="array" ref="F322">XLOOKUP(C322,'Master Data'!C:C,'Master Data'!E:E)</f>
        <v/>
      </c>
      <c r="G322" s="89" t="str">
        <f t="array" ref="G322">XLOOKUP(C322,'Master Data'!C:C,'Master Data'!F:F)</f>
        <v/>
      </c>
      <c r="H322" s="89" t="str">
        <f t="array" ref="H322">XLOOKUP(C322,'Master Data'!C:C,'Master Data'!G:G)</f>
        <v/>
      </c>
      <c r="I322" s="90" t="str">
        <f t="array" ref="I322">XLOOKUP(C322,'Master Data'!C:C,'Master Data'!H:H)</f>
        <v/>
      </c>
      <c r="J322" s="91" t="s">
        <v>12</v>
      </c>
      <c r="K322" s="92"/>
      <c r="L322" s="92"/>
      <c r="M322" s="23"/>
      <c r="N322" s="23"/>
      <c r="O322" s="23"/>
    </row>
    <row r="323">
      <c r="A323" s="93" t="str">
        <f t="array" ref="A323">XLOOKUP(C323,'TSR Initiation'!C:C,'TSR Initiation'!A:A)</f>
        <v/>
      </c>
      <c r="B323" s="95"/>
      <c r="C323" s="71" t="s">
        <v>12</v>
      </c>
      <c r="D323" s="88" t="str">
        <f t="array" ref="D323">XLOOKUP(C323,'Master Data'!C:C,'Master Data'!D:D)</f>
        <v/>
      </c>
      <c r="E323" s="71" t="str">
        <f t="array" ref="E323">XLOOKUP(C323,'TSR Initiation'!C:C,'TSR Initiation'!E:E)</f>
        <v/>
      </c>
      <c r="F323" s="88" t="str">
        <f t="array" ref="F323">XLOOKUP(C323,'Master Data'!C:C,'Master Data'!E:E)</f>
        <v/>
      </c>
      <c r="G323" s="89" t="str">
        <f t="array" ref="G323">XLOOKUP(C323,'Master Data'!C:C,'Master Data'!F:F)</f>
        <v/>
      </c>
      <c r="H323" s="89" t="str">
        <f t="array" ref="H323">XLOOKUP(C323,'Master Data'!C:C,'Master Data'!G:G)</f>
        <v/>
      </c>
      <c r="I323" s="90" t="str">
        <f t="array" ref="I323">XLOOKUP(C323,'Master Data'!C:C,'Master Data'!H:H)</f>
        <v/>
      </c>
      <c r="J323" s="91" t="s">
        <v>12</v>
      </c>
      <c r="K323" s="92"/>
      <c r="L323" s="92"/>
      <c r="M323" s="23"/>
      <c r="N323" s="23"/>
      <c r="O323" s="23"/>
    </row>
    <row r="324">
      <c r="A324" s="93" t="str">
        <f t="array" ref="A324">XLOOKUP(C324,'TSR Initiation'!C:C,'TSR Initiation'!A:A)</f>
        <v/>
      </c>
      <c r="B324" s="95"/>
      <c r="C324" s="71" t="s">
        <v>12</v>
      </c>
      <c r="D324" s="88" t="str">
        <f t="array" ref="D324">XLOOKUP(C324,'Master Data'!C:C,'Master Data'!D:D)</f>
        <v/>
      </c>
      <c r="E324" s="71" t="str">
        <f t="array" ref="E324">XLOOKUP(C324,'TSR Initiation'!C:C,'TSR Initiation'!E:E)</f>
        <v/>
      </c>
      <c r="F324" s="88" t="str">
        <f t="array" ref="F324">XLOOKUP(C324,'Master Data'!C:C,'Master Data'!E:E)</f>
        <v/>
      </c>
      <c r="G324" s="89" t="str">
        <f t="array" ref="G324">XLOOKUP(C324,'Master Data'!C:C,'Master Data'!F:F)</f>
        <v/>
      </c>
      <c r="H324" s="89" t="str">
        <f t="array" ref="H324">XLOOKUP(C324,'Master Data'!C:C,'Master Data'!G:G)</f>
        <v/>
      </c>
      <c r="I324" s="90" t="str">
        <f t="array" ref="I324">XLOOKUP(C324,'Master Data'!C:C,'Master Data'!H:H)</f>
        <v/>
      </c>
      <c r="J324" s="91" t="s">
        <v>12</v>
      </c>
      <c r="K324" s="92"/>
      <c r="L324" s="92"/>
      <c r="M324" s="23"/>
      <c r="N324" s="23"/>
      <c r="O324" s="23"/>
    </row>
    <row r="325">
      <c r="A325" s="93" t="str">
        <f t="array" ref="A325">XLOOKUP(C325,'TSR Initiation'!C:C,'TSR Initiation'!A:A)</f>
        <v/>
      </c>
      <c r="B325" s="95"/>
      <c r="C325" s="71" t="s">
        <v>12</v>
      </c>
      <c r="D325" s="88" t="str">
        <f t="array" ref="D325">XLOOKUP(C325,'Master Data'!C:C,'Master Data'!D:D)</f>
        <v/>
      </c>
      <c r="E325" s="71" t="str">
        <f t="array" ref="E325">XLOOKUP(C325,'TSR Initiation'!C:C,'TSR Initiation'!E:E)</f>
        <v/>
      </c>
      <c r="F325" s="88" t="str">
        <f t="array" ref="F325">XLOOKUP(C325,'Master Data'!C:C,'Master Data'!E:E)</f>
        <v/>
      </c>
      <c r="G325" s="89" t="str">
        <f t="array" ref="G325">XLOOKUP(C325,'Master Data'!C:C,'Master Data'!F:F)</f>
        <v/>
      </c>
      <c r="H325" s="89" t="str">
        <f t="array" ref="H325">XLOOKUP(C325,'Master Data'!C:C,'Master Data'!G:G)</f>
        <v/>
      </c>
      <c r="I325" s="90" t="str">
        <f t="array" ref="I325">XLOOKUP(C325,'Master Data'!C:C,'Master Data'!H:H)</f>
        <v/>
      </c>
      <c r="J325" s="91" t="s">
        <v>12</v>
      </c>
      <c r="K325" s="92"/>
      <c r="L325" s="92"/>
      <c r="M325" s="23"/>
      <c r="N325" s="23"/>
      <c r="O325" s="23"/>
    </row>
    <row r="326">
      <c r="A326" s="93" t="str">
        <f t="array" ref="A326">XLOOKUP(C326,'TSR Initiation'!C:C,'TSR Initiation'!A:A)</f>
        <v/>
      </c>
      <c r="B326" s="95"/>
      <c r="C326" s="71" t="s">
        <v>12</v>
      </c>
      <c r="D326" s="88" t="str">
        <f t="array" ref="D326">XLOOKUP(C326,'Master Data'!C:C,'Master Data'!D:D)</f>
        <v/>
      </c>
      <c r="E326" s="71" t="str">
        <f t="array" ref="E326">XLOOKUP(C326,'TSR Initiation'!C:C,'TSR Initiation'!E:E)</f>
        <v/>
      </c>
      <c r="F326" s="88" t="str">
        <f t="array" ref="F326">XLOOKUP(C326,'Master Data'!C:C,'Master Data'!E:E)</f>
        <v/>
      </c>
      <c r="G326" s="89" t="str">
        <f t="array" ref="G326">XLOOKUP(C326,'Master Data'!C:C,'Master Data'!F:F)</f>
        <v/>
      </c>
      <c r="H326" s="89" t="str">
        <f t="array" ref="H326">XLOOKUP(C326,'Master Data'!C:C,'Master Data'!G:G)</f>
        <v/>
      </c>
      <c r="I326" s="90" t="str">
        <f t="array" ref="I326">XLOOKUP(C326,'Master Data'!C:C,'Master Data'!H:H)</f>
        <v/>
      </c>
      <c r="J326" s="91" t="s">
        <v>12</v>
      </c>
      <c r="K326" s="92"/>
      <c r="L326" s="92"/>
      <c r="M326" s="23"/>
      <c r="N326" s="23"/>
      <c r="O326" s="23"/>
    </row>
    <row r="327">
      <c r="A327" s="93" t="str">
        <f t="array" ref="A327">XLOOKUP(C327,'TSR Initiation'!C:C,'TSR Initiation'!A:A)</f>
        <v/>
      </c>
      <c r="B327" s="95"/>
      <c r="C327" s="71" t="s">
        <v>12</v>
      </c>
      <c r="D327" s="88" t="str">
        <f t="array" ref="D327">XLOOKUP(C327,'Master Data'!C:C,'Master Data'!D:D)</f>
        <v/>
      </c>
      <c r="E327" s="71" t="str">
        <f t="array" ref="E327">XLOOKUP(C327,'TSR Initiation'!C:C,'TSR Initiation'!E:E)</f>
        <v/>
      </c>
      <c r="F327" s="88" t="str">
        <f t="array" ref="F327">XLOOKUP(C327,'Master Data'!C:C,'Master Data'!E:E)</f>
        <v/>
      </c>
      <c r="G327" s="89" t="str">
        <f t="array" ref="G327">XLOOKUP(C327,'Master Data'!C:C,'Master Data'!F:F)</f>
        <v/>
      </c>
      <c r="H327" s="89" t="str">
        <f t="array" ref="H327">XLOOKUP(C327,'Master Data'!C:C,'Master Data'!G:G)</f>
        <v/>
      </c>
      <c r="I327" s="90" t="str">
        <f t="array" ref="I327">XLOOKUP(C327,'Master Data'!C:C,'Master Data'!H:H)</f>
        <v/>
      </c>
      <c r="J327" s="91" t="s">
        <v>12</v>
      </c>
      <c r="K327" s="92"/>
      <c r="L327" s="92"/>
      <c r="M327" s="23"/>
      <c r="N327" s="23"/>
      <c r="O327" s="23"/>
    </row>
    <row r="328">
      <c r="A328" s="93" t="str">
        <f t="array" ref="A328">XLOOKUP(C328,'TSR Initiation'!C:C,'TSR Initiation'!A:A)</f>
        <v/>
      </c>
      <c r="B328" s="95"/>
      <c r="C328" s="71" t="s">
        <v>12</v>
      </c>
      <c r="D328" s="88" t="str">
        <f t="array" ref="D328">XLOOKUP(C328,'Master Data'!C:C,'Master Data'!D:D)</f>
        <v/>
      </c>
      <c r="E328" s="71" t="str">
        <f t="array" ref="E328">XLOOKUP(C328,'TSR Initiation'!C:C,'TSR Initiation'!E:E)</f>
        <v/>
      </c>
      <c r="F328" s="88" t="str">
        <f t="array" ref="F328">XLOOKUP(C328,'Master Data'!C:C,'Master Data'!E:E)</f>
        <v/>
      </c>
      <c r="G328" s="89" t="str">
        <f t="array" ref="G328">XLOOKUP(C328,'Master Data'!C:C,'Master Data'!F:F)</f>
        <v/>
      </c>
      <c r="H328" s="89" t="str">
        <f t="array" ref="H328">XLOOKUP(C328,'Master Data'!C:C,'Master Data'!G:G)</f>
        <v/>
      </c>
      <c r="I328" s="90" t="str">
        <f t="array" ref="I328">XLOOKUP(C328,'Master Data'!C:C,'Master Data'!H:H)</f>
        <v/>
      </c>
      <c r="J328" s="91" t="s">
        <v>12</v>
      </c>
      <c r="K328" s="92"/>
      <c r="L328" s="92"/>
      <c r="M328" s="23"/>
      <c r="N328" s="23"/>
      <c r="O328" s="23"/>
    </row>
    <row r="329">
      <c r="A329" s="93" t="str">
        <f t="array" ref="A329">XLOOKUP(C329,'TSR Initiation'!C:C,'TSR Initiation'!A:A)</f>
        <v/>
      </c>
      <c r="B329" s="95"/>
      <c r="C329" s="71" t="s">
        <v>12</v>
      </c>
      <c r="D329" s="88" t="str">
        <f t="array" ref="D329">XLOOKUP(C329,'Master Data'!C:C,'Master Data'!D:D)</f>
        <v/>
      </c>
      <c r="E329" s="71" t="str">
        <f t="array" ref="E329">XLOOKUP(C329,'TSR Initiation'!C:C,'TSR Initiation'!E:E)</f>
        <v/>
      </c>
      <c r="F329" s="88" t="str">
        <f t="array" ref="F329">XLOOKUP(C329,'Master Data'!C:C,'Master Data'!E:E)</f>
        <v/>
      </c>
      <c r="G329" s="89" t="str">
        <f t="array" ref="G329">XLOOKUP(C329,'Master Data'!C:C,'Master Data'!F:F)</f>
        <v/>
      </c>
      <c r="H329" s="89" t="str">
        <f t="array" ref="H329">XLOOKUP(C329,'Master Data'!C:C,'Master Data'!G:G)</f>
        <v/>
      </c>
      <c r="I329" s="90" t="str">
        <f t="array" ref="I329">XLOOKUP(C329,'Master Data'!C:C,'Master Data'!H:H)</f>
        <v/>
      </c>
      <c r="J329" s="91" t="s">
        <v>12</v>
      </c>
      <c r="K329" s="92"/>
      <c r="L329" s="92"/>
      <c r="M329" s="23"/>
      <c r="N329" s="23"/>
      <c r="O329" s="23"/>
    </row>
    <row r="330">
      <c r="A330" s="93" t="str">
        <f t="array" ref="A330">XLOOKUP(C330,'TSR Initiation'!C:C,'TSR Initiation'!A:A)</f>
        <v/>
      </c>
      <c r="B330" s="95"/>
      <c r="C330" s="71" t="s">
        <v>12</v>
      </c>
      <c r="D330" s="88" t="str">
        <f t="array" ref="D330">XLOOKUP(C330,'Master Data'!C:C,'Master Data'!D:D)</f>
        <v/>
      </c>
      <c r="E330" s="71" t="str">
        <f t="array" ref="E330">XLOOKUP(C330,'TSR Initiation'!C:C,'TSR Initiation'!E:E)</f>
        <v/>
      </c>
      <c r="F330" s="88" t="str">
        <f t="array" ref="F330">XLOOKUP(C330,'Master Data'!C:C,'Master Data'!E:E)</f>
        <v/>
      </c>
      <c r="G330" s="89" t="str">
        <f t="array" ref="G330">XLOOKUP(C330,'Master Data'!C:C,'Master Data'!F:F)</f>
        <v/>
      </c>
      <c r="H330" s="89" t="str">
        <f t="array" ref="H330">XLOOKUP(C330,'Master Data'!C:C,'Master Data'!G:G)</f>
        <v/>
      </c>
      <c r="I330" s="90" t="str">
        <f t="array" ref="I330">XLOOKUP(C330,'Master Data'!C:C,'Master Data'!H:H)</f>
        <v/>
      </c>
      <c r="J330" s="91" t="s">
        <v>12</v>
      </c>
      <c r="K330" s="92"/>
      <c r="L330" s="92"/>
      <c r="M330" s="23"/>
      <c r="N330" s="23"/>
      <c r="O330" s="23"/>
    </row>
    <row r="331">
      <c r="A331" s="93" t="str">
        <f t="array" ref="A331">XLOOKUP(C331,'TSR Initiation'!C:C,'TSR Initiation'!A:A)</f>
        <v/>
      </c>
      <c r="B331" s="95"/>
      <c r="C331" s="71" t="s">
        <v>12</v>
      </c>
      <c r="D331" s="88" t="str">
        <f t="array" ref="D331">XLOOKUP(C331,'Master Data'!C:C,'Master Data'!D:D)</f>
        <v/>
      </c>
      <c r="E331" s="71" t="str">
        <f t="array" ref="E331">XLOOKUP(C331,'TSR Initiation'!C:C,'TSR Initiation'!E:E)</f>
        <v/>
      </c>
      <c r="F331" s="88" t="str">
        <f t="array" ref="F331">XLOOKUP(C331,'Master Data'!C:C,'Master Data'!E:E)</f>
        <v/>
      </c>
      <c r="G331" s="89" t="str">
        <f t="array" ref="G331">XLOOKUP(C331,'Master Data'!C:C,'Master Data'!F:F)</f>
        <v/>
      </c>
      <c r="H331" s="89" t="str">
        <f t="array" ref="H331">XLOOKUP(C331,'Master Data'!C:C,'Master Data'!G:G)</f>
        <v/>
      </c>
      <c r="I331" s="90" t="str">
        <f t="array" ref="I331">XLOOKUP(C331,'Master Data'!C:C,'Master Data'!H:H)</f>
        <v/>
      </c>
      <c r="J331" s="91" t="s">
        <v>12</v>
      </c>
      <c r="K331" s="92"/>
      <c r="L331" s="92"/>
      <c r="M331" s="23"/>
      <c r="N331" s="23"/>
      <c r="O331" s="23"/>
    </row>
    <row r="332">
      <c r="A332" s="93" t="str">
        <f t="array" ref="A332">XLOOKUP(C332,'TSR Initiation'!C:C,'TSR Initiation'!A:A)</f>
        <v/>
      </c>
      <c r="B332" s="95"/>
      <c r="C332" s="71" t="s">
        <v>12</v>
      </c>
      <c r="D332" s="88" t="str">
        <f t="array" ref="D332">XLOOKUP(C332,'Master Data'!C:C,'Master Data'!D:D)</f>
        <v/>
      </c>
      <c r="E332" s="71" t="str">
        <f t="array" ref="E332">XLOOKUP(C332,'TSR Initiation'!C:C,'TSR Initiation'!E:E)</f>
        <v/>
      </c>
      <c r="F332" s="88" t="str">
        <f t="array" ref="F332">XLOOKUP(C332,'Master Data'!C:C,'Master Data'!E:E)</f>
        <v/>
      </c>
      <c r="G332" s="89" t="str">
        <f t="array" ref="G332">XLOOKUP(C332,'Master Data'!C:C,'Master Data'!F:F)</f>
        <v/>
      </c>
      <c r="H332" s="89" t="str">
        <f t="array" ref="H332">XLOOKUP(C332,'Master Data'!C:C,'Master Data'!G:G)</f>
        <v/>
      </c>
      <c r="I332" s="90" t="str">
        <f t="array" ref="I332">XLOOKUP(C332,'Master Data'!C:C,'Master Data'!H:H)</f>
        <v/>
      </c>
      <c r="J332" s="91" t="s">
        <v>12</v>
      </c>
      <c r="K332" s="92"/>
      <c r="L332" s="92"/>
      <c r="M332" s="23"/>
      <c r="N332" s="23"/>
      <c r="O332" s="23"/>
    </row>
    <row r="333">
      <c r="A333" s="93" t="str">
        <f t="array" ref="A333">XLOOKUP(C333,'TSR Initiation'!C:C,'TSR Initiation'!A:A)</f>
        <v/>
      </c>
      <c r="B333" s="95"/>
      <c r="C333" s="71" t="s">
        <v>12</v>
      </c>
      <c r="D333" s="88" t="str">
        <f t="array" ref="D333">XLOOKUP(C333,'Master Data'!C:C,'Master Data'!D:D)</f>
        <v/>
      </c>
      <c r="E333" s="71" t="str">
        <f t="array" ref="E333">XLOOKUP(C333,'TSR Initiation'!C:C,'TSR Initiation'!E:E)</f>
        <v/>
      </c>
      <c r="F333" s="88" t="str">
        <f t="array" ref="F333">XLOOKUP(C333,'Master Data'!C:C,'Master Data'!E:E)</f>
        <v/>
      </c>
      <c r="G333" s="89" t="str">
        <f t="array" ref="G333">XLOOKUP(C333,'Master Data'!C:C,'Master Data'!F:F)</f>
        <v/>
      </c>
      <c r="H333" s="89" t="str">
        <f t="array" ref="H333">XLOOKUP(C333,'Master Data'!C:C,'Master Data'!G:G)</f>
        <v/>
      </c>
      <c r="I333" s="90" t="str">
        <f t="array" ref="I333">XLOOKUP(C333,'Master Data'!C:C,'Master Data'!H:H)</f>
        <v/>
      </c>
      <c r="J333" s="91" t="s">
        <v>12</v>
      </c>
      <c r="K333" s="92"/>
      <c r="L333" s="92"/>
      <c r="M333" s="23"/>
      <c r="N333" s="23"/>
      <c r="O333" s="23"/>
    </row>
    <row r="334">
      <c r="A334" s="93" t="str">
        <f t="array" ref="A334">XLOOKUP(C334,'TSR Initiation'!C:C,'TSR Initiation'!A:A)</f>
        <v/>
      </c>
      <c r="B334" s="95"/>
      <c r="C334" s="71" t="s">
        <v>12</v>
      </c>
      <c r="D334" s="88" t="str">
        <f t="array" ref="D334">XLOOKUP(C334,'Master Data'!C:C,'Master Data'!D:D)</f>
        <v/>
      </c>
      <c r="E334" s="71" t="str">
        <f t="array" ref="E334">XLOOKUP(C334,'TSR Initiation'!C:C,'TSR Initiation'!E:E)</f>
        <v/>
      </c>
      <c r="F334" s="88" t="str">
        <f t="array" ref="F334">XLOOKUP(C334,'Master Data'!C:C,'Master Data'!E:E)</f>
        <v/>
      </c>
      <c r="G334" s="89" t="str">
        <f t="array" ref="G334">XLOOKUP(C334,'Master Data'!C:C,'Master Data'!F:F)</f>
        <v/>
      </c>
      <c r="H334" s="89" t="str">
        <f t="array" ref="H334">XLOOKUP(C334,'Master Data'!C:C,'Master Data'!G:G)</f>
        <v/>
      </c>
      <c r="I334" s="90" t="str">
        <f t="array" ref="I334">XLOOKUP(C334,'Master Data'!C:C,'Master Data'!H:H)</f>
        <v/>
      </c>
      <c r="J334" s="91" t="s">
        <v>12</v>
      </c>
      <c r="K334" s="92"/>
      <c r="L334" s="92"/>
      <c r="M334" s="23"/>
      <c r="N334" s="23"/>
      <c r="O334" s="23"/>
    </row>
    <row r="335">
      <c r="A335" s="93" t="str">
        <f t="array" ref="A335">XLOOKUP(C335,'TSR Initiation'!C:C,'TSR Initiation'!A:A)</f>
        <v/>
      </c>
      <c r="B335" s="95"/>
      <c r="C335" s="71" t="s">
        <v>12</v>
      </c>
      <c r="D335" s="88" t="str">
        <f t="array" ref="D335">XLOOKUP(C335,'Master Data'!C:C,'Master Data'!D:D)</f>
        <v/>
      </c>
      <c r="E335" s="71" t="str">
        <f t="array" ref="E335">XLOOKUP(C335,'TSR Initiation'!C:C,'TSR Initiation'!E:E)</f>
        <v/>
      </c>
      <c r="F335" s="88" t="str">
        <f t="array" ref="F335">XLOOKUP(C335,'Master Data'!C:C,'Master Data'!E:E)</f>
        <v/>
      </c>
      <c r="G335" s="89" t="str">
        <f t="array" ref="G335">XLOOKUP(C335,'Master Data'!C:C,'Master Data'!F:F)</f>
        <v/>
      </c>
      <c r="H335" s="89" t="str">
        <f t="array" ref="H335">XLOOKUP(C335,'Master Data'!C:C,'Master Data'!G:G)</f>
        <v/>
      </c>
      <c r="I335" s="90" t="str">
        <f t="array" ref="I335">XLOOKUP(C335,'Master Data'!C:C,'Master Data'!H:H)</f>
        <v/>
      </c>
      <c r="J335" s="91" t="s">
        <v>12</v>
      </c>
      <c r="K335" s="92"/>
      <c r="L335" s="92"/>
      <c r="M335" s="23"/>
      <c r="N335" s="23"/>
      <c r="O335" s="23"/>
    </row>
    <row r="336">
      <c r="A336" s="93" t="str">
        <f t="array" ref="A336">XLOOKUP(C336,'TSR Initiation'!C:C,'TSR Initiation'!A:A)</f>
        <v/>
      </c>
      <c r="B336" s="95"/>
      <c r="C336" s="71" t="s">
        <v>12</v>
      </c>
      <c r="D336" s="88" t="str">
        <f t="array" ref="D336">XLOOKUP(C336,'Master Data'!C:C,'Master Data'!D:D)</f>
        <v/>
      </c>
      <c r="E336" s="71" t="str">
        <f t="array" ref="E336">XLOOKUP(C336,'TSR Initiation'!C:C,'TSR Initiation'!E:E)</f>
        <v/>
      </c>
      <c r="F336" s="88" t="str">
        <f t="array" ref="F336">XLOOKUP(C336,'Master Data'!C:C,'Master Data'!E:E)</f>
        <v/>
      </c>
      <c r="G336" s="89" t="str">
        <f t="array" ref="G336">XLOOKUP(C336,'Master Data'!C:C,'Master Data'!F:F)</f>
        <v/>
      </c>
      <c r="H336" s="89" t="str">
        <f t="array" ref="H336">XLOOKUP(C336,'Master Data'!C:C,'Master Data'!G:G)</f>
        <v/>
      </c>
      <c r="I336" s="90" t="str">
        <f t="array" ref="I336">XLOOKUP(C336,'Master Data'!C:C,'Master Data'!H:H)</f>
        <v/>
      </c>
      <c r="J336" s="91" t="s">
        <v>12</v>
      </c>
      <c r="K336" s="92"/>
      <c r="L336" s="92"/>
      <c r="M336" s="23"/>
      <c r="N336" s="23"/>
      <c r="O336" s="23"/>
    </row>
    <row r="337">
      <c r="A337" s="93" t="str">
        <f t="array" ref="A337">XLOOKUP(C337,'TSR Initiation'!C:C,'TSR Initiation'!A:A)</f>
        <v/>
      </c>
      <c r="B337" s="95"/>
      <c r="C337" s="71" t="s">
        <v>12</v>
      </c>
      <c r="D337" s="88" t="str">
        <f t="array" ref="D337">XLOOKUP(C337,'Master Data'!C:C,'Master Data'!D:D)</f>
        <v/>
      </c>
      <c r="E337" s="71" t="str">
        <f t="array" ref="E337">XLOOKUP(C337,'TSR Initiation'!C:C,'TSR Initiation'!E:E)</f>
        <v/>
      </c>
      <c r="F337" s="88" t="str">
        <f t="array" ref="F337">XLOOKUP(C337,'Master Data'!C:C,'Master Data'!E:E)</f>
        <v/>
      </c>
      <c r="G337" s="89" t="str">
        <f t="array" ref="G337">XLOOKUP(C337,'Master Data'!C:C,'Master Data'!F:F)</f>
        <v/>
      </c>
      <c r="H337" s="89" t="str">
        <f t="array" ref="H337">XLOOKUP(C337,'Master Data'!C:C,'Master Data'!G:G)</f>
        <v/>
      </c>
      <c r="I337" s="90" t="str">
        <f t="array" ref="I337">XLOOKUP(C337,'Master Data'!C:C,'Master Data'!H:H)</f>
        <v/>
      </c>
      <c r="J337" s="91" t="s">
        <v>12</v>
      </c>
      <c r="K337" s="92"/>
      <c r="L337" s="92"/>
      <c r="M337" s="23"/>
      <c r="N337" s="23"/>
      <c r="O337" s="23"/>
    </row>
    <row r="338">
      <c r="A338" s="93" t="str">
        <f t="array" ref="A338">XLOOKUP(C338,'TSR Initiation'!C:C,'TSR Initiation'!A:A)</f>
        <v/>
      </c>
      <c r="B338" s="95"/>
      <c r="C338" s="71" t="s">
        <v>12</v>
      </c>
      <c r="D338" s="88" t="str">
        <f t="array" ref="D338">XLOOKUP(C338,'Master Data'!C:C,'Master Data'!D:D)</f>
        <v/>
      </c>
      <c r="E338" s="71" t="str">
        <f t="array" ref="E338">XLOOKUP(C338,'TSR Initiation'!C:C,'TSR Initiation'!E:E)</f>
        <v/>
      </c>
      <c r="F338" s="88" t="str">
        <f t="array" ref="F338">XLOOKUP(C338,'Master Data'!C:C,'Master Data'!E:E)</f>
        <v/>
      </c>
      <c r="G338" s="89" t="str">
        <f t="array" ref="G338">XLOOKUP(C338,'Master Data'!C:C,'Master Data'!F:F)</f>
        <v/>
      </c>
      <c r="H338" s="89" t="str">
        <f t="array" ref="H338">XLOOKUP(C338,'Master Data'!C:C,'Master Data'!G:G)</f>
        <v/>
      </c>
      <c r="I338" s="90" t="str">
        <f t="array" ref="I338">XLOOKUP(C338,'Master Data'!C:C,'Master Data'!H:H)</f>
        <v/>
      </c>
      <c r="J338" s="91" t="s">
        <v>12</v>
      </c>
      <c r="K338" s="92"/>
      <c r="L338" s="92"/>
      <c r="M338" s="23"/>
      <c r="N338" s="23"/>
      <c r="O338" s="23"/>
    </row>
    <row r="339">
      <c r="A339" s="93" t="str">
        <f t="array" ref="A339">XLOOKUP(C339,'TSR Initiation'!C:C,'TSR Initiation'!A:A)</f>
        <v/>
      </c>
      <c r="B339" s="95"/>
      <c r="C339" s="71" t="s">
        <v>12</v>
      </c>
      <c r="D339" s="88" t="str">
        <f t="array" ref="D339">XLOOKUP(C339,'Master Data'!C:C,'Master Data'!D:D)</f>
        <v/>
      </c>
      <c r="E339" s="71" t="str">
        <f t="array" ref="E339">XLOOKUP(C339,'TSR Initiation'!C:C,'TSR Initiation'!E:E)</f>
        <v/>
      </c>
      <c r="F339" s="88" t="str">
        <f t="array" ref="F339">XLOOKUP(C339,'Master Data'!C:C,'Master Data'!E:E)</f>
        <v/>
      </c>
      <c r="G339" s="89" t="str">
        <f t="array" ref="G339">XLOOKUP(C339,'Master Data'!C:C,'Master Data'!F:F)</f>
        <v/>
      </c>
      <c r="H339" s="89" t="str">
        <f t="array" ref="H339">XLOOKUP(C339,'Master Data'!C:C,'Master Data'!G:G)</f>
        <v/>
      </c>
      <c r="I339" s="90" t="str">
        <f t="array" ref="I339">XLOOKUP(C339,'Master Data'!C:C,'Master Data'!H:H)</f>
        <v/>
      </c>
      <c r="J339" s="91" t="s">
        <v>12</v>
      </c>
      <c r="K339" s="92"/>
      <c r="L339" s="92"/>
      <c r="M339" s="23"/>
      <c r="N339" s="23"/>
      <c r="O339" s="23"/>
    </row>
    <row r="340">
      <c r="A340" s="93" t="str">
        <f t="array" ref="A340">XLOOKUP(C340,'TSR Initiation'!C:C,'TSR Initiation'!A:A)</f>
        <v/>
      </c>
      <c r="B340" s="95"/>
      <c r="C340" s="71" t="s">
        <v>12</v>
      </c>
      <c r="D340" s="88" t="str">
        <f t="array" ref="D340">XLOOKUP(C340,'Master Data'!C:C,'Master Data'!D:D)</f>
        <v/>
      </c>
      <c r="E340" s="71" t="str">
        <f t="array" ref="E340">XLOOKUP(C340,'TSR Initiation'!C:C,'TSR Initiation'!E:E)</f>
        <v/>
      </c>
      <c r="F340" s="88" t="str">
        <f t="array" ref="F340">XLOOKUP(C340,'Master Data'!C:C,'Master Data'!E:E)</f>
        <v/>
      </c>
      <c r="G340" s="89" t="str">
        <f t="array" ref="G340">XLOOKUP(C340,'Master Data'!C:C,'Master Data'!F:F)</f>
        <v/>
      </c>
      <c r="H340" s="89" t="str">
        <f t="array" ref="H340">XLOOKUP(C340,'Master Data'!C:C,'Master Data'!G:G)</f>
        <v/>
      </c>
      <c r="I340" s="90" t="str">
        <f t="array" ref="I340">XLOOKUP(C340,'Master Data'!C:C,'Master Data'!H:H)</f>
        <v/>
      </c>
      <c r="J340" s="91" t="s">
        <v>12</v>
      </c>
      <c r="K340" s="92"/>
      <c r="L340" s="92"/>
      <c r="M340" s="23"/>
      <c r="N340" s="23"/>
      <c r="O340" s="23"/>
    </row>
    <row r="341">
      <c r="A341" s="93" t="str">
        <f t="array" ref="A341">XLOOKUP(C341,'TSR Initiation'!C:C,'TSR Initiation'!A:A)</f>
        <v/>
      </c>
      <c r="B341" s="95"/>
      <c r="C341" s="71" t="s">
        <v>12</v>
      </c>
      <c r="D341" s="88" t="str">
        <f t="array" ref="D341">XLOOKUP(C341,'Master Data'!C:C,'Master Data'!D:D)</f>
        <v/>
      </c>
      <c r="E341" s="71" t="str">
        <f t="array" ref="E341">XLOOKUP(C341,'TSR Initiation'!C:C,'TSR Initiation'!E:E)</f>
        <v/>
      </c>
      <c r="F341" s="88" t="str">
        <f t="array" ref="F341">XLOOKUP(C341,'Master Data'!C:C,'Master Data'!E:E)</f>
        <v/>
      </c>
      <c r="G341" s="89" t="str">
        <f t="array" ref="G341">XLOOKUP(C341,'Master Data'!C:C,'Master Data'!F:F)</f>
        <v/>
      </c>
      <c r="H341" s="89" t="str">
        <f t="array" ref="H341">XLOOKUP(C341,'Master Data'!C:C,'Master Data'!G:G)</f>
        <v/>
      </c>
      <c r="I341" s="90" t="str">
        <f t="array" ref="I341">XLOOKUP(C341,'Master Data'!C:C,'Master Data'!H:H)</f>
        <v/>
      </c>
      <c r="J341" s="91" t="s">
        <v>12</v>
      </c>
      <c r="K341" s="92"/>
      <c r="L341" s="92"/>
      <c r="M341" s="23"/>
      <c r="N341" s="23"/>
      <c r="O341" s="23"/>
    </row>
    <row r="342">
      <c r="A342" s="93" t="str">
        <f t="array" ref="A342">XLOOKUP(C342,'TSR Initiation'!C:C,'TSR Initiation'!A:A)</f>
        <v/>
      </c>
      <c r="B342" s="95"/>
      <c r="C342" s="71" t="s">
        <v>12</v>
      </c>
      <c r="D342" s="88" t="str">
        <f t="array" ref="D342">XLOOKUP(C342,'Master Data'!C:C,'Master Data'!D:D)</f>
        <v/>
      </c>
      <c r="E342" s="71" t="str">
        <f t="array" ref="E342">XLOOKUP(C342,'TSR Initiation'!C:C,'TSR Initiation'!E:E)</f>
        <v/>
      </c>
      <c r="F342" s="88" t="str">
        <f t="array" ref="F342">XLOOKUP(C342,'Master Data'!C:C,'Master Data'!E:E)</f>
        <v/>
      </c>
      <c r="G342" s="89" t="str">
        <f t="array" ref="G342">XLOOKUP(C342,'Master Data'!C:C,'Master Data'!F:F)</f>
        <v/>
      </c>
      <c r="H342" s="89" t="str">
        <f t="array" ref="H342">XLOOKUP(C342,'Master Data'!C:C,'Master Data'!G:G)</f>
        <v/>
      </c>
      <c r="I342" s="90" t="str">
        <f t="array" ref="I342">XLOOKUP(C342,'Master Data'!C:C,'Master Data'!H:H)</f>
        <v/>
      </c>
      <c r="J342" s="91" t="s">
        <v>12</v>
      </c>
      <c r="K342" s="92"/>
      <c r="L342" s="92"/>
      <c r="M342" s="23"/>
      <c r="N342" s="23"/>
      <c r="O342" s="23"/>
    </row>
    <row r="343">
      <c r="A343" s="93" t="str">
        <f t="array" ref="A343">XLOOKUP(C343,'TSR Initiation'!C:C,'TSR Initiation'!A:A)</f>
        <v/>
      </c>
      <c r="B343" s="95"/>
      <c r="C343" s="71" t="s">
        <v>12</v>
      </c>
      <c r="D343" s="88" t="str">
        <f t="array" ref="D343">XLOOKUP(C343,'Master Data'!C:C,'Master Data'!D:D)</f>
        <v/>
      </c>
      <c r="E343" s="71" t="str">
        <f t="array" ref="E343">XLOOKUP(C343,'TSR Initiation'!C:C,'TSR Initiation'!E:E)</f>
        <v/>
      </c>
      <c r="F343" s="88" t="str">
        <f t="array" ref="F343">XLOOKUP(C343,'Master Data'!C:C,'Master Data'!E:E)</f>
        <v/>
      </c>
      <c r="G343" s="89" t="str">
        <f t="array" ref="G343">XLOOKUP(C343,'Master Data'!C:C,'Master Data'!F:F)</f>
        <v/>
      </c>
      <c r="H343" s="89" t="str">
        <f t="array" ref="H343">XLOOKUP(C343,'Master Data'!C:C,'Master Data'!G:G)</f>
        <v/>
      </c>
      <c r="I343" s="90" t="str">
        <f t="array" ref="I343">XLOOKUP(C343,'Master Data'!C:C,'Master Data'!H:H)</f>
        <v/>
      </c>
      <c r="J343" s="91" t="s">
        <v>12</v>
      </c>
      <c r="K343" s="92"/>
      <c r="L343" s="92"/>
      <c r="M343" s="23"/>
      <c r="N343" s="23"/>
      <c r="O343" s="23"/>
    </row>
    <row r="344">
      <c r="A344" s="93" t="str">
        <f t="array" ref="A344">XLOOKUP(C344,'TSR Initiation'!C:C,'TSR Initiation'!A:A)</f>
        <v/>
      </c>
      <c r="B344" s="95"/>
      <c r="C344" s="71" t="s">
        <v>12</v>
      </c>
      <c r="D344" s="88" t="str">
        <f t="array" ref="D344">XLOOKUP(C344,'Master Data'!C:C,'Master Data'!D:D)</f>
        <v/>
      </c>
      <c r="E344" s="71" t="str">
        <f t="array" ref="E344">XLOOKUP(C344,'TSR Initiation'!C:C,'TSR Initiation'!E:E)</f>
        <v/>
      </c>
      <c r="F344" s="88" t="str">
        <f t="array" ref="F344">XLOOKUP(C344,'Master Data'!C:C,'Master Data'!E:E)</f>
        <v/>
      </c>
      <c r="G344" s="89" t="str">
        <f t="array" ref="G344">XLOOKUP(C344,'Master Data'!C:C,'Master Data'!F:F)</f>
        <v/>
      </c>
      <c r="H344" s="89" t="str">
        <f t="array" ref="H344">XLOOKUP(C344,'Master Data'!C:C,'Master Data'!G:G)</f>
        <v/>
      </c>
      <c r="I344" s="90" t="str">
        <f t="array" ref="I344">XLOOKUP(C344,'Master Data'!C:C,'Master Data'!H:H)</f>
        <v/>
      </c>
      <c r="J344" s="91" t="s">
        <v>12</v>
      </c>
      <c r="K344" s="92"/>
      <c r="L344" s="92"/>
      <c r="M344" s="23"/>
      <c r="N344" s="23"/>
      <c r="O344" s="23"/>
    </row>
    <row r="345">
      <c r="A345" s="93" t="str">
        <f t="array" ref="A345">XLOOKUP(C345,'TSR Initiation'!C:C,'TSR Initiation'!A:A)</f>
        <v/>
      </c>
      <c r="B345" s="95"/>
      <c r="C345" s="71" t="s">
        <v>12</v>
      </c>
      <c r="D345" s="88" t="str">
        <f t="array" ref="D345">XLOOKUP(C345,'Master Data'!C:C,'Master Data'!D:D)</f>
        <v/>
      </c>
      <c r="E345" s="71" t="str">
        <f t="array" ref="E345">XLOOKUP(C345,'TSR Initiation'!C:C,'TSR Initiation'!E:E)</f>
        <v/>
      </c>
      <c r="F345" s="88" t="str">
        <f t="array" ref="F345">XLOOKUP(C345,'Master Data'!C:C,'Master Data'!E:E)</f>
        <v/>
      </c>
      <c r="G345" s="89" t="str">
        <f t="array" ref="G345">XLOOKUP(C345,'Master Data'!C:C,'Master Data'!F:F)</f>
        <v/>
      </c>
      <c r="H345" s="89" t="str">
        <f t="array" ref="H345">XLOOKUP(C345,'Master Data'!C:C,'Master Data'!G:G)</f>
        <v/>
      </c>
      <c r="I345" s="90" t="str">
        <f t="array" ref="I345">XLOOKUP(C345,'Master Data'!C:C,'Master Data'!H:H)</f>
        <v/>
      </c>
      <c r="J345" s="91" t="s">
        <v>12</v>
      </c>
      <c r="K345" s="92"/>
      <c r="L345" s="92"/>
      <c r="M345" s="23"/>
      <c r="N345" s="23"/>
      <c r="O345" s="23"/>
    </row>
    <row r="346">
      <c r="A346" s="93" t="str">
        <f t="array" ref="A346">XLOOKUP(C346,'TSR Initiation'!C:C,'TSR Initiation'!A:A)</f>
        <v/>
      </c>
      <c r="B346" s="95"/>
      <c r="C346" s="71" t="s">
        <v>12</v>
      </c>
      <c r="D346" s="88" t="str">
        <f t="array" ref="D346">XLOOKUP(C346,'Master Data'!C:C,'Master Data'!D:D)</f>
        <v/>
      </c>
      <c r="E346" s="71" t="str">
        <f t="array" ref="E346">XLOOKUP(C346,'TSR Initiation'!C:C,'TSR Initiation'!E:E)</f>
        <v/>
      </c>
      <c r="F346" s="88" t="str">
        <f t="array" ref="F346">XLOOKUP(C346,'Master Data'!C:C,'Master Data'!E:E)</f>
        <v/>
      </c>
      <c r="G346" s="89" t="str">
        <f t="array" ref="G346">XLOOKUP(C346,'Master Data'!C:C,'Master Data'!F:F)</f>
        <v/>
      </c>
      <c r="H346" s="89" t="str">
        <f t="array" ref="H346">XLOOKUP(C346,'Master Data'!C:C,'Master Data'!G:G)</f>
        <v/>
      </c>
      <c r="I346" s="90" t="str">
        <f t="array" ref="I346">XLOOKUP(C346,'Master Data'!C:C,'Master Data'!H:H)</f>
        <v/>
      </c>
      <c r="J346" s="91" t="s">
        <v>12</v>
      </c>
      <c r="K346" s="92"/>
      <c r="L346" s="92"/>
      <c r="M346" s="23"/>
      <c r="N346" s="23"/>
      <c r="O346" s="23"/>
    </row>
    <row r="347">
      <c r="A347" s="93" t="str">
        <f t="array" ref="A347">XLOOKUP(C347,'TSR Initiation'!C:C,'TSR Initiation'!A:A)</f>
        <v/>
      </c>
      <c r="B347" s="95"/>
      <c r="C347" s="71" t="s">
        <v>12</v>
      </c>
      <c r="D347" s="88" t="str">
        <f t="array" ref="D347">XLOOKUP(C347,'Master Data'!C:C,'Master Data'!D:D)</f>
        <v/>
      </c>
      <c r="E347" s="71" t="str">
        <f t="array" ref="E347">XLOOKUP(C347,'TSR Initiation'!C:C,'TSR Initiation'!E:E)</f>
        <v/>
      </c>
      <c r="F347" s="88" t="str">
        <f t="array" ref="F347">XLOOKUP(C347,'Master Data'!C:C,'Master Data'!E:E)</f>
        <v/>
      </c>
      <c r="G347" s="89" t="str">
        <f t="array" ref="G347">XLOOKUP(C347,'Master Data'!C:C,'Master Data'!F:F)</f>
        <v/>
      </c>
      <c r="H347" s="89" t="str">
        <f t="array" ref="H347">XLOOKUP(C347,'Master Data'!C:C,'Master Data'!G:G)</f>
        <v/>
      </c>
      <c r="I347" s="90" t="str">
        <f t="array" ref="I347">XLOOKUP(C347,'Master Data'!C:C,'Master Data'!H:H)</f>
        <v/>
      </c>
      <c r="J347" s="91" t="s">
        <v>12</v>
      </c>
      <c r="K347" s="92"/>
      <c r="L347" s="92"/>
      <c r="M347" s="23"/>
      <c r="N347" s="23"/>
      <c r="O347" s="23"/>
    </row>
    <row r="348">
      <c r="A348" s="93" t="str">
        <f t="array" ref="A348">XLOOKUP(C348,'TSR Initiation'!C:C,'TSR Initiation'!A:A)</f>
        <v/>
      </c>
      <c r="B348" s="95"/>
      <c r="C348" s="71" t="s">
        <v>12</v>
      </c>
      <c r="D348" s="88" t="str">
        <f t="array" ref="D348">XLOOKUP(C348,'Master Data'!C:C,'Master Data'!D:D)</f>
        <v/>
      </c>
      <c r="E348" s="71" t="str">
        <f t="array" ref="E348">XLOOKUP(C348,'TSR Initiation'!C:C,'TSR Initiation'!E:E)</f>
        <v/>
      </c>
      <c r="F348" s="88" t="str">
        <f t="array" ref="F348">XLOOKUP(C348,'Master Data'!C:C,'Master Data'!E:E)</f>
        <v/>
      </c>
      <c r="G348" s="89" t="str">
        <f t="array" ref="G348">XLOOKUP(C348,'Master Data'!C:C,'Master Data'!F:F)</f>
        <v/>
      </c>
      <c r="H348" s="89" t="str">
        <f t="array" ref="H348">XLOOKUP(C348,'Master Data'!C:C,'Master Data'!G:G)</f>
        <v/>
      </c>
      <c r="I348" s="90" t="str">
        <f t="array" ref="I348">XLOOKUP(C348,'Master Data'!C:C,'Master Data'!H:H)</f>
        <v/>
      </c>
      <c r="J348" s="91" t="s">
        <v>12</v>
      </c>
      <c r="K348" s="92"/>
      <c r="L348" s="92"/>
      <c r="M348" s="23"/>
      <c r="N348" s="23"/>
      <c r="O348" s="23"/>
    </row>
    <row r="349">
      <c r="A349" s="93" t="str">
        <f t="array" ref="A349">XLOOKUP(C349,'TSR Initiation'!C:C,'TSR Initiation'!A:A)</f>
        <v/>
      </c>
      <c r="B349" s="95"/>
      <c r="C349" s="71" t="s">
        <v>12</v>
      </c>
      <c r="D349" s="88" t="str">
        <f t="array" ref="D349">XLOOKUP(C349,'Master Data'!C:C,'Master Data'!D:D)</f>
        <v/>
      </c>
      <c r="E349" s="71" t="str">
        <f t="array" ref="E349">XLOOKUP(C349,'TSR Initiation'!C:C,'TSR Initiation'!E:E)</f>
        <v/>
      </c>
      <c r="F349" s="88" t="str">
        <f t="array" ref="F349">XLOOKUP(C349,'Master Data'!C:C,'Master Data'!E:E)</f>
        <v/>
      </c>
      <c r="G349" s="89" t="str">
        <f t="array" ref="G349">XLOOKUP(C349,'Master Data'!C:C,'Master Data'!F:F)</f>
        <v/>
      </c>
      <c r="H349" s="89" t="str">
        <f t="array" ref="H349">XLOOKUP(C349,'Master Data'!C:C,'Master Data'!G:G)</f>
        <v/>
      </c>
      <c r="I349" s="90" t="str">
        <f t="array" ref="I349">XLOOKUP(C349,'Master Data'!C:C,'Master Data'!H:H)</f>
        <v/>
      </c>
      <c r="J349" s="91" t="s">
        <v>12</v>
      </c>
      <c r="K349" s="92"/>
      <c r="L349" s="92"/>
      <c r="M349" s="23"/>
      <c r="N349" s="23"/>
      <c r="O349" s="23"/>
    </row>
    <row r="350">
      <c r="A350" s="93" t="str">
        <f t="array" ref="A350">XLOOKUP(C350,'TSR Initiation'!C:C,'TSR Initiation'!A:A)</f>
        <v/>
      </c>
      <c r="B350" s="95"/>
      <c r="C350" s="71" t="s">
        <v>12</v>
      </c>
      <c r="D350" s="88" t="str">
        <f t="array" ref="D350">XLOOKUP(C350,'Master Data'!C:C,'Master Data'!D:D)</f>
        <v/>
      </c>
      <c r="E350" s="71" t="str">
        <f t="array" ref="E350">XLOOKUP(C350,'TSR Initiation'!C:C,'TSR Initiation'!E:E)</f>
        <v/>
      </c>
      <c r="F350" s="88" t="str">
        <f t="array" ref="F350">XLOOKUP(C350,'Master Data'!C:C,'Master Data'!E:E)</f>
        <v/>
      </c>
      <c r="G350" s="89" t="str">
        <f t="array" ref="G350">XLOOKUP(C350,'Master Data'!C:C,'Master Data'!F:F)</f>
        <v/>
      </c>
      <c r="H350" s="89" t="str">
        <f t="array" ref="H350">XLOOKUP(C350,'Master Data'!C:C,'Master Data'!G:G)</f>
        <v/>
      </c>
      <c r="I350" s="90" t="str">
        <f t="array" ref="I350">XLOOKUP(C350,'Master Data'!C:C,'Master Data'!H:H)</f>
        <v/>
      </c>
      <c r="J350" s="91" t="s">
        <v>12</v>
      </c>
      <c r="K350" s="92"/>
      <c r="L350" s="92"/>
      <c r="M350" s="23"/>
      <c r="N350" s="23"/>
      <c r="O350" s="23"/>
    </row>
    <row r="351">
      <c r="A351" s="93" t="str">
        <f t="array" ref="A351">XLOOKUP(C351,'TSR Initiation'!C:C,'TSR Initiation'!A:A)</f>
        <v/>
      </c>
      <c r="B351" s="95"/>
      <c r="C351" s="71" t="s">
        <v>12</v>
      </c>
      <c r="D351" s="88" t="str">
        <f t="array" ref="D351">XLOOKUP(C351,'Master Data'!C:C,'Master Data'!D:D)</f>
        <v/>
      </c>
      <c r="E351" s="71" t="str">
        <f t="array" ref="E351">XLOOKUP(C351,'TSR Initiation'!C:C,'TSR Initiation'!E:E)</f>
        <v/>
      </c>
      <c r="F351" s="88" t="str">
        <f t="array" ref="F351">XLOOKUP(C351,'Master Data'!C:C,'Master Data'!E:E)</f>
        <v/>
      </c>
      <c r="G351" s="89" t="str">
        <f t="array" ref="G351">XLOOKUP(C351,'Master Data'!C:C,'Master Data'!F:F)</f>
        <v/>
      </c>
      <c r="H351" s="89" t="str">
        <f t="array" ref="H351">XLOOKUP(C351,'Master Data'!C:C,'Master Data'!G:G)</f>
        <v/>
      </c>
      <c r="I351" s="90" t="str">
        <f t="array" ref="I351">XLOOKUP(C351,'Master Data'!C:C,'Master Data'!H:H)</f>
        <v/>
      </c>
      <c r="J351" s="91" t="s">
        <v>12</v>
      </c>
      <c r="K351" s="92"/>
      <c r="L351" s="92"/>
      <c r="M351" s="23"/>
      <c r="N351" s="23"/>
      <c r="O351" s="23"/>
    </row>
    <row r="352">
      <c r="A352" s="93" t="str">
        <f t="array" ref="A352">XLOOKUP(C352,'TSR Initiation'!C:C,'TSR Initiation'!A:A)</f>
        <v/>
      </c>
      <c r="B352" s="95"/>
      <c r="C352" s="71" t="s">
        <v>12</v>
      </c>
      <c r="D352" s="88" t="str">
        <f t="array" ref="D352">XLOOKUP(C352,'Master Data'!C:C,'Master Data'!D:D)</f>
        <v/>
      </c>
      <c r="E352" s="71" t="str">
        <f t="array" ref="E352">XLOOKUP(C352,'TSR Initiation'!C:C,'TSR Initiation'!E:E)</f>
        <v/>
      </c>
      <c r="F352" s="88" t="str">
        <f t="array" ref="F352">XLOOKUP(C352,'Master Data'!C:C,'Master Data'!E:E)</f>
        <v/>
      </c>
      <c r="G352" s="89" t="str">
        <f t="array" ref="G352">XLOOKUP(C352,'Master Data'!C:C,'Master Data'!F:F)</f>
        <v/>
      </c>
      <c r="H352" s="89" t="str">
        <f t="array" ref="H352">XLOOKUP(C352,'Master Data'!C:C,'Master Data'!G:G)</f>
        <v/>
      </c>
      <c r="I352" s="90" t="str">
        <f t="array" ref="I352">XLOOKUP(C352,'Master Data'!C:C,'Master Data'!H:H)</f>
        <v/>
      </c>
      <c r="J352" s="91" t="s">
        <v>12</v>
      </c>
      <c r="K352" s="92"/>
      <c r="L352" s="92"/>
      <c r="M352" s="23"/>
      <c r="N352" s="23"/>
      <c r="O352" s="23"/>
    </row>
    <row r="353">
      <c r="A353" s="93" t="str">
        <f t="array" ref="A353">XLOOKUP(C353,'TSR Initiation'!C:C,'TSR Initiation'!A:A)</f>
        <v/>
      </c>
      <c r="B353" s="95"/>
      <c r="C353" s="71" t="s">
        <v>12</v>
      </c>
      <c r="D353" s="88" t="str">
        <f t="array" ref="D353">XLOOKUP(C353,'Master Data'!C:C,'Master Data'!D:D)</f>
        <v/>
      </c>
      <c r="E353" s="71" t="str">
        <f t="array" ref="E353">XLOOKUP(C353,'TSR Initiation'!C:C,'TSR Initiation'!E:E)</f>
        <v/>
      </c>
      <c r="F353" s="88" t="str">
        <f t="array" ref="F353">XLOOKUP(C353,'Master Data'!C:C,'Master Data'!E:E)</f>
        <v/>
      </c>
      <c r="G353" s="89" t="str">
        <f t="array" ref="G353">XLOOKUP(C353,'Master Data'!C:C,'Master Data'!F:F)</f>
        <v/>
      </c>
      <c r="H353" s="89" t="str">
        <f t="array" ref="H353">XLOOKUP(C353,'Master Data'!C:C,'Master Data'!G:G)</f>
        <v/>
      </c>
      <c r="I353" s="90" t="str">
        <f t="array" ref="I353">XLOOKUP(C353,'Master Data'!C:C,'Master Data'!H:H)</f>
        <v/>
      </c>
      <c r="J353" s="91" t="s">
        <v>12</v>
      </c>
      <c r="K353" s="92"/>
      <c r="L353" s="92"/>
      <c r="M353" s="23"/>
      <c r="N353" s="23"/>
      <c r="O353" s="23"/>
    </row>
    <row r="354">
      <c r="A354" s="93" t="str">
        <f t="array" ref="A354">XLOOKUP(C354,'TSR Initiation'!C:C,'TSR Initiation'!A:A)</f>
        <v/>
      </c>
      <c r="B354" s="95"/>
      <c r="C354" s="71" t="s">
        <v>12</v>
      </c>
      <c r="D354" s="88" t="str">
        <f t="array" ref="D354">XLOOKUP(C354,'Master Data'!C:C,'Master Data'!D:D)</f>
        <v/>
      </c>
      <c r="E354" s="71" t="str">
        <f t="array" ref="E354">XLOOKUP(C354,'TSR Initiation'!C:C,'TSR Initiation'!E:E)</f>
        <v/>
      </c>
      <c r="F354" s="88" t="str">
        <f t="array" ref="F354">XLOOKUP(C354,'Master Data'!C:C,'Master Data'!E:E)</f>
        <v/>
      </c>
      <c r="G354" s="89" t="str">
        <f t="array" ref="G354">XLOOKUP(C354,'Master Data'!C:C,'Master Data'!F:F)</f>
        <v/>
      </c>
      <c r="H354" s="89" t="str">
        <f t="array" ref="H354">XLOOKUP(C354,'Master Data'!C:C,'Master Data'!G:G)</f>
        <v/>
      </c>
      <c r="I354" s="90" t="str">
        <f t="array" ref="I354">XLOOKUP(C354,'Master Data'!C:C,'Master Data'!H:H)</f>
        <v/>
      </c>
      <c r="J354" s="91" t="s">
        <v>12</v>
      </c>
      <c r="K354" s="92"/>
      <c r="L354" s="92"/>
      <c r="M354" s="23"/>
      <c r="N354" s="23"/>
      <c r="O354" s="23"/>
    </row>
    <row r="355">
      <c r="A355" s="93" t="str">
        <f t="array" ref="A355">XLOOKUP(C355,'TSR Initiation'!C:C,'TSR Initiation'!A:A)</f>
        <v/>
      </c>
      <c r="B355" s="95"/>
      <c r="C355" s="71" t="s">
        <v>12</v>
      </c>
      <c r="D355" s="88" t="str">
        <f t="array" ref="D355">XLOOKUP(C355,'Master Data'!C:C,'Master Data'!D:D)</f>
        <v/>
      </c>
      <c r="E355" s="71" t="str">
        <f t="array" ref="E355">XLOOKUP(C355,'TSR Initiation'!C:C,'TSR Initiation'!E:E)</f>
        <v/>
      </c>
      <c r="F355" s="88" t="str">
        <f t="array" ref="F355">XLOOKUP(C355,'Master Data'!C:C,'Master Data'!E:E)</f>
        <v/>
      </c>
      <c r="G355" s="89" t="str">
        <f t="array" ref="G355">XLOOKUP(C355,'Master Data'!C:C,'Master Data'!F:F)</f>
        <v/>
      </c>
      <c r="H355" s="89" t="str">
        <f t="array" ref="H355">XLOOKUP(C355,'Master Data'!C:C,'Master Data'!G:G)</f>
        <v/>
      </c>
      <c r="I355" s="90" t="str">
        <f t="array" ref="I355">XLOOKUP(C355,'Master Data'!C:C,'Master Data'!H:H)</f>
        <v/>
      </c>
      <c r="J355" s="91" t="s">
        <v>12</v>
      </c>
      <c r="K355" s="92"/>
      <c r="L355" s="92"/>
      <c r="M355" s="23"/>
      <c r="N355" s="23"/>
      <c r="O355" s="23"/>
    </row>
    <row r="356">
      <c r="A356" s="93" t="str">
        <f t="array" ref="A356">XLOOKUP(C356,'TSR Initiation'!C:C,'TSR Initiation'!A:A)</f>
        <v/>
      </c>
      <c r="B356" s="95"/>
      <c r="C356" s="71" t="s">
        <v>12</v>
      </c>
      <c r="D356" s="88" t="str">
        <f t="array" ref="D356">XLOOKUP(C356,'Master Data'!C:C,'Master Data'!D:D)</f>
        <v/>
      </c>
      <c r="E356" s="71" t="str">
        <f t="array" ref="E356">XLOOKUP(C356,'TSR Initiation'!C:C,'TSR Initiation'!E:E)</f>
        <v/>
      </c>
      <c r="F356" s="88" t="str">
        <f t="array" ref="F356">XLOOKUP(C356,'Master Data'!C:C,'Master Data'!E:E)</f>
        <v/>
      </c>
      <c r="G356" s="89" t="str">
        <f t="array" ref="G356">XLOOKUP(C356,'Master Data'!C:C,'Master Data'!F:F)</f>
        <v/>
      </c>
      <c r="H356" s="89" t="str">
        <f t="array" ref="H356">XLOOKUP(C356,'Master Data'!C:C,'Master Data'!G:G)</f>
        <v/>
      </c>
      <c r="I356" s="90" t="str">
        <f t="array" ref="I356">XLOOKUP(C356,'Master Data'!C:C,'Master Data'!H:H)</f>
        <v/>
      </c>
      <c r="J356" s="91" t="s">
        <v>12</v>
      </c>
      <c r="K356" s="92"/>
      <c r="L356" s="92"/>
      <c r="M356" s="23"/>
      <c r="N356" s="23"/>
      <c r="O356" s="23"/>
    </row>
    <row r="357">
      <c r="A357" s="93" t="str">
        <f t="array" ref="A357">XLOOKUP(C357,'TSR Initiation'!C:C,'TSR Initiation'!A:A)</f>
        <v/>
      </c>
      <c r="B357" s="95"/>
      <c r="C357" s="71" t="s">
        <v>12</v>
      </c>
      <c r="D357" s="88" t="str">
        <f t="array" ref="D357">XLOOKUP(C357,'Master Data'!C:C,'Master Data'!D:D)</f>
        <v/>
      </c>
      <c r="E357" s="71" t="str">
        <f t="array" ref="E357">XLOOKUP(C357,'TSR Initiation'!C:C,'TSR Initiation'!E:E)</f>
        <v/>
      </c>
      <c r="F357" s="88" t="str">
        <f t="array" ref="F357">XLOOKUP(C357,'Master Data'!C:C,'Master Data'!E:E)</f>
        <v/>
      </c>
      <c r="G357" s="89" t="str">
        <f t="array" ref="G357">XLOOKUP(C357,'Master Data'!C:C,'Master Data'!F:F)</f>
        <v/>
      </c>
      <c r="H357" s="89" t="str">
        <f t="array" ref="H357">XLOOKUP(C357,'Master Data'!C:C,'Master Data'!G:G)</f>
        <v/>
      </c>
      <c r="I357" s="90" t="str">
        <f t="array" ref="I357">XLOOKUP(C357,'Master Data'!C:C,'Master Data'!H:H)</f>
        <v/>
      </c>
      <c r="J357" s="91" t="s">
        <v>12</v>
      </c>
      <c r="K357" s="92"/>
      <c r="L357" s="92"/>
      <c r="M357" s="23"/>
      <c r="N357" s="23"/>
      <c r="O357" s="23"/>
    </row>
    <row r="358">
      <c r="A358" s="93" t="str">
        <f t="array" ref="A358">XLOOKUP(C358,'TSR Initiation'!C:C,'TSR Initiation'!A:A)</f>
        <v/>
      </c>
      <c r="B358" s="95"/>
      <c r="C358" s="71" t="s">
        <v>12</v>
      </c>
      <c r="D358" s="88" t="str">
        <f t="array" ref="D358">XLOOKUP(C358,'Master Data'!C:C,'Master Data'!D:D)</f>
        <v/>
      </c>
      <c r="E358" s="71" t="str">
        <f t="array" ref="E358">XLOOKUP(C358,'TSR Initiation'!C:C,'TSR Initiation'!E:E)</f>
        <v/>
      </c>
      <c r="F358" s="88" t="str">
        <f t="array" ref="F358">XLOOKUP(C358,'Master Data'!C:C,'Master Data'!E:E)</f>
        <v/>
      </c>
      <c r="G358" s="89" t="str">
        <f t="array" ref="G358">XLOOKUP(C358,'Master Data'!C:C,'Master Data'!F:F)</f>
        <v/>
      </c>
      <c r="H358" s="89" t="str">
        <f t="array" ref="H358">XLOOKUP(C358,'Master Data'!C:C,'Master Data'!G:G)</f>
        <v/>
      </c>
      <c r="I358" s="90" t="str">
        <f t="array" ref="I358">XLOOKUP(C358,'Master Data'!C:C,'Master Data'!H:H)</f>
        <v/>
      </c>
      <c r="J358" s="91" t="s">
        <v>12</v>
      </c>
      <c r="K358" s="92"/>
      <c r="L358" s="92"/>
      <c r="M358" s="23"/>
      <c r="N358" s="23"/>
      <c r="O358" s="23"/>
    </row>
    <row r="359">
      <c r="A359" s="93" t="str">
        <f t="array" ref="A359">XLOOKUP(C359,'TSR Initiation'!C:C,'TSR Initiation'!A:A)</f>
        <v/>
      </c>
      <c r="B359" s="95"/>
      <c r="C359" s="71" t="s">
        <v>12</v>
      </c>
      <c r="D359" s="88" t="str">
        <f t="array" ref="D359">XLOOKUP(C359,'Master Data'!C:C,'Master Data'!D:D)</f>
        <v/>
      </c>
      <c r="E359" s="71" t="str">
        <f t="array" ref="E359">XLOOKUP(C359,'TSR Initiation'!C:C,'TSR Initiation'!E:E)</f>
        <v/>
      </c>
      <c r="F359" s="88" t="str">
        <f t="array" ref="F359">XLOOKUP(C359,'Master Data'!C:C,'Master Data'!E:E)</f>
        <v/>
      </c>
      <c r="G359" s="89" t="str">
        <f t="array" ref="G359">XLOOKUP(C359,'Master Data'!C:C,'Master Data'!F:F)</f>
        <v/>
      </c>
      <c r="H359" s="89" t="str">
        <f t="array" ref="H359">XLOOKUP(C359,'Master Data'!C:C,'Master Data'!G:G)</f>
        <v/>
      </c>
      <c r="I359" s="90" t="str">
        <f t="array" ref="I359">XLOOKUP(C359,'Master Data'!C:C,'Master Data'!H:H)</f>
        <v/>
      </c>
      <c r="J359" s="91" t="s">
        <v>12</v>
      </c>
      <c r="K359" s="92"/>
      <c r="L359" s="92"/>
      <c r="M359" s="23"/>
      <c r="N359" s="23"/>
      <c r="O359" s="23"/>
    </row>
    <row r="360">
      <c r="A360" s="93" t="str">
        <f t="array" ref="A360">XLOOKUP(C360,'TSR Initiation'!C:C,'TSR Initiation'!A:A)</f>
        <v/>
      </c>
      <c r="B360" s="95"/>
      <c r="C360" s="71" t="s">
        <v>12</v>
      </c>
      <c r="D360" s="88" t="str">
        <f t="array" ref="D360">XLOOKUP(C360,'Master Data'!C:C,'Master Data'!D:D)</f>
        <v/>
      </c>
      <c r="E360" s="71" t="str">
        <f t="array" ref="E360">XLOOKUP(C360,'TSR Initiation'!C:C,'TSR Initiation'!E:E)</f>
        <v/>
      </c>
      <c r="F360" s="88" t="str">
        <f t="array" ref="F360">XLOOKUP(C360,'Master Data'!C:C,'Master Data'!E:E)</f>
        <v/>
      </c>
      <c r="G360" s="89" t="str">
        <f t="array" ref="G360">XLOOKUP(C360,'Master Data'!C:C,'Master Data'!F:F)</f>
        <v/>
      </c>
      <c r="H360" s="89" t="str">
        <f t="array" ref="H360">XLOOKUP(C360,'Master Data'!C:C,'Master Data'!G:G)</f>
        <v/>
      </c>
      <c r="I360" s="90" t="str">
        <f t="array" ref="I360">XLOOKUP(C360,'Master Data'!C:C,'Master Data'!H:H)</f>
        <v/>
      </c>
      <c r="J360" s="91" t="s">
        <v>12</v>
      </c>
      <c r="K360" s="92"/>
      <c r="L360" s="92"/>
      <c r="M360" s="23"/>
      <c r="N360" s="23"/>
      <c r="O360" s="23"/>
    </row>
    <row r="361">
      <c r="A361" s="93" t="str">
        <f t="array" ref="A361">XLOOKUP(C361,'TSR Initiation'!C:C,'TSR Initiation'!A:A)</f>
        <v/>
      </c>
      <c r="B361" s="95"/>
      <c r="C361" s="71" t="s">
        <v>12</v>
      </c>
      <c r="D361" s="88" t="str">
        <f t="array" ref="D361">XLOOKUP(C361,'Master Data'!C:C,'Master Data'!D:D)</f>
        <v/>
      </c>
      <c r="E361" s="71" t="str">
        <f t="array" ref="E361">XLOOKUP(C361,'TSR Initiation'!C:C,'TSR Initiation'!E:E)</f>
        <v/>
      </c>
      <c r="F361" s="88" t="str">
        <f t="array" ref="F361">XLOOKUP(C361,'Master Data'!C:C,'Master Data'!E:E)</f>
        <v/>
      </c>
      <c r="G361" s="89" t="str">
        <f t="array" ref="G361">XLOOKUP(C361,'Master Data'!C:C,'Master Data'!F:F)</f>
        <v/>
      </c>
      <c r="H361" s="89" t="str">
        <f t="array" ref="H361">XLOOKUP(C361,'Master Data'!C:C,'Master Data'!G:G)</f>
        <v/>
      </c>
      <c r="I361" s="90" t="str">
        <f t="array" ref="I361">XLOOKUP(C361,'Master Data'!C:C,'Master Data'!H:H)</f>
        <v/>
      </c>
      <c r="J361" s="91" t="s">
        <v>12</v>
      </c>
      <c r="K361" s="92"/>
      <c r="L361" s="92"/>
      <c r="M361" s="23"/>
      <c r="N361" s="23"/>
      <c r="O361" s="23"/>
    </row>
    <row r="362">
      <c r="A362" s="93" t="str">
        <f t="array" ref="A362">XLOOKUP(C362,'TSR Initiation'!C:C,'TSR Initiation'!A:A)</f>
        <v/>
      </c>
      <c r="B362" s="95"/>
      <c r="C362" s="71" t="s">
        <v>12</v>
      </c>
      <c r="D362" s="88" t="str">
        <f t="array" ref="D362">XLOOKUP(C362,'Master Data'!C:C,'Master Data'!D:D)</f>
        <v/>
      </c>
      <c r="E362" s="71" t="str">
        <f t="array" ref="E362">XLOOKUP(C362,'TSR Initiation'!C:C,'TSR Initiation'!E:E)</f>
        <v/>
      </c>
      <c r="F362" s="88" t="str">
        <f t="array" ref="F362">XLOOKUP(C362,'Master Data'!C:C,'Master Data'!E:E)</f>
        <v/>
      </c>
      <c r="G362" s="89" t="str">
        <f t="array" ref="G362">XLOOKUP(C362,'Master Data'!C:C,'Master Data'!F:F)</f>
        <v/>
      </c>
      <c r="H362" s="89" t="str">
        <f t="array" ref="H362">XLOOKUP(C362,'Master Data'!C:C,'Master Data'!G:G)</f>
        <v/>
      </c>
      <c r="I362" s="90" t="str">
        <f t="array" ref="I362">XLOOKUP(C362,'Master Data'!C:C,'Master Data'!H:H)</f>
        <v/>
      </c>
      <c r="J362" s="91" t="s">
        <v>12</v>
      </c>
      <c r="K362" s="92"/>
      <c r="L362" s="92"/>
      <c r="M362" s="23"/>
      <c r="N362" s="23"/>
      <c r="O362" s="23"/>
    </row>
    <row r="363">
      <c r="A363" s="93" t="str">
        <f t="array" ref="A363">XLOOKUP(C363,'TSR Initiation'!C:C,'TSR Initiation'!A:A)</f>
        <v/>
      </c>
      <c r="B363" s="95"/>
      <c r="C363" s="71" t="s">
        <v>12</v>
      </c>
      <c r="D363" s="88" t="str">
        <f t="array" ref="D363">XLOOKUP(C363,'Master Data'!C:C,'Master Data'!D:D)</f>
        <v/>
      </c>
      <c r="E363" s="71" t="str">
        <f t="array" ref="E363">XLOOKUP(C363,'TSR Initiation'!C:C,'TSR Initiation'!E:E)</f>
        <v/>
      </c>
      <c r="F363" s="88" t="str">
        <f t="array" ref="F363">XLOOKUP(C363,'Master Data'!C:C,'Master Data'!E:E)</f>
        <v/>
      </c>
      <c r="G363" s="89" t="str">
        <f t="array" ref="G363">XLOOKUP(C363,'Master Data'!C:C,'Master Data'!F:F)</f>
        <v/>
      </c>
      <c r="H363" s="89" t="str">
        <f t="array" ref="H363">XLOOKUP(C363,'Master Data'!C:C,'Master Data'!G:G)</f>
        <v/>
      </c>
      <c r="I363" s="90" t="str">
        <f t="array" ref="I363">XLOOKUP(C363,'Master Data'!C:C,'Master Data'!H:H)</f>
        <v/>
      </c>
      <c r="J363" s="91" t="s">
        <v>12</v>
      </c>
      <c r="K363" s="92"/>
      <c r="L363" s="92"/>
      <c r="M363" s="23"/>
      <c r="N363" s="23"/>
      <c r="O363" s="23"/>
    </row>
    <row r="364">
      <c r="A364" s="93" t="str">
        <f t="array" ref="A364">XLOOKUP(C364,'TSR Initiation'!C:C,'TSR Initiation'!A:A)</f>
        <v/>
      </c>
      <c r="B364" s="95"/>
      <c r="C364" s="71" t="s">
        <v>12</v>
      </c>
      <c r="D364" s="88" t="str">
        <f t="array" ref="D364">XLOOKUP(C364,'Master Data'!C:C,'Master Data'!D:D)</f>
        <v/>
      </c>
      <c r="E364" s="71" t="str">
        <f t="array" ref="E364">XLOOKUP(C364,'TSR Initiation'!C:C,'TSR Initiation'!E:E)</f>
        <v/>
      </c>
      <c r="F364" s="88" t="str">
        <f t="array" ref="F364">XLOOKUP(C364,'Master Data'!C:C,'Master Data'!E:E)</f>
        <v/>
      </c>
      <c r="G364" s="89" t="str">
        <f t="array" ref="G364">XLOOKUP(C364,'Master Data'!C:C,'Master Data'!F:F)</f>
        <v/>
      </c>
      <c r="H364" s="89" t="str">
        <f t="array" ref="H364">XLOOKUP(C364,'Master Data'!C:C,'Master Data'!G:G)</f>
        <v/>
      </c>
      <c r="I364" s="90" t="str">
        <f t="array" ref="I364">XLOOKUP(C364,'Master Data'!C:C,'Master Data'!H:H)</f>
        <v/>
      </c>
      <c r="J364" s="91" t="s">
        <v>12</v>
      </c>
      <c r="K364" s="92"/>
      <c r="L364" s="92"/>
      <c r="M364" s="23"/>
      <c r="N364" s="23"/>
      <c r="O364" s="23"/>
    </row>
    <row r="365">
      <c r="A365" s="93" t="str">
        <f t="array" ref="A365">XLOOKUP(C365,'TSR Initiation'!C:C,'TSR Initiation'!A:A)</f>
        <v/>
      </c>
      <c r="B365" s="95"/>
      <c r="C365" s="71" t="s">
        <v>12</v>
      </c>
      <c r="D365" s="88" t="str">
        <f t="array" ref="D365">XLOOKUP(C365,'Master Data'!C:C,'Master Data'!D:D)</f>
        <v/>
      </c>
      <c r="E365" s="71" t="str">
        <f t="array" ref="E365">XLOOKUP(C365,'TSR Initiation'!C:C,'TSR Initiation'!E:E)</f>
        <v/>
      </c>
      <c r="F365" s="88" t="str">
        <f t="array" ref="F365">XLOOKUP(C365,'Master Data'!C:C,'Master Data'!E:E)</f>
        <v/>
      </c>
      <c r="G365" s="89" t="str">
        <f t="array" ref="G365">XLOOKUP(C365,'Master Data'!C:C,'Master Data'!F:F)</f>
        <v/>
      </c>
      <c r="H365" s="89" t="str">
        <f t="array" ref="H365">XLOOKUP(C365,'Master Data'!C:C,'Master Data'!G:G)</f>
        <v/>
      </c>
      <c r="I365" s="90" t="str">
        <f t="array" ref="I365">XLOOKUP(C365,'Master Data'!C:C,'Master Data'!H:H)</f>
        <v/>
      </c>
      <c r="J365" s="91" t="s">
        <v>12</v>
      </c>
      <c r="K365" s="92"/>
      <c r="L365" s="92"/>
      <c r="M365" s="23"/>
      <c r="N365" s="23"/>
      <c r="O365" s="23"/>
    </row>
    <row r="366">
      <c r="A366" s="93" t="str">
        <f t="array" ref="A366">XLOOKUP(C366,'TSR Initiation'!C:C,'TSR Initiation'!A:A)</f>
        <v/>
      </c>
      <c r="B366" s="95"/>
      <c r="C366" s="71" t="s">
        <v>12</v>
      </c>
      <c r="D366" s="88" t="str">
        <f t="array" ref="D366">XLOOKUP(C366,'Master Data'!C:C,'Master Data'!D:D)</f>
        <v/>
      </c>
      <c r="E366" s="71" t="str">
        <f t="array" ref="E366">XLOOKUP(C366,'TSR Initiation'!C:C,'TSR Initiation'!E:E)</f>
        <v/>
      </c>
      <c r="F366" s="88" t="str">
        <f t="array" ref="F366">XLOOKUP(C366,'Master Data'!C:C,'Master Data'!E:E)</f>
        <v/>
      </c>
      <c r="G366" s="89" t="str">
        <f t="array" ref="G366">XLOOKUP(C366,'Master Data'!C:C,'Master Data'!F:F)</f>
        <v/>
      </c>
      <c r="H366" s="89" t="str">
        <f t="array" ref="H366">XLOOKUP(C366,'Master Data'!C:C,'Master Data'!G:G)</f>
        <v/>
      </c>
      <c r="I366" s="90" t="str">
        <f t="array" ref="I366">XLOOKUP(C366,'Master Data'!C:C,'Master Data'!H:H)</f>
        <v/>
      </c>
      <c r="J366" s="91" t="s">
        <v>12</v>
      </c>
      <c r="K366" s="92"/>
      <c r="L366" s="92"/>
      <c r="M366" s="23"/>
      <c r="N366" s="23"/>
      <c r="O366" s="23"/>
    </row>
    <row r="367">
      <c r="A367" s="93" t="str">
        <f t="array" ref="A367">XLOOKUP(C367,'TSR Initiation'!C:C,'TSR Initiation'!A:A)</f>
        <v/>
      </c>
      <c r="B367" s="95"/>
      <c r="C367" s="71" t="s">
        <v>12</v>
      </c>
      <c r="D367" s="88" t="str">
        <f t="array" ref="D367">XLOOKUP(C367,'Master Data'!C:C,'Master Data'!D:D)</f>
        <v/>
      </c>
      <c r="E367" s="71" t="str">
        <f t="array" ref="E367">XLOOKUP(C367,'TSR Initiation'!C:C,'TSR Initiation'!E:E)</f>
        <v/>
      </c>
      <c r="F367" s="88" t="str">
        <f t="array" ref="F367">XLOOKUP(C367,'Master Data'!C:C,'Master Data'!E:E)</f>
        <v/>
      </c>
      <c r="G367" s="89" t="str">
        <f t="array" ref="G367">XLOOKUP(C367,'Master Data'!C:C,'Master Data'!F:F)</f>
        <v/>
      </c>
      <c r="H367" s="89" t="str">
        <f t="array" ref="H367">XLOOKUP(C367,'Master Data'!C:C,'Master Data'!G:G)</f>
        <v/>
      </c>
      <c r="I367" s="90" t="str">
        <f t="array" ref="I367">XLOOKUP(C367,'Master Data'!C:C,'Master Data'!H:H)</f>
        <v/>
      </c>
      <c r="J367" s="91" t="s">
        <v>12</v>
      </c>
      <c r="K367" s="92"/>
      <c r="L367" s="92"/>
      <c r="M367" s="23"/>
      <c r="N367" s="23"/>
      <c r="O367" s="23"/>
    </row>
    <row r="368">
      <c r="A368" s="93" t="str">
        <f t="array" ref="A368">XLOOKUP(C368,'TSR Initiation'!C:C,'TSR Initiation'!A:A)</f>
        <v/>
      </c>
      <c r="B368" s="95"/>
      <c r="C368" s="71" t="s">
        <v>12</v>
      </c>
      <c r="D368" s="88" t="str">
        <f t="array" ref="D368">XLOOKUP(C368,'Master Data'!C:C,'Master Data'!D:D)</f>
        <v/>
      </c>
      <c r="E368" s="71" t="str">
        <f t="array" ref="E368">XLOOKUP(C368,'TSR Initiation'!C:C,'TSR Initiation'!E:E)</f>
        <v/>
      </c>
      <c r="F368" s="88" t="str">
        <f t="array" ref="F368">XLOOKUP(C368,'Master Data'!C:C,'Master Data'!E:E)</f>
        <v/>
      </c>
      <c r="G368" s="89" t="str">
        <f t="array" ref="G368">XLOOKUP(C368,'Master Data'!C:C,'Master Data'!F:F)</f>
        <v/>
      </c>
      <c r="H368" s="89" t="str">
        <f t="array" ref="H368">XLOOKUP(C368,'Master Data'!C:C,'Master Data'!G:G)</f>
        <v/>
      </c>
      <c r="I368" s="90" t="str">
        <f t="array" ref="I368">XLOOKUP(C368,'Master Data'!C:C,'Master Data'!H:H)</f>
        <v/>
      </c>
      <c r="J368" s="91" t="s">
        <v>12</v>
      </c>
      <c r="K368" s="92"/>
      <c r="L368" s="92"/>
      <c r="M368" s="23"/>
      <c r="N368" s="23"/>
      <c r="O368" s="23"/>
    </row>
    <row r="369">
      <c r="A369" s="93" t="str">
        <f t="array" ref="A369">XLOOKUP(C369,'TSR Initiation'!C:C,'TSR Initiation'!A:A)</f>
        <v/>
      </c>
      <c r="B369" s="95"/>
      <c r="C369" s="71" t="s">
        <v>12</v>
      </c>
      <c r="D369" s="88" t="str">
        <f t="array" ref="D369">XLOOKUP(C369,'Master Data'!C:C,'Master Data'!D:D)</f>
        <v/>
      </c>
      <c r="E369" s="71" t="str">
        <f t="array" ref="E369">XLOOKUP(C369,'TSR Initiation'!C:C,'TSR Initiation'!E:E)</f>
        <v/>
      </c>
      <c r="F369" s="88" t="str">
        <f t="array" ref="F369">XLOOKUP(C369,'Master Data'!C:C,'Master Data'!E:E)</f>
        <v/>
      </c>
      <c r="G369" s="89" t="str">
        <f t="array" ref="G369">XLOOKUP(C369,'Master Data'!C:C,'Master Data'!F:F)</f>
        <v/>
      </c>
      <c r="H369" s="89" t="str">
        <f t="array" ref="H369">XLOOKUP(C369,'Master Data'!C:C,'Master Data'!G:G)</f>
        <v/>
      </c>
      <c r="I369" s="90" t="str">
        <f t="array" ref="I369">XLOOKUP(C369,'Master Data'!C:C,'Master Data'!H:H)</f>
        <v/>
      </c>
      <c r="J369" s="91" t="s">
        <v>12</v>
      </c>
      <c r="K369" s="92"/>
      <c r="L369" s="92"/>
      <c r="M369" s="23"/>
      <c r="N369" s="23"/>
      <c r="O369" s="23"/>
    </row>
    <row r="370">
      <c r="A370" s="93" t="str">
        <f t="array" ref="A370">XLOOKUP(C370,'TSR Initiation'!C:C,'TSR Initiation'!A:A)</f>
        <v/>
      </c>
      <c r="B370" s="95"/>
      <c r="C370" s="71" t="s">
        <v>12</v>
      </c>
      <c r="D370" s="88" t="str">
        <f t="array" ref="D370">XLOOKUP(C370,'Master Data'!C:C,'Master Data'!D:D)</f>
        <v/>
      </c>
      <c r="E370" s="71" t="str">
        <f t="array" ref="E370">XLOOKUP(C370,'TSR Initiation'!C:C,'TSR Initiation'!E:E)</f>
        <v/>
      </c>
      <c r="F370" s="88" t="str">
        <f t="array" ref="F370">XLOOKUP(C370,'Master Data'!C:C,'Master Data'!E:E)</f>
        <v/>
      </c>
      <c r="G370" s="89" t="str">
        <f t="array" ref="G370">XLOOKUP(C370,'Master Data'!C:C,'Master Data'!F:F)</f>
        <v/>
      </c>
      <c r="H370" s="89" t="str">
        <f t="array" ref="H370">XLOOKUP(C370,'Master Data'!C:C,'Master Data'!G:G)</f>
        <v/>
      </c>
      <c r="I370" s="90" t="str">
        <f t="array" ref="I370">XLOOKUP(C370,'Master Data'!C:C,'Master Data'!H:H)</f>
        <v/>
      </c>
      <c r="J370" s="91" t="s">
        <v>12</v>
      </c>
      <c r="K370" s="92"/>
      <c r="L370" s="92"/>
      <c r="M370" s="23"/>
      <c r="N370" s="23"/>
      <c r="O370" s="23"/>
    </row>
    <row r="371">
      <c r="A371" s="93" t="str">
        <f t="array" ref="A371">XLOOKUP(C371,'TSR Initiation'!C:C,'TSR Initiation'!A:A)</f>
        <v/>
      </c>
      <c r="B371" s="95"/>
      <c r="C371" s="71" t="s">
        <v>12</v>
      </c>
      <c r="D371" s="88" t="str">
        <f t="array" ref="D371">XLOOKUP(C371,'Master Data'!C:C,'Master Data'!D:D)</f>
        <v/>
      </c>
      <c r="E371" s="71" t="str">
        <f t="array" ref="E371">XLOOKUP(C371,'TSR Initiation'!C:C,'TSR Initiation'!E:E)</f>
        <v/>
      </c>
      <c r="F371" s="88" t="str">
        <f t="array" ref="F371">XLOOKUP(C371,'Master Data'!C:C,'Master Data'!E:E)</f>
        <v/>
      </c>
      <c r="G371" s="89" t="str">
        <f t="array" ref="G371">XLOOKUP(C371,'Master Data'!C:C,'Master Data'!F:F)</f>
        <v/>
      </c>
      <c r="H371" s="89" t="str">
        <f t="array" ref="H371">XLOOKUP(C371,'Master Data'!C:C,'Master Data'!G:G)</f>
        <v/>
      </c>
      <c r="I371" s="90" t="str">
        <f t="array" ref="I371">XLOOKUP(C371,'Master Data'!C:C,'Master Data'!H:H)</f>
        <v/>
      </c>
      <c r="J371" s="91" t="s">
        <v>12</v>
      </c>
      <c r="K371" s="92"/>
      <c r="L371" s="92"/>
      <c r="M371" s="23"/>
      <c r="N371" s="23"/>
      <c r="O371" s="23"/>
    </row>
    <row r="372">
      <c r="A372" s="93" t="str">
        <f t="array" ref="A372">XLOOKUP(C372,'TSR Initiation'!C:C,'TSR Initiation'!A:A)</f>
        <v/>
      </c>
      <c r="B372" s="95"/>
      <c r="C372" s="71" t="s">
        <v>12</v>
      </c>
      <c r="D372" s="88" t="str">
        <f t="array" ref="D372">XLOOKUP(C372,'Master Data'!C:C,'Master Data'!D:D)</f>
        <v/>
      </c>
      <c r="E372" s="71" t="str">
        <f t="array" ref="E372">XLOOKUP(C372,'TSR Initiation'!C:C,'TSR Initiation'!E:E)</f>
        <v/>
      </c>
      <c r="F372" s="88" t="str">
        <f t="array" ref="F372">XLOOKUP(C372,'Master Data'!C:C,'Master Data'!E:E)</f>
        <v/>
      </c>
      <c r="G372" s="89" t="str">
        <f t="array" ref="G372">XLOOKUP(C372,'Master Data'!C:C,'Master Data'!F:F)</f>
        <v/>
      </c>
      <c r="H372" s="89" t="str">
        <f t="array" ref="H372">XLOOKUP(C372,'Master Data'!C:C,'Master Data'!G:G)</f>
        <v/>
      </c>
      <c r="I372" s="90" t="str">
        <f t="array" ref="I372">XLOOKUP(C372,'Master Data'!C:C,'Master Data'!H:H)</f>
        <v/>
      </c>
      <c r="J372" s="91" t="s">
        <v>12</v>
      </c>
      <c r="K372" s="92"/>
      <c r="L372" s="92"/>
      <c r="M372" s="23"/>
      <c r="N372" s="23"/>
      <c r="O372" s="23"/>
    </row>
    <row r="373">
      <c r="A373" s="93" t="str">
        <f t="array" ref="A373">XLOOKUP(C373,'TSR Initiation'!C:C,'TSR Initiation'!A:A)</f>
        <v/>
      </c>
      <c r="B373" s="95"/>
      <c r="C373" s="71" t="s">
        <v>12</v>
      </c>
      <c r="D373" s="88" t="str">
        <f t="array" ref="D373">XLOOKUP(C373,'Master Data'!C:C,'Master Data'!D:D)</f>
        <v/>
      </c>
      <c r="E373" s="71" t="str">
        <f t="array" ref="E373">XLOOKUP(C373,'TSR Initiation'!C:C,'TSR Initiation'!E:E)</f>
        <v/>
      </c>
      <c r="F373" s="88" t="str">
        <f t="array" ref="F373">XLOOKUP(C373,'Master Data'!C:C,'Master Data'!E:E)</f>
        <v/>
      </c>
      <c r="G373" s="89" t="str">
        <f t="array" ref="G373">XLOOKUP(C373,'Master Data'!C:C,'Master Data'!F:F)</f>
        <v/>
      </c>
      <c r="H373" s="89" t="str">
        <f t="array" ref="H373">XLOOKUP(C373,'Master Data'!C:C,'Master Data'!G:G)</f>
        <v/>
      </c>
      <c r="I373" s="90" t="str">
        <f t="array" ref="I373">XLOOKUP(C373,'Master Data'!C:C,'Master Data'!H:H)</f>
        <v/>
      </c>
      <c r="J373" s="91" t="s">
        <v>12</v>
      </c>
      <c r="K373" s="92"/>
      <c r="L373" s="92"/>
      <c r="M373" s="23"/>
      <c r="N373" s="23"/>
      <c r="O373" s="23"/>
    </row>
    <row r="374">
      <c r="A374" s="93" t="str">
        <f t="array" ref="A374">XLOOKUP(C374,'TSR Initiation'!C:C,'TSR Initiation'!A:A)</f>
        <v/>
      </c>
      <c r="B374" s="95"/>
      <c r="C374" s="71" t="s">
        <v>12</v>
      </c>
      <c r="D374" s="88" t="str">
        <f t="array" ref="D374">XLOOKUP(C374,'Master Data'!C:C,'Master Data'!D:D)</f>
        <v/>
      </c>
      <c r="E374" s="71" t="str">
        <f t="array" ref="E374">XLOOKUP(C374,'TSR Initiation'!C:C,'TSR Initiation'!E:E)</f>
        <v/>
      </c>
      <c r="F374" s="88" t="str">
        <f t="array" ref="F374">XLOOKUP(C374,'Master Data'!C:C,'Master Data'!E:E)</f>
        <v/>
      </c>
      <c r="G374" s="89" t="str">
        <f t="array" ref="G374">XLOOKUP(C374,'Master Data'!C:C,'Master Data'!F:F)</f>
        <v/>
      </c>
      <c r="H374" s="89" t="str">
        <f t="array" ref="H374">XLOOKUP(C374,'Master Data'!C:C,'Master Data'!G:G)</f>
        <v/>
      </c>
      <c r="I374" s="90" t="str">
        <f t="array" ref="I374">XLOOKUP(C374,'Master Data'!C:C,'Master Data'!H:H)</f>
        <v/>
      </c>
      <c r="J374" s="91" t="s">
        <v>12</v>
      </c>
      <c r="K374" s="92"/>
      <c r="L374" s="92"/>
      <c r="M374" s="23"/>
      <c r="N374" s="23"/>
      <c r="O374" s="23"/>
    </row>
    <row r="375">
      <c r="A375" s="93" t="str">
        <f t="array" ref="A375">XLOOKUP(C375,'TSR Initiation'!C:C,'TSR Initiation'!A:A)</f>
        <v/>
      </c>
      <c r="B375" s="95"/>
      <c r="C375" s="71" t="s">
        <v>12</v>
      </c>
      <c r="D375" s="88" t="str">
        <f t="array" ref="D375">XLOOKUP(C375,'Master Data'!C:C,'Master Data'!D:D)</f>
        <v/>
      </c>
      <c r="E375" s="71" t="str">
        <f t="array" ref="E375">XLOOKUP(C375,'TSR Initiation'!C:C,'TSR Initiation'!E:E)</f>
        <v/>
      </c>
      <c r="F375" s="88" t="str">
        <f t="array" ref="F375">XLOOKUP(C375,'Master Data'!C:C,'Master Data'!E:E)</f>
        <v/>
      </c>
      <c r="G375" s="89" t="str">
        <f t="array" ref="G375">XLOOKUP(C375,'Master Data'!C:C,'Master Data'!F:F)</f>
        <v/>
      </c>
      <c r="H375" s="89" t="str">
        <f t="array" ref="H375">XLOOKUP(C375,'Master Data'!C:C,'Master Data'!G:G)</f>
        <v/>
      </c>
      <c r="I375" s="90" t="str">
        <f t="array" ref="I375">XLOOKUP(C375,'Master Data'!C:C,'Master Data'!H:H)</f>
        <v/>
      </c>
      <c r="J375" s="91" t="s">
        <v>12</v>
      </c>
      <c r="K375" s="92"/>
      <c r="L375" s="92"/>
      <c r="M375" s="23"/>
      <c r="N375" s="23"/>
      <c r="O375" s="23"/>
    </row>
    <row r="376">
      <c r="A376" s="93" t="str">
        <f t="array" ref="A376">XLOOKUP(C376,'TSR Initiation'!C:C,'TSR Initiation'!A:A)</f>
        <v/>
      </c>
      <c r="B376" s="95"/>
      <c r="C376" s="71" t="s">
        <v>12</v>
      </c>
      <c r="D376" s="88" t="str">
        <f t="array" ref="D376">XLOOKUP(C376,'Master Data'!C:C,'Master Data'!D:D)</f>
        <v/>
      </c>
      <c r="E376" s="71" t="str">
        <f t="array" ref="E376">XLOOKUP(C376,'TSR Initiation'!C:C,'TSR Initiation'!E:E)</f>
        <v/>
      </c>
      <c r="F376" s="88" t="str">
        <f t="array" ref="F376">XLOOKUP(C376,'Master Data'!C:C,'Master Data'!E:E)</f>
        <v/>
      </c>
      <c r="G376" s="89" t="str">
        <f t="array" ref="G376">XLOOKUP(C376,'Master Data'!C:C,'Master Data'!F:F)</f>
        <v/>
      </c>
      <c r="H376" s="89" t="str">
        <f t="array" ref="H376">XLOOKUP(C376,'Master Data'!C:C,'Master Data'!G:G)</f>
        <v/>
      </c>
      <c r="I376" s="90" t="str">
        <f t="array" ref="I376">XLOOKUP(C376,'Master Data'!C:C,'Master Data'!H:H)</f>
        <v/>
      </c>
      <c r="J376" s="91" t="s">
        <v>12</v>
      </c>
      <c r="K376" s="92"/>
      <c r="L376" s="92"/>
      <c r="M376" s="23"/>
      <c r="N376" s="23"/>
      <c r="O376" s="23"/>
    </row>
    <row r="377">
      <c r="A377" s="93" t="str">
        <f t="array" ref="A377">XLOOKUP(C377,'TSR Initiation'!C:C,'TSR Initiation'!A:A)</f>
        <v/>
      </c>
      <c r="B377" s="95"/>
      <c r="C377" s="71" t="s">
        <v>12</v>
      </c>
      <c r="D377" s="88" t="str">
        <f t="array" ref="D377">XLOOKUP(C377,'Master Data'!C:C,'Master Data'!D:D)</f>
        <v/>
      </c>
      <c r="E377" s="71" t="str">
        <f t="array" ref="E377">XLOOKUP(C377,'TSR Initiation'!C:C,'TSR Initiation'!E:E)</f>
        <v/>
      </c>
      <c r="F377" s="88" t="str">
        <f t="array" ref="F377">XLOOKUP(C377,'Master Data'!C:C,'Master Data'!E:E)</f>
        <v/>
      </c>
      <c r="G377" s="89" t="str">
        <f t="array" ref="G377">XLOOKUP(C377,'Master Data'!C:C,'Master Data'!F:F)</f>
        <v/>
      </c>
      <c r="H377" s="89" t="str">
        <f t="array" ref="H377">XLOOKUP(C377,'Master Data'!C:C,'Master Data'!G:G)</f>
        <v/>
      </c>
      <c r="I377" s="90" t="str">
        <f t="array" ref="I377">XLOOKUP(C377,'Master Data'!C:C,'Master Data'!H:H)</f>
        <v/>
      </c>
      <c r="J377" s="91" t="s">
        <v>12</v>
      </c>
      <c r="K377" s="92"/>
      <c r="L377" s="92"/>
      <c r="M377" s="23"/>
      <c r="N377" s="23"/>
      <c r="O377" s="23"/>
    </row>
    <row r="378">
      <c r="A378" s="93" t="str">
        <f t="array" ref="A378">XLOOKUP(C378,'TSR Initiation'!C:C,'TSR Initiation'!A:A)</f>
        <v/>
      </c>
      <c r="B378" s="95"/>
      <c r="C378" s="71" t="s">
        <v>12</v>
      </c>
      <c r="D378" s="88" t="str">
        <f t="array" ref="D378">XLOOKUP(C378,'Master Data'!C:C,'Master Data'!D:D)</f>
        <v/>
      </c>
      <c r="E378" s="71" t="str">
        <f t="array" ref="E378">XLOOKUP(C378,'TSR Initiation'!C:C,'TSR Initiation'!E:E)</f>
        <v/>
      </c>
      <c r="F378" s="88" t="str">
        <f t="array" ref="F378">XLOOKUP(C378,'Master Data'!C:C,'Master Data'!E:E)</f>
        <v/>
      </c>
      <c r="G378" s="89" t="str">
        <f t="array" ref="G378">XLOOKUP(C378,'Master Data'!C:C,'Master Data'!F:F)</f>
        <v/>
      </c>
      <c r="H378" s="89" t="str">
        <f t="array" ref="H378">XLOOKUP(C378,'Master Data'!C:C,'Master Data'!G:G)</f>
        <v/>
      </c>
      <c r="I378" s="90" t="str">
        <f t="array" ref="I378">XLOOKUP(C378,'Master Data'!C:C,'Master Data'!H:H)</f>
        <v/>
      </c>
      <c r="J378" s="91" t="s">
        <v>12</v>
      </c>
      <c r="K378" s="92"/>
      <c r="L378" s="92"/>
      <c r="M378" s="23"/>
      <c r="N378" s="23"/>
      <c r="O378" s="23"/>
    </row>
    <row r="379">
      <c r="A379" s="93" t="str">
        <f t="array" ref="A379">XLOOKUP(C379,'TSR Initiation'!C:C,'TSR Initiation'!A:A)</f>
        <v/>
      </c>
      <c r="B379" s="95"/>
      <c r="C379" s="71" t="s">
        <v>12</v>
      </c>
      <c r="D379" s="88" t="str">
        <f t="array" ref="D379">XLOOKUP(C379,'Master Data'!C:C,'Master Data'!D:D)</f>
        <v/>
      </c>
      <c r="E379" s="71" t="str">
        <f t="array" ref="E379">XLOOKUP(C379,'TSR Initiation'!C:C,'TSR Initiation'!E:E)</f>
        <v/>
      </c>
      <c r="F379" s="88" t="str">
        <f t="array" ref="F379">XLOOKUP(C379,'Master Data'!C:C,'Master Data'!E:E)</f>
        <v/>
      </c>
      <c r="G379" s="89" t="str">
        <f t="array" ref="G379">XLOOKUP(C379,'Master Data'!C:C,'Master Data'!F:F)</f>
        <v/>
      </c>
      <c r="H379" s="89" t="str">
        <f t="array" ref="H379">XLOOKUP(C379,'Master Data'!C:C,'Master Data'!G:G)</f>
        <v/>
      </c>
      <c r="I379" s="90" t="str">
        <f t="array" ref="I379">XLOOKUP(C379,'Master Data'!C:C,'Master Data'!H:H)</f>
        <v/>
      </c>
      <c r="J379" s="91" t="s">
        <v>12</v>
      </c>
      <c r="K379" s="92"/>
      <c r="L379" s="92"/>
      <c r="M379" s="23"/>
      <c r="N379" s="23"/>
      <c r="O379" s="23"/>
    </row>
    <row r="380">
      <c r="A380" s="93" t="str">
        <f t="array" ref="A380">XLOOKUP(C380,'TSR Initiation'!C:C,'TSR Initiation'!A:A)</f>
        <v/>
      </c>
      <c r="B380" s="95"/>
      <c r="C380" s="71" t="s">
        <v>12</v>
      </c>
      <c r="D380" s="88" t="str">
        <f t="array" ref="D380">XLOOKUP(C380,'Master Data'!C:C,'Master Data'!D:D)</f>
        <v/>
      </c>
      <c r="E380" s="71" t="str">
        <f t="array" ref="E380">XLOOKUP(C380,'TSR Initiation'!C:C,'TSR Initiation'!E:E)</f>
        <v/>
      </c>
      <c r="F380" s="88" t="str">
        <f t="array" ref="F380">XLOOKUP(C380,'Master Data'!C:C,'Master Data'!E:E)</f>
        <v/>
      </c>
      <c r="G380" s="89" t="str">
        <f t="array" ref="G380">XLOOKUP(C380,'Master Data'!C:C,'Master Data'!F:F)</f>
        <v/>
      </c>
      <c r="H380" s="89" t="str">
        <f t="array" ref="H380">XLOOKUP(C380,'Master Data'!C:C,'Master Data'!G:G)</f>
        <v/>
      </c>
      <c r="I380" s="90" t="str">
        <f t="array" ref="I380">XLOOKUP(C380,'Master Data'!C:C,'Master Data'!H:H)</f>
        <v/>
      </c>
      <c r="J380" s="91" t="s">
        <v>12</v>
      </c>
      <c r="K380" s="92"/>
      <c r="L380" s="92"/>
      <c r="M380" s="23"/>
      <c r="N380" s="23"/>
      <c r="O380" s="23"/>
    </row>
    <row r="381">
      <c r="A381" s="93" t="str">
        <f t="array" ref="A381">XLOOKUP(C381,'TSR Initiation'!C:C,'TSR Initiation'!A:A)</f>
        <v/>
      </c>
      <c r="B381" s="95"/>
      <c r="C381" s="71" t="s">
        <v>12</v>
      </c>
      <c r="D381" s="88" t="str">
        <f t="array" ref="D381">XLOOKUP(C381,'Master Data'!C:C,'Master Data'!D:D)</f>
        <v/>
      </c>
      <c r="E381" s="71" t="str">
        <f t="array" ref="E381">XLOOKUP(C381,'TSR Initiation'!C:C,'TSR Initiation'!E:E)</f>
        <v/>
      </c>
      <c r="F381" s="88" t="str">
        <f t="array" ref="F381">XLOOKUP(C381,'Master Data'!C:C,'Master Data'!E:E)</f>
        <v/>
      </c>
      <c r="G381" s="89" t="str">
        <f t="array" ref="G381">XLOOKUP(C381,'Master Data'!C:C,'Master Data'!F:F)</f>
        <v/>
      </c>
      <c r="H381" s="89" t="str">
        <f t="array" ref="H381">XLOOKUP(C381,'Master Data'!C:C,'Master Data'!G:G)</f>
        <v/>
      </c>
      <c r="I381" s="90" t="str">
        <f t="array" ref="I381">XLOOKUP(C381,'Master Data'!C:C,'Master Data'!H:H)</f>
        <v/>
      </c>
      <c r="J381" s="91" t="s">
        <v>12</v>
      </c>
      <c r="K381" s="92"/>
      <c r="L381" s="92"/>
      <c r="M381" s="23"/>
      <c r="N381" s="23"/>
      <c r="O381" s="23"/>
    </row>
    <row r="382">
      <c r="A382" s="93" t="str">
        <f t="array" ref="A382">XLOOKUP(C382,'TSR Initiation'!C:C,'TSR Initiation'!A:A)</f>
        <v/>
      </c>
      <c r="B382" s="95"/>
      <c r="C382" s="71" t="s">
        <v>12</v>
      </c>
      <c r="D382" s="88" t="str">
        <f t="array" ref="D382">XLOOKUP(C382,'Master Data'!C:C,'Master Data'!D:D)</f>
        <v/>
      </c>
      <c r="E382" s="71" t="str">
        <f t="array" ref="E382">XLOOKUP(C382,'TSR Initiation'!C:C,'TSR Initiation'!E:E)</f>
        <v/>
      </c>
      <c r="F382" s="88" t="str">
        <f t="array" ref="F382">XLOOKUP(C382,'Master Data'!C:C,'Master Data'!E:E)</f>
        <v/>
      </c>
      <c r="G382" s="89" t="str">
        <f t="array" ref="G382">XLOOKUP(C382,'Master Data'!C:C,'Master Data'!F:F)</f>
        <v/>
      </c>
      <c r="H382" s="89" t="str">
        <f t="array" ref="H382">XLOOKUP(C382,'Master Data'!C:C,'Master Data'!G:G)</f>
        <v/>
      </c>
      <c r="I382" s="90" t="str">
        <f t="array" ref="I382">XLOOKUP(C382,'Master Data'!C:C,'Master Data'!H:H)</f>
        <v/>
      </c>
      <c r="J382" s="91" t="s">
        <v>12</v>
      </c>
      <c r="K382" s="92"/>
      <c r="L382" s="92"/>
      <c r="M382" s="23"/>
      <c r="N382" s="23"/>
      <c r="O382" s="23"/>
    </row>
    <row r="383">
      <c r="A383" s="93" t="str">
        <f t="array" ref="A383">XLOOKUP(C383,'TSR Initiation'!C:C,'TSR Initiation'!A:A)</f>
        <v/>
      </c>
      <c r="B383" s="95"/>
      <c r="C383" s="71" t="s">
        <v>12</v>
      </c>
      <c r="D383" s="88" t="str">
        <f t="array" ref="D383">XLOOKUP(C383,'Master Data'!C:C,'Master Data'!D:D)</f>
        <v/>
      </c>
      <c r="E383" s="71" t="str">
        <f t="array" ref="E383">XLOOKUP(C383,'TSR Initiation'!C:C,'TSR Initiation'!E:E)</f>
        <v/>
      </c>
      <c r="F383" s="88" t="str">
        <f t="array" ref="F383">XLOOKUP(C383,'Master Data'!C:C,'Master Data'!E:E)</f>
        <v/>
      </c>
      <c r="G383" s="89" t="str">
        <f t="array" ref="G383">XLOOKUP(C383,'Master Data'!C:C,'Master Data'!F:F)</f>
        <v/>
      </c>
      <c r="H383" s="89" t="str">
        <f t="array" ref="H383">XLOOKUP(C383,'Master Data'!C:C,'Master Data'!G:G)</f>
        <v/>
      </c>
      <c r="I383" s="90" t="str">
        <f t="array" ref="I383">XLOOKUP(C383,'Master Data'!C:C,'Master Data'!H:H)</f>
        <v/>
      </c>
      <c r="J383" s="91" t="s">
        <v>12</v>
      </c>
      <c r="K383" s="92"/>
      <c r="L383" s="92"/>
      <c r="M383" s="23"/>
      <c r="N383" s="23"/>
      <c r="O383" s="23"/>
    </row>
    <row r="384">
      <c r="A384" s="93" t="str">
        <f t="array" ref="A384">XLOOKUP(C384,'TSR Initiation'!C:C,'TSR Initiation'!A:A)</f>
        <v/>
      </c>
      <c r="B384" s="95"/>
      <c r="C384" s="71" t="s">
        <v>12</v>
      </c>
      <c r="D384" s="88" t="str">
        <f t="array" ref="D384">XLOOKUP(C384,'Master Data'!C:C,'Master Data'!D:D)</f>
        <v/>
      </c>
      <c r="E384" s="71" t="str">
        <f t="array" ref="E384">XLOOKUP(C384,'TSR Initiation'!C:C,'TSR Initiation'!E:E)</f>
        <v/>
      </c>
      <c r="F384" s="88" t="str">
        <f t="array" ref="F384">XLOOKUP(C384,'Master Data'!C:C,'Master Data'!E:E)</f>
        <v/>
      </c>
      <c r="G384" s="89" t="str">
        <f t="array" ref="G384">XLOOKUP(C384,'Master Data'!C:C,'Master Data'!F:F)</f>
        <v/>
      </c>
      <c r="H384" s="89" t="str">
        <f t="array" ref="H384">XLOOKUP(C384,'Master Data'!C:C,'Master Data'!G:G)</f>
        <v/>
      </c>
      <c r="I384" s="90" t="str">
        <f t="array" ref="I384">XLOOKUP(C384,'Master Data'!C:C,'Master Data'!H:H)</f>
        <v/>
      </c>
      <c r="J384" s="91" t="s">
        <v>12</v>
      </c>
      <c r="K384" s="92"/>
      <c r="L384" s="92"/>
      <c r="M384" s="23"/>
      <c r="N384" s="23"/>
      <c r="O384" s="23"/>
    </row>
    <row r="385">
      <c r="A385" s="93" t="str">
        <f t="array" ref="A385">XLOOKUP(C385,'TSR Initiation'!C:C,'TSR Initiation'!A:A)</f>
        <v/>
      </c>
      <c r="B385" s="95"/>
      <c r="C385" s="71" t="s">
        <v>12</v>
      </c>
      <c r="D385" s="88" t="str">
        <f t="array" ref="D385">XLOOKUP(C385,'Master Data'!C:C,'Master Data'!D:D)</f>
        <v/>
      </c>
      <c r="E385" s="71" t="str">
        <f t="array" ref="E385">XLOOKUP(C385,'TSR Initiation'!C:C,'TSR Initiation'!E:E)</f>
        <v/>
      </c>
      <c r="F385" s="88" t="str">
        <f t="array" ref="F385">XLOOKUP(C385,'Master Data'!C:C,'Master Data'!E:E)</f>
        <v/>
      </c>
      <c r="G385" s="89" t="str">
        <f t="array" ref="G385">XLOOKUP(C385,'Master Data'!C:C,'Master Data'!F:F)</f>
        <v/>
      </c>
      <c r="H385" s="89" t="str">
        <f t="array" ref="H385">XLOOKUP(C385,'Master Data'!C:C,'Master Data'!G:G)</f>
        <v/>
      </c>
      <c r="I385" s="90" t="str">
        <f t="array" ref="I385">XLOOKUP(C385,'Master Data'!C:C,'Master Data'!H:H)</f>
        <v/>
      </c>
      <c r="J385" s="91" t="s">
        <v>12</v>
      </c>
      <c r="K385" s="92"/>
      <c r="L385" s="92"/>
      <c r="M385" s="23"/>
      <c r="N385" s="23"/>
      <c r="O385" s="23"/>
    </row>
    <row r="386">
      <c r="A386" s="93" t="str">
        <f t="array" ref="A386">XLOOKUP(C386,'TSR Initiation'!C:C,'TSR Initiation'!A:A)</f>
        <v/>
      </c>
      <c r="B386" s="95"/>
      <c r="C386" s="71" t="s">
        <v>12</v>
      </c>
      <c r="D386" s="88" t="str">
        <f t="array" ref="D386">XLOOKUP(C386,'Master Data'!C:C,'Master Data'!D:D)</f>
        <v/>
      </c>
      <c r="E386" s="71" t="str">
        <f t="array" ref="E386">XLOOKUP(C386,'TSR Initiation'!C:C,'TSR Initiation'!E:E)</f>
        <v/>
      </c>
      <c r="F386" s="88" t="str">
        <f t="array" ref="F386">XLOOKUP(C386,'Master Data'!C:C,'Master Data'!E:E)</f>
        <v/>
      </c>
      <c r="G386" s="89" t="str">
        <f t="array" ref="G386">XLOOKUP(C386,'Master Data'!C:C,'Master Data'!F:F)</f>
        <v/>
      </c>
      <c r="H386" s="89" t="str">
        <f t="array" ref="H386">XLOOKUP(C386,'Master Data'!C:C,'Master Data'!G:G)</f>
        <v/>
      </c>
      <c r="I386" s="90" t="str">
        <f t="array" ref="I386">XLOOKUP(C386,'Master Data'!C:C,'Master Data'!H:H)</f>
        <v/>
      </c>
      <c r="J386" s="91" t="s">
        <v>12</v>
      </c>
      <c r="K386" s="92"/>
      <c r="L386" s="92"/>
      <c r="M386" s="23"/>
      <c r="N386" s="23"/>
      <c r="O386" s="23"/>
    </row>
    <row r="387">
      <c r="A387" s="93" t="str">
        <f t="array" ref="A387">XLOOKUP(C387,'TSR Initiation'!C:C,'TSR Initiation'!A:A)</f>
        <v/>
      </c>
      <c r="B387" s="95"/>
      <c r="C387" s="71" t="s">
        <v>12</v>
      </c>
      <c r="D387" s="88" t="str">
        <f t="array" ref="D387">XLOOKUP(C387,'Master Data'!C:C,'Master Data'!D:D)</f>
        <v/>
      </c>
      <c r="E387" s="71" t="str">
        <f t="array" ref="E387">XLOOKUP(C387,'TSR Initiation'!C:C,'TSR Initiation'!E:E)</f>
        <v/>
      </c>
      <c r="F387" s="88" t="str">
        <f t="array" ref="F387">XLOOKUP(C387,'Master Data'!C:C,'Master Data'!E:E)</f>
        <v/>
      </c>
      <c r="G387" s="89" t="str">
        <f t="array" ref="G387">XLOOKUP(C387,'Master Data'!C:C,'Master Data'!F:F)</f>
        <v/>
      </c>
      <c r="H387" s="89" t="str">
        <f t="array" ref="H387">XLOOKUP(C387,'Master Data'!C:C,'Master Data'!G:G)</f>
        <v/>
      </c>
      <c r="I387" s="90" t="str">
        <f t="array" ref="I387">XLOOKUP(C387,'Master Data'!C:C,'Master Data'!H:H)</f>
        <v/>
      </c>
      <c r="J387" s="91" t="s">
        <v>12</v>
      </c>
      <c r="K387" s="92"/>
      <c r="L387" s="92"/>
      <c r="M387" s="23"/>
      <c r="N387" s="23"/>
      <c r="O387" s="23"/>
    </row>
    <row r="388">
      <c r="A388" s="93" t="str">
        <f t="array" ref="A388">XLOOKUP(C388,'TSR Initiation'!C:C,'TSR Initiation'!A:A)</f>
        <v/>
      </c>
      <c r="B388" s="95"/>
      <c r="C388" s="71" t="s">
        <v>12</v>
      </c>
      <c r="D388" s="88" t="str">
        <f t="array" ref="D388">XLOOKUP(C388,'Master Data'!C:C,'Master Data'!D:D)</f>
        <v/>
      </c>
      <c r="E388" s="71" t="str">
        <f t="array" ref="E388">XLOOKUP(C388,'TSR Initiation'!C:C,'TSR Initiation'!E:E)</f>
        <v/>
      </c>
      <c r="F388" s="88" t="str">
        <f t="array" ref="F388">XLOOKUP(C388,'Master Data'!C:C,'Master Data'!E:E)</f>
        <v/>
      </c>
      <c r="G388" s="89" t="str">
        <f t="array" ref="G388">XLOOKUP(C388,'Master Data'!C:C,'Master Data'!F:F)</f>
        <v/>
      </c>
      <c r="H388" s="89" t="str">
        <f t="array" ref="H388">XLOOKUP(C388,'Master Data'!C:C,'Master Data'!G:G)</f>
        <v/>
      </c>
      <c r="I388" s="90" t="str">
        <f t="array" ref="I388">XLOOKUP(C388,'Master Data'!C:C,'Master Data'!H:H)</f>
        <v/>
      </c>
      <c r="J388" s="91" t="s">
        <v>12</v>
      </c>
      <c r="K388" s="92"/>
      <c r="L388" s="92"/>
      <c r="M388" s="23"/>
      <c r="N388" s="23"/>
      <c r="O388" s="23"/>
    </row>
    <row r="389">
      <c r="A389" s="93" t="str">
        <f t="array" ref="A389">XLOOKUP(C389,'TSR Initiation'!C:C,'TSR Initiation'!A:A)</f>
        <v/>
      </c>
      <c r="B389" s="95"/>
      <c r="C389" s="71" t="s">
        <v>12</v>
      </c>
      <c r="D389" s="88" t="str">
        <f t="array" ref="D389">XLOOKUP(C389,'Master Data'!C:C,'Master Data'!D:D)</f>
        <v/>
      </c>
      <c r="E389" s="71" t="str">
        <f t="array" ref="E389">XLOOKUP(C389,'TSR Initiation'!C:C,'TSR Initiation'!E:E)</f>
        <v/>
      </c>
      <c r="F389" s="88" t="str">
        <f t="array" ref="F389">XLOOKUP(C389,'Master Data'!C:C,'Master Data'!E:E)</f>
        <v/>
      </c>
      <c r="G389" s="89" t="str">
        <f t="array" ref="G389">XLOOKUP(C389,'Master Data'!C:C,'Master Data'!F:F)</f>
        <v/>
      </c>
      <c r="H389" s="89" t="str">
        <f t="array" ref="H389">XLOOKUP(C389,'Master Data'!C:C,'Master Data'!G:G)</f>
        <v/>
      </c>
      <c r="I389" s="90" t="str">
        <f t="array" ref="I389">XLOOKUP(C389,'Master Data'!C:C,'Master Data'!H:H)</f>
        <v/>
      </c>
      <c r="J389" s="91" t="s">
        <v>12</v>
      </c>
      <c r="K389" s="92"/>
      <c r="L389" s="92"/>
      <c r="M389" s="23"/>
      <c r="N389" s="23"/>
      <c r="O389" s="23"/>
    </row>
    <row r="390">
      <c r="A390" s="93" t="str">
        <f t="array" ref="A390">XLOOKUP(C390,'TSR Initiation'!C:C,'TSR Initiation'!A:A)</f>
        <v/>
      </c>
      <c r="B390" s="95"/>
      <c r="C390" s="71" t="s">
        <v>12</v>
      </c>
      <c r="D390" s="88" t="str">
        <f t="array" ref="D390">XLOOKUP(C390,'Master Data'!C:C,'Master Data'!D:D)</f>
        <v/>
      </c>
      <c r="E390" s="71" t="str">
        <f t="array" ref="E390">XLOOKUP(C390,'TSR Initiation'!C:C,'TSR Initiation'!E:E)</f>
        <v/>
      </c>
      <c r="F390" s="88" t="str">
        <f t="array" ref="F390">XLOOKUP(C390,'Master Data'!C:C,'Master Data'!E:E)</f>
        <v/>
      </c>
      <c r="G390" s="89" t="str">
        <f t="array" ref="G390">XLOOKUP(C390,'Master Data'!C:C,'Master Data'!F:F)</f>
        <v/>
      </c>
      <c r="H390" s="89" t="str">
        <f t="array" ref="H390">XLOOKUP(C390,'Master Data'!C:C,'Master Data'!G:G)</f>
        <v/>
      </c>
      <c r="I390" s="90" t="str">
        <f t="array" ref="I390">XLOOKUP(C390,'Master Data'!C:C,'Master Data'!H:H)</f>
        <v/>
      </c>
      <c r="J390" s="91" t="s">
        <v>12</v>
      </c>
      <c r="K390" s="92"/>
      <c r="L390" s="92"/>
      <c r="M390" s="23"/>
      <c r="N390" s="23"/>
      <c r="O390" s="23"/>
    </row>
    <row r="391">
      <c r="A391" s="93" t="str">
        <f t="array" ref="A391">XLOOKUP(C391,'TSR Initiation'!C:C,'TSR Initiation'!A:A)</f>
        <v/>
      </c>
      <c r="B391" s="95"/>
      <c r="C391" s="71" t="s">
        <v>12</v>
      </c>
      <c r="D391" s="88" t="str">
        <f t="array" ref="D391">XLOOKUP(C391,'Master Data'!C:C,'Master Data'!D:D)</f>
        <v/>
      </c>
      <c r="E391" s="71" t="str">
        <f t="array" ref="E391">XLOOKUP(C391,'TSR Initiation'!C:C,'TSR Initiation'!E:E)</f>
        <v/>
      </c>
      <c r="F391" s="88" t="str">
        <f t="array" ref="F391">XLOOKUP(C391,'Master Data'!C:C,'Master Data'!E:E)</f>
        <v/>
      </c>
      <c r="G391" s="89" t="str">
        <f t="array" ref="G391">XLOOKUP(C391,'Master Data'!C:C,'Master Data'!F:F)</f>
        <v/>
      </c>
      <c r="H391" s="89" t="str">
        <f t="array" ref="H391">XLOOKUP(C391,'Master Data'!C:C,'Master Data'!G:G)</f>
        <v/>
      </c>
      <c r="I391" s="90" t="str">
        <f t="array" ref="I391">XLOOKUP(C391,'Master Data'!C:C,'Master Data'!H:H)</f>
        <v/>
      </c>
      <c r="J391" s="91" t="s">
        <v>12</v>
      </c>
      <c r="K391" s="92"/>
      <c r="L391" s="92"/>
      <c r="M391" s="23"/>
      <c r="N391" s="23"/>
      <c r="O391" s="23"/>
    </row>
    <row r="392">
      <c r="A392" s="93" t="str">
        <f t="array" ref="A392">XLOOKUP(C392,'TSR Initiation'!C:C,'TSR Initiation'!A:A)</f>
        <v/>
      </c>
      <c r="B392" s="95"/>
      <c r="C392" s="71" t="s">
        <v>12</v>
      </c>
      <c r="D392" s="88" t="str">
        <f t="array" ref="D392">XLOOKUP(C392,'Master Data'!C:C,'Master Data'!D:D)</f>
        <v/>
      </c>
      <c r="E392" s="71" t="str">
        <f t="array" ref="E392">XLOOKUP(C392,'TSR Initiation'!C:C,'TSR Initiation'!E:E)</f>
        <v/>
      </c>
      <c r="F392" s="88" t="str">
        <f t="array" ref="F392">XLOOKUP(C392,'Master Data'!C:C,'Master Data'!E:E)</f>
        <v/>
      </c>
      <c r="G392" s="89" t="str">
        <f t="array" ref="G392">XLOOKUP(C392,'Master Data'!C:C,'Master Data'!F:F)</f>
        <v/>
      </c>
      <c r="H392" s="89" t="str">
        <f t="array" ref="H392">XLOOKUP(C392,'Master Data'!C:C,'Master Data'!G:G)</f>
        <v/>
      </c>
      <c r="I392" s="90" t="str">
        <f t="array" ref="I392">XLOOKUP(C392,'Master Data'!C:C,'Master Data'!H:H)</f>
        <v/>
      </c>
      <c r="J392" s="91" t="s">
        <v>12</v>
      </c>
      <c r="K392" s="92"/>
      <c r="L392" s="92"/>
      <c r="M392" s="23"/>
      <c r="N392" s="23"/>
      <c r="O392" s="23"/>
    </row>
    <row r="393">
      <c r="A393" s="93" t="str">
        <f t="array" ref="A393">XLOOKUP(C393,'TSR Initiation'!C:C,'TSR Initiation'!A:A)</f>
        <v/>
      </c>
      <c r="B393" s="95"/>
      <c r="C393" s="71" t="s">
        <v>12</v>
      </c>
      <c r="D393" s="88" t="str">
        <f t="array" ref="D393">XLOOKUP(C393,'Master Data'!C:C,'Master Data'!D:D)</f>
        <v/>
      </c>
      <c r="E393" s="71" t="str">
        <f t="array" ref="E393">XLOOKUP(C393,'TSR Initiation'!C:C,'TSR Initiation'!E:E)</f>
        <v/>
      </c>
      <c r="F393" s="88" t="str">
        <f t="array" ref="F393">XLOOKUP(C393,'Master Data'!C:C,'Master Data'!E:E)</f>
        <v/>
      </c>
      <c r="G393" s="89" t="str">
        <f t="array" ref="G393">XLOOKUP(C393,'Master Data'!C:C,'Master Data'!F:F)</f>
        <v/>
      </c>
      <c r="H393" s="89" t="str">
        <f t="array" ref="H393">XLOOKUP(C393,'Master Data'!C:C,'Master Data'!G:G)</f>
        <v/>
      </c>
      <c r="I393" s="90" t="str">
        <f t="array" ref="I393">XLOOKUP(C393,'Master Data'!C:C,'Master Data'!H:H)</f>
        <v/>
      </c>
      <c r="J393" s="91" t="s">
        <v>12</v>
      </c>
      <c r="K393" s="92"/>
      <c r="L393" s="92"/>
      <c r="M393" s="23"/>
      <c r="N393" s="23"/>
      <c r="O393" s="23"/>
    </row>
    <row r="394">
      <c r="A394" s="93" t="str">
        <f t="array" ref="A394">XLOOKUP(C394,'TSR Initiation'!C:C,'TSR Initiation'!A:A)</f>
        <v/>
      </c>
      <c r="B394" s="95"/>
      <c r="C394" s="71" t="s">
        <v>12</v>
      </c>
      <c r="D394" s="88" t="str">
        <f t="array" ref="D394">XLOOKUP(C394,'Master Data'!C:C,'Master Data'!D:D)</f>
        <v/>
      </c>
      <c r="E394" s="71" t="str">
        <f t="array" ref="E394">XLOOKUP(C394,'TSR Initiation'!C:C,'TSR Initiation'!E:E)</f>
        <v/>
      </c>
      <c r="F394" s="88" t="str">
        <f t="array" ref="F394">XLOOKUP(C394,'Master Data'!C:C,'Master Data'!E:E)</f>
        <v/>
      </c>
      <c r="G394" s="89" t="str">
        <f t="array" ref="G394">XLOOKUP(C394,'Master Data'!C:C,'Master Data'!F:F)</f>
        <v/>
      </c>
      <c r="H394" s="89" t="str">
        <f t="array" ref="H394">XLOOKUP(C394,'Master Data'!C:C,'Master Data'!G:G)</f>
        <v/>
      </c>
      <c r="I394" s="90" t="str">
        <f t="array" ref="I394">XLOOKUP(C394,'Master Data'!C:C,'Master Data'!H:H)</f>
        <v/>
      </c>
      <c r="J394" s="91" t="s">
        <v>12</v>
      </c>
      <c r="K394" s="92"/>
      <c r="L394" s="92"/>
      <c r="M394" s="23"/>
      <c r="N394" s="23"/>
      <c r="O394" s="23"/>
    </row>
    <row r="395">
      <c r="A395" s="93" t="str">
        <f t="array" ref="A395">XLOOKUP(C395,'TSR Initiation'!C:C,'TSR Initiation'!A:A)</f>
        <v/>
      </c>
      <c r="B395" s="95"/>
      <c r="C395" s="71" t="s">
        <v>12</v>
      </c>
      <c r="D395" s="88" t="str">
        <f t="array" ref="D395">XLOOKUP(C395,'Master Data'!C:C,'Master Data'!D:D)</f>
        <v/>
      </c>
      <c r="E395" s="71" t="str">
        <f t="array" ref="E395">XLOOKUP(C395,'TSR Initiation'!C:C,'TSR Initiation'!E:E)</f>
        <v/>
      </c>
      <c r="F395" s="88" t="str">
        <f t="array" ref="F395">XLOOKUP(C395,'Master Data'!C:C,'Master Data'!E:E)</f>
        <v/>
      </c>
      <c r="G395" s="89" t="str">
        <f t="array" ref="G395">XLOOKUP(C395,'Master Data'!C:C,'Master Data'!F:F)</f>
        <v/>
      </c>
      <c r="H395" s="89" t="str">
        <f t="array" ref="H395">XLOOKUP(C395,'Master Data'!C:C,'Master Data'!G:G)</f>
        <v/>
      </c>
      <c r="I395" s="90" t="str">
        <f t="array" ref="I395">XLOOKUP(C395,'Master Data'!C:C,'Master Data'!H:H)</f>
        <v/>
      </c>
      <c r="J395" s="91" t="s">
        <v>12</v>
      </c>
      <c r="K395" s="92"/>
      <c r="L395" s="92"/>
      <c r="M395" s="23"/>
      <c r="N395" s="23"/>
      <c r="O395" s="23"/>
    </row>
    <row r="396">
      <c r="A396" s="93" t="str">
        <f t="array" ref="A396">XLOOKUP(C396,'TSR Initiation'!C:C,'TSR Initiation'!A:A)</f>
        <v/>
      </c>
      <c r="B396" s="95"/>
      <c r="C396" s="71" t="s">
        <v>12</v>
      </c>
      <c r="D396" s="88" t="str">
        <f t="array" ref="D396">XLOOKUP(C396,'Master Data'!C:C,'Master Data'!D:D)</f>
        <v/>
      </c>
      <c r="E396" s="71" t="str">
        <f t="array" ref="E396">XLOOKUP(C396,'TSR Initiation'!C:C,'TSR Initiation'!E:E)</f>
        <v/>
      </c>
      <c r="F396" s="88" t="str">
        <f t="array" ref="F396">XLOOKUP(C396,'Master Data'!C:C,'Master Data'!E:E)</f>
        <v/>
      </c>
      <c r="G396" s="89" t="str">
        <f t="array" ref="G396">XLOOKUP(C396,'Master Data'!C:C,'Master Data'!F:F)</f>
        <v/>
      </c>
      <c r="H396" s="89" t="str">
        <f t="array" ref="H396">XLOOKUP(C396,'Master Data'!C:C,'Master Data'!G:G)</f>
        <v/>
      </c>
      <c r="I396" s="90" t="str">
        <f t="array" ref="I396">XLOOKUP(C396,'Master Data'!C:C,'Master Data'!H:H)</f>
        <v/>
      </c>
      <c r="J396" s="91" t="s">
        <v>12</v>
      </c>
      <c r="K396" s="92"/>
      <c r="L396" s="92"/>
      <c r="M396" s="23"/>
      <c r="N396" s="23"/>
      <c r="O396" s="23"/>
    </row>
    <row r="397">
      <c r="A397" s="93" t="str">
        <f t="array" ref="A397">XLOOKUP(C397,'TSR Initiation'!C:C,'TSR Initiation'!A:A)</f>
        <v/>
      </c>
      <c r="B397" s="95"/>
      <c r="C397" s="71" t="s">
        <v>12</v>
      </c>
      <c r="D397" s="88" t="str">
        <f t="array" ref="D397">XLOOKUP(C397,'Master Data'!C:C,'Master Data'!D:D)</f>
        <v/>
      </c>
      <c r="E397" s="71" t="str">
        <f t="array" ref="E397">XLOOKUP(C397,'TSR Initiation'!C:C,'TSR Initiation'!E:E)</f>
        <v/>
      </c>
      <c r="F397" s="88" t="str">
        <f t="array" ref="F397">XLOOKUP(C397,'Master Data'!C:C,'Master Data'!E:E)</f>
        <v/>
      </c>
      <c r="G397" s="89" t="str">
        <f t="array" ref="G397">XLOOKUP(C397,'Master Data'!C:C,'Master Data'!F:F)</f>
        <v/>
      </c>
      <c r="H397" s="89" t="str">
        <f t="array" ref="H397">XLOOKUP(C397,'Master Data'!C:C,'Master Data'!G:G)</f>
        <v/>
      </c>
      <c r="I397" s="90" t="str">
        <f t="array" ref="I397">XLOOKUP(C397,'Master Data'!C:C,'Master Data'!H:H)</f>
        <v/>
      </c>
      <c r="J397" s="91" t="s">
        <v>12</v>
      </c>
      <c r="K397" s="92"/>
      <c r="L397" s="92"/>
      <c r="M397" s="23"/>
      <c r="N397" s="23"/>
      <c r="O397" s="23"/>
    </row>
    <row r="398">
      <c r="A398" s="93" t="str">
        <f t="array" ref="A398">XLOOKUP(C398,'TSR Initiation'!C:C,'TSR Initiation'!A:A)</f>
        <v/>
      </c>
      <c r="B398" s="95"/>
      <c r="C398" s="71" t="s">
        <v>12</v>
      </c>
      <c r="D398" s="88" t="str">
        <f t="array" ref="D398">XLOOKUP(C398,'Master Data'!C:C,'Master Data'!D:D)</f>
        <v/>
      </c>
      <c r="E398" s="71" t="str">
        <f t="array" ref="E398">XLOOKUP(C398,'TSR Initiation'!C:C,'TSR Initiation'!E:E)</f>
        <v/>
      </c>
      <c r="F398" s="88" t="str">
        <f t="array" ref="F398">XLOOKUP(C398,'Master Data'!C:C,'Master Data'!E:E)</f>
        <v/>
      </c>
      <c r="G398" s="89" t="str">
        <f t="array" ref="G398">XLOOKUP(C398,'Master Data'!C:C,'Master Data'!F:F)</f>
        <v/>
      </c>
      <c r="H398" s="89" t="str">
        <f t="array" ref="H398">XLOOKUP(C398,'Master Data'!C:C,'Master Data'!G:G)</f>
        <v/>
      </c>
      <c r="I398" s="90" t="str">
        <f t="array" ref="I398">XLOOKUP(C398,'Master Data'!C:C,'Master Data'!H:H)</f>
        <v/>
      </c>
      <c r="J398" s="91" t="s">
        <v>12</v>
      </c>
      <c r="K398" s="92"/>
      <c r="L398" s="92"/>
      <c r="M398" s="23"/>
      <c r="N398" s="23"/>
      <c r="O398" s="23"/>
    </row>
    <row r="399">
      <c r="A399" s="93" t="str">
        <f t="array" ref="A399">XLOOKUP(C399,'TSR Initiation'!C:C,'TSR Initiation'!A:A)</f>
        <v/>
      </c>
      <c r="B399" s="95"/>
      <c r="C399" s="71" t="s">
        <v>12</v>
      </c>
      <c r="D399" s="88" t="str">
        <f t="array" ref="D399">XLOOKUP(C399,'Master Data'!C:C,'Master Data'!D:D)</f>
        <v/>
      </c>
      <c r="E399" s="71" t="str">
        <f t="array" ref="E399">XLOOKUP(C399,'TSR Initiation'!C:C,'TSR Initiation'!E:E)</f>
        <v/>
      </c>
      <c r="F399" s="88" t="str">
        <f t="array" ref="F399">XLOOKUP(C399,'Master Data'!C:C,'Master Data'!E:E)</f>
        <v/>
      </c>
      <c r="G399" s="89" t="str">
        <f t="array" ref="G399">XLOOKUP(C399,'Master Data'!C:C,'Master Data'!F:F)</f>
        <v/>
      </c>
      <c r="H399" s="89" t="str">
        <f t="array" ref="H399">XLOOKUP(C399,'Master Data'!C:C,'Master Data'!G:G)</f>
        <v/>
      </c>
      <c r="I399" s="90" t="str">
        <f t="array" ref="I399">XLOOKUP(C399,'Master Data'!C:C,'Master Data'!H:H)</f>
        <v/>
      </c>
      <c r="J399" s="91" t="s">
        <v>12</v>
      </c>
      <c r="K399" s="92"/>
      <c r="L399" s="92"/>
      <c r="M399" s="23"/>
      <c r="N399" s="23"/>
      <c r="O399" s="23"/>
    </row>
    <row r="400">
      <c r="A400" s="93" t="str">
        <f t="array" ref="A400">XLOOKUP(C400,'TSR Initiation'!C:C,'TSR Initiation'!A:A)</f>
        <v/>
      </c>
      <c r="B400" s="95"/>
      <c r="C400" s="71" t="s">
        <v>12</v>
      </c>
      <c r="D400" s="88" t="str">
        <f t="array" ref="D400">XLOOKUP(C400,'Master Data'!C:C,'Master Data'!D:D)</f>
        <v/>
      </c>
      <c r="E400" s="71" t="str">
        <f t="array" ref="E400">XLOOKUP(C400,'TSR Initiation'!C:C,'TSR Initiation'!E:E)</f>
        <v/>
      </c>
      <c r="F400" s="88" t="str">
        <f t="array" ref="F400">XLOOKUP(C400,'Master Data'!C:C,'Master Data'!E:E)</f>
        <v/>
      </c>
      <c r="G400" s="89" t="str">
        <f t="array" ref="G400">XLOOKUP(C400,'Master Data'!C:C,'Master Data'!F:F)</f>
        <v/>
      </c>
      <c r="H400" s="89" t="str">
        <f t="array" ref="H400">XLOOKUP(C400,'Master Data'!C:C,'Master Data'!G:G)</f>
        <v/>
      </c>
      <c r="I400" s="90" t="str">
        <f t="array" ref="I400">XLOOKUP(C400,'Master Data'!C:C,'Master Data'!H:H)</f>
        <v/>
      </c>
      <c r="J400" s="91" t="s">
        <v>12</v>
      </c>
      <c r="K400" s="92"/>
      <c r="L400" s="92"/>
      <c r="M400" s="23"/>
      <c r="N400" s="23"/>
      <c r="O400" s="23"/>
    </row>
    <row r="401">
      <c r="A401" s="93" t="str">
        <f t="array" ref="A401">XLOOKUP(C401,'TSR Initiation'!C:C,'TSR Initiation'!A:A)</f>
        <v/>
      </c>
      <c r="B401" s="95"/>
      <c r="C401" s="71" t="s">
        <v>12</v>
      </c>
      <c r="D401" s="88" t="str">
        <f t="array" ref="D401">XLOOKUP(C401,'Master Data'!C:C,'Master Data'!D:D)</f>
        <v/>
      </c>
      <c r="E401" s="71" t="str">
        <f t="array" ref="E401">XLOOKUP(C401,'TSR Initiation'!C:C,'TSR Initiation'!E:E)</f>
        <v/>
      </c>
      <c r="F401" s="88" t="str">
        <f t="array" ref="F401">XLOOKUP(C401,'Master Data'!C:C,'Master Data'!E:E)</f>
        <v/>
      </c>
      <c r="G401" s="89" t="str">
        <f t="array" ref="G401">XLOOKUP(C401,'Master Data'!C:C,'Master Data'!F:F)</f>
        <v/>
      </c>
      <c r="H401" s="89" t="str">
        <f t="array" ref="H401">XLOOKUP(C401,'Master Data'!C:C,'Master Data'!G:G)</f>
        <v/>
      </c>
      <c r="I401" s="90" t="str">
        <f t="array" ref="I401">XLOOKUP(C401,'Master Data'!C:C,'Master Data'!H:H)</f>
        <v/>
      </c>
      <c r="J401" s="91" t="s">
        <v>12</v>
      </c>
      <c r="K401" s="92"/>
      <c r="L401" s="92"/>
      <c r="M401" s="23"/>
      <c r="N401" s="23"/>
      <c r="O401" s="23"/>
    </row>
    <row r="402">
      <c r="A402" s="93" t="str">
        <f t="array" ref="A402">XLOOKUP(C402,'TSR Initiation'!C:C,'TSR Initiation'!A:A)</f>
        <v/>
      </c>
      <c r="B402" s="95"/>
      <c r="C402" s="71" t="s">
        <v>12</v>
      </c>
      <c r="D402" s="88" t="str">
        <f t="array" ref="D402">XLOOKUP(C402,'Master Data'!C:C,'Master Data'!D:D)</f>
        <v/>
      </c>
      <c r="E402" s="71" t="str">
        <f t="array" ref="E402">XLOOKUP(C402,'TSR Initiation'!C:C,'TSR Initiation'!E:E)</f>
        <v/>
      </c>
      <c r="F402" s="88" t="str">
        <f t="array" ref="F402">XLOOKUP(C402,'Master Data'!C:C,'Master Data'!E:E)</f>
        <v/>
      </c>
      <c r="G402" s="89" t="str">
        <f t="array" ref="G402">XLOOKUP(C402,'Master Data'!C:C,'Master Data'!F:F)</f>
        <v/>
      </c>
      <c r="H402" s="89" t="str">
        <f t="array" ref="H402">XLOOKUP(C402,'Master Data'!C:C,'Master Data'!G:G)</f>
        <v/>
      </c>
      <c r="I402" s="90" t="str">
        <f t="array" ref="I402">XLOOKUP(C402,'Master Data'!C:C,'Master Data'!H:H)</f>
        <v/>
      </c>
      <c r="J402" s="91" t="s">
        <v>12</v>
      </c>
      <c r="K402" s="92"/>
      <c r="L402" s="92"/>
      <c r="M402" s="23"/>
      <c r="N402" s="23"/>
      <c r="O402" s="23"/>
    </row>
    <row r="403">
      <c r="A403" s="93" t="str">
        <f t="array" ref="A403">XLOOKUP(C403,'TSR Initiation'!C:C,'TSR Initiation'!A:A)</f>
        <v/>
      </c>
      <c r="B403" s="95"/>
      <c r="C403" s="71" t="s">
        <v>12</v>
      </c>
      <c r="D403" s="88" t="str">
        <f t="array" ref="D403">XLOOKUP(C403,'Master Data'!C:C,'Master Data'!D:D)</f>
        <v/>
      </c>
      <c r="E403" s="71" t="str">
        <f t="array" ref="E403">XLOOKUP(C403,'TSR Initiation'!C:C,'TSR Initiation'!E:E)</f>
        <v/>
      </c>
      <c r="F403" s="88" t="str">
        <f t="array" ref="F403">XLOOKUP(C403,'Master Data'!C:C,'Master Data'!E:E)</f>
        <v/>
      </c>
      <c r="G403" s="89" t="str">
        <f t="array" ref="G403">XLOOKUP(C403,'Master Data'!C:C,'Master Data'!F:F)</f>
        <v/>
      </c>
      <c r="H403" s="89" t="str">
        <f t="array" ref="H403">XLOOKUP(C403,'Master Data'!C:C,'Master Data'!G:G)</f>
        <v/>
      </c>
      <c r="I403" s="90" t="str">
        <f t="array" ref="I403">XLOOKUP(C403,'Master Data'!C:C,'Master Data'!H:H)</f>
        <v/>
      </c>
      <c r="J403" s="91" t="s">
        <v>12</v>
      </c>
      <c r="K403" s="92"/>
      <c r="L403" s="92"/>
      <c r="M403" s="23"/>
      <c r="N403" s="23"/>
      <c r="O403" s="23"/>
    </row>
    <row r="404">
      <c r="A404" s="93" t="str">
        <f t="array" ref="A404">XLOOKUP(C404,'TSR Initiation'!C:C,'TSR Initiation'!A:A)</f>
        <v/>
      </c>
      <c r="B404" s="95"/>
      <c r="C404" s="71" t="s">
        <v>12</v>
      </c>
      <c r="D404" s="88" t="str">
        <f t="array" ref="D404">XLOOKUP(C404,'Master Data'!C:C,'Master Data'!D:D)</f>
        <v/>
      </c>
      <c r="E404" s="71" t="str">
        <f t="array" ref="E404">XLOOKUP(C404,'TSR Initiation'!C:C,'TSR Initiation'!E:E)</f>
        <v/>
      </c>
      <c r="F404" s="88" t="str">
        <f t="array" ref="F404">XLOOKUP(C404,'Master Data'!C:C,'Master Data'!E:E)</f>
        <v/>
      </c>
      <c r="G404" s="89" t="str">
        <f t="array" ref="G404">XLOOKUP(C404,'Master Data'!C:C,'Master Data'!F:F)</f>
        <v/>
      </c>
      <c r="H404" s="89" t="str">
        <f t="array" ref="H404">XLOOKUP(C404,'Master Data'!C:C,'Master Data'!G:G)</f>
        <v/>
      </c>
      <c r="I404" s="90" t="str">
        <f t="array" ref="I404">XLOOKUP(C404,'Master Data'!C:C,'Master Data'!H:H)</f>
        <v/>
      </c>
      <c r="J404" s="91" t="s">
        <v>12</v>
      </c>
      <c r="K404" s="92"/>
      <c r="L404" s="92"/>
      <c r="M404" s="23"/>
      <c r="N404" s="23"/>
      <c r="O404" s="23"/>
    </row>
    <row r="405">
      <c r="A405" s="93" t="str">
        <f t="array" ref="A405">XLOOKUP(C405,'TSR Initiation'!C:C,'TSR Initiation'!A:A)</f>
        <v/>
      </c>
      <c r="B405" s="95"/>
      <c r="C405" s="71" t="s">
        <v>12</v>
      </c>
      <c r="D405" s="88" t="str">
        <f t="array" ref="D405">XLOOKUP(C405,'Master Data'!C:C,'Master Data'!D:D)</f>
        <v/>
      </c>
      <c r="E405" s="71" t="str">
        <f t="array" ref="E405">XLOOKUP(C405,'TSR Initiation'!C:C,'TSR Initiation'!E:E)</f>
        <v/>
      </c>
      <c r="F405" s="88" t="str">
        <f t="array" ref="F405">XLOOKUP(C405,'Master Data'!C:C,'Master Data'!E:E)</f>
        <v/>
      </c>
      <c r="G405" s="89" t="str">
        <f t="array" ref="G405">XLOOKUP(C405,'Master Data'!C:C,'Master Data'!F:F)</f>
        <v/>
      </c>
      <c r="H405" s="89" t="str">
        <f t="array" ref="H405">XLOOKUP(C405,'Master Data'!C:C,'Master Data'!G:G)</f>
        <v/>
      </c>
      <c r="I405" s="90" t="str">
        <f t="array" ref="I405">XLOOKUP(C405,'Master Data'!C:C,'Master Data'!H:H)</f>
        <v/>
      </c>
      <c r="J405" s="91" t="s">
        <v>12</v>
      </c>
      <c r="K405" s="92"/>
      <c r="L405" s="92"/>
      <c r="M405" s="23"/>
      <c r="N405" s="23"/>
      <c r="O405" s="23"/>
    </row>
    <row r="406">
      <c r="A406" s="93" t="str">
        <f t="array" ref="A406">XLOOKUP(C406,'TSR Initiation'!C:C,'TSR Initiation'!A:A)</f>
        <v/>
      </c>
      <c r="B406" s="95"/>
      <c r="C406" s="71" t="s">
        <v>12</v>
      </c>
      <c r="D406" s="88" t="str">
        <f t="array" ref="D406">XLOOKUP(C406,'Master Data'!C:C,'Master Data'!D:D)</f>
        <v/>
      </c>
      <c r="E406" s="71" t="str">
        <f t="array" ref="E406">XLOOKUP(C406,'TSR Initiation'!C:C,'TSR Initiation'!E:E)</f>
        <v/>
      </c>
      <c r="F406" s="88" t="str">
        <f t="array" ref="F406">XLOOKUP(C406,'Master Data'!C:C,'Master Data'!E:E)</f>
        <v/>
      </c>
      <c r="G406" s="89" t="str">
        <f t="array" ref="G406">XLOOKUP(C406,'Master Data'!C:C,'Master Data'!F:F)</f>
        <v/>
      </c>
      <c r="H406" s="89" t="str">
        <f t="array" ref="H406">XLOOKUP(C406,'Master Data'!C:C,'Master Data'!G:G)</f>
        <v/>
      </c>
      <c r="I406" s="90" t="str">
        <f t="array" ref="I406">XLOOKUP(C406,'Master Data'!C:C,'Master Data'!H:H)</f>
        <v/>
      </c>
      <c r="J406" s="91" t="s">
        <v>12</v>
      </c>
      <c r="K406" s="92"/>
      <c r="L406" s="92"/>
      <c r="M406" s="23"/>
      <c r="N406" s="23"/>
      <c r="O406" s="23"/>
    </row>
    <row r="407">
      <c r="A407" s="93" t="str">
        <f t="array" ref="A407">XLOOKUP(C407,'TSR Initiation'!C:C,'TSR Initiation'!A:A)</f>
        <v/>
      </c>
      <c r="B407" s="95"/>
      <c r="C407" s="71" t="s">
        <v>12</v>
      </c>
      <c r="D407" s="88" t="str">
        <f t="array" ref="D407">XLOOKUP(C407,'Master Data'!C:C,'Master Data'!D:D)</f>
        <v/>
      </c>
      <c r="E407" s="71" t="str">
        <f t="array" ref="E407">XLOOKUP(C407,'TSR Initiation'!C:C,'TSR Initiation'!E:E)</f>
        <v/>
      </c>
      <c r="F407" s="88" t="str">
        <f t="array" ref="F407">XLOOKUP(C407,'Master Data'!C:C,'Master Data'!E:E)</f>
        <v/>
      </c>
      <c r="G407" s="89" t="str">
        <f t="array" ref="G407">XLOOKUP(C407,'Master Data'!C:C,'Master Data'!F:F)</f>
        <v/>
      </c>
      <c r="H407" s="89" t="str">
        <f t="array" ref="H407">XLOOKUP(C407,'Master Data'!C:C,'Master Data'!G:G)</f>
        <v/>
      </c>
      <c r="I407" s="90" t="str">
        <f t="array" ref="I407">XLOOKUP(C407,'Master Data'!C:C,'Master Data'!H:H)</f>
        <v/>
      </c>
      <c r="J407" s="91" t="s">
        <v>12</v>
      </c>
      <c r="K407" s="92"/>
      <c r="L407" s="92"/>
      <c r="M407" s="23"/>
      <c r="N407" s="23"/>
      <c r="O407" s="23"/>
    </row>
    <row r="408">
      <c r="A408" s="93" t="str">
        <f t="array" ref="A408">XLOOKUP(C408,'TSR Initiation'!C:C,'TSR Initiation'!A:A)</f>
        <v/>
      </c>
      <c r="B408" s="95"/>
      <c r="C408" s="71" t="s">
        <v>12</v>
      </c>
      <c r="D408" s="88" t="str">
        <f t="array" ref="D408">XLOOKUP(C408,'Master Data'!C:C,'Master Data'!D:D)</f>
        <v/>
      </c>
      <c r="E408" s="71" t="str">
        <f t="array" ref="E408">XLOOKUP(C408,'TSR Initiation'!C:C,'TSR Initiation'!E:E)</f>
        <v/>
      </c>
      <c r="F408" s="88" t="str">
        <f t="array" ref="F408">XLOOKUP(C408,'Master Data'!C:C,'Master Data'!E:E)</f>
        <v/>
      </c>
      <c r="G408" s="89" t="str">
        <f t="array" ref="G408">XLOOKUP(C408,'Master Data'!C:C,'Master Data'!F:F)</f>
        <v/>
      </c>
      <c r="H408" s="89" t="str">
        <f t="array" ref="H408">XLOOKUP(C408,'Master Data'!C:C,'Master Data'!G:G)</f>
        <v/>
      </c>
      <c r="I408" s="90" t="str">
        <f t="array" ref="I408">XLOOKUP(C408,'Master Data'!C:C,'Master Data'!H:H)</f>
        <v/>
      </c>
      <c r="J408" s="91" t="s">
        <v>12</v>
      </c>
      <c r="K408" s="92"/>
      <c r="L408" s="92"/>
      <c r="M408" s="23"/>
      <c r="N408" s="23"/>
      <c r="O408" s="23"/>
    </row>
    <row r="409">
      <c r="A409" s="93" t="str">
        <f t="array" ref="A409">XLOOKUP(C409,'TSR Initiation'!C:C,'TSR Initiation'!A:A)</f>
        <v/>
      </c>
      <c r="B409" s="95"/>
      <c r="C409" s="71" t="s">
        <v>12</v>
      </c>
      <c r="D409" s="88" t="str">
        <f t="array" ref="D409">XLOOKUP(C409,'Master Data'!C:C,'Master Data'!D:D)</f>
        <v/>
      </c>
      <c r="E409" s="71" t="str">
        <f t="array" ref="E409">XLOOKUP(C409,'TSR Initiation'!C:C,'TSR Initiation'!E:E)</f>
        <v/>
      </c>
      <c r="F409" s="88" t="str">
        <f t="array" ref="F409">XLOOKUP(C409,'Master Data'!C:C,'Master Data'!E:E)</f>
        <v/>
      </c>
      <c r="G409" s="89" t="str">
        <f t="array" ref="G409">XLOOKUP(C409,'Master Data'!C:C,'Master Data'!F:F)</f>
        <v/>
      </c>
      <c r="H409" s="89" t="str">
        <f t="array" ref="H409">XLOOKUP(C409,'Master Data'!C:C,'Master Data'!G:G)</f>
        <v/>
      </c>
      <c r="I409" s="90" t="str">
        <f t="array" ref="I409">XLOOKUP(C409,'Master Data'!C:C,'Master Data'!H:H)</f>
        <v/>
      </c>
      <c r="J409" s="91" t="s">
        <v>12</v>
      </c>
      <c r="K409" s="92"/>
      <c r="L409" s="92"/>
      <c r="M409" s="23"/>
      <c r="N409" s="23"/>
      <c r="O409" s="23"/>
    </row>
    <row r="410">
      <c r="A410" s="93" t="str">
        <f t="array" ref="A410">XLOOKUP(C410,'TSR Initiation'!C:C,'TSR Initiation'!A:A)</f>
        <v/>
      </c>
      <c r="B410" s="95"/>
      <c r="C410" s="71" t="s">
        <v>12</v>
      </c>
      <c r="D410" s="88" t="str">
        <f t="array" ref="D410">XLOOKUP(C410,'Master Data'!C:C,'Master Data'!D:D)</f>
        <v/>
      </c>
      <c r="E410" s="71" t="str">
        <f t="array" ref="E410">XLOOKUP(C410,'TSR Initiation'!C:C,'TSR Initiation'!E:E)</f>
        <v/>
      </c>
      <c r="F410" s="88" t="str">
        <f t="array" ref="F410">XLOOKUP(C410,'Master Data'!C:C,'Master Data'!E:E)</f>
        <v/>
      </c>
      <c r="G410" s="89" t="str">
        <f t="array" ref="G410">XLOOKUP(C410,'Master Data'!C:C,'Master Data'!F:F)</f>
        <v/>
      </c>
      <c r="H410" s="89" t="str">
        <f t="array" ref="H410">XLOOKUP(C410,'Master Data'!C:C,'Master Data'!G:G)</f>
        <v/>
      </c>
      <c r="I410" s="90" t="str">
        <f t="array" ref="I410">XLOOKUP(C410,'Master Data'!C:C,'Master Data'!H:H)</f>
        <v/>
      </c>
      <c r="J410" s="91" t="s">
        <v>12</v>
      </c>
      <c r="K410" s="92"/>
      <c r="L410" s="92"/>
      <c r="M410" s="23"/>
      <c r="N410" s="23"/>
      <c r="O410" s="23"/>
    </row>
    <row r="411">
      <c r="A411" s="93" t="str">
        <f t="array" ref="A411">XLOOKUP(C411,'TSR Initiation'!C:C,'TSR Initiation'!A:A)</f>
        <v/>
      </c>
      <c r="B411" s="95"/>
      <c r="C411" s="71" t="s">
        <v>12</v>
      </c>
      <c r="D411" s="88" t="str">
        <f t="array" ref="D411">XLOOKUP(C411,'Master Data'!C:C,'Master Data'!D:D)</f>
        <v/>
      </c>
      <c r="E411" s="71" t="str">
        <f t="array" ref="E411">XLOOKUP(C411,'TSR Initiation'!C:C,'TSR Initiation'!E:E)</f>
        <v/>
      </c>
      <c r="F411" s="88" t="str">
        <f t="array" ref="F411">XLOOKUP(C411,'Master Data'!C:C,'Master Data'!E:E)</f>
        <v/>
      </c>
      <c r="G411" s="89" t="str">
        <f t="array" ref="G411">XLOOKUP(C411,'Master Data'!C:C,'Master Data'!F:F)</f>
        <v/>
      </c>
      <c r="H411" s="89" t="str">
        <f t="array" ref="H411">XLOOKUP(C411,'Master Data'!C:C,'Master Data'!G:G)</f>
        <v/>
      </c>
      <c r="I411" s="90" t="str">
        <f t="array" ref="I411">XLOOKUP(C411,'Master Data'!C:C,'Master Data'!H:H)</f>
        <v/>
      </c>
      <c r="J411" s="91" t="s">
        <v>12</v>
      </c>
      <c r="K411" s="92"/>
      <c r="L411" s="92"/>
      <c r="M411" s="23"/>
      <c r="N411" s="23"/>
      <c r="O411" s="23"/>
    </row>
    <row r="412">
      <c r="A412" s="93" t="str">
        <f t="array" ref="A412">XLOOKUP(C412,'TSR Initiation'!C:C,'TSR Initiation'!A:A)</f>
        <v/>
      </c>
      <c r="B412" s="95"/>
      <c r="C412" s="71" t="s">
        <v>12</v>
      </c>
      <c r="D412" s="88" t="str">
        <f t="array" ref="D412">XLOOKUP(C412,'Master Data'!C:C,'Master Data'!D:D)</f>
        <v/>
      </c>
      <c r="E412" s="71" t="str">
        <f t="array" ref="E412">XLOOKUP(C412,'TSR Initiation'!C:C,'TSR Initiation'!E:E)</f>
        <v/>
      </c>
      <c r="F412" s="88" t="str">
        <f t="array" ref="F412">XLOOKUP(C412,'Master Data'!C:C,'Master Data'!E:E)</f>
        <v/>
      </c>
      <c r="G412" s="89" t="str">
        <f t="array" ref="G412">XLOOKUP(C412,'Master Data'!C:C,'Master Data'!F:F)</f>
        <v/>
      </c>
      <c r="H412" s="89" t="str">
        <f t="array" ref="H412">XLOOKUP(C412,'Master Data'!C:C,'Master Data'!G:G)</f>
        <v/>
      </c>
      <c r="I412" s="90" t="str">
        <f t="array" ref="I412">XLOOKUP(C412,'Master Data'!C:C,'Master Data'!H:H)</f>
        <v/>
      </c>
      <c r="J412" s="91" t="s">
        <v>12</v>
      </c>
      <c r="K412" s="92"/>
      <c r="L412" s="92"/>
      <c r="M412" s="23"/>
      <c r="N412" s="23"/>
      <c r="O412" s="23"/>
    </row>
    <row r="413">
      <c r="A413" s="93" t="str">
        <f t="array" ref="A413">XLOOKUP(C413,'TSR Initiation'!C:C,'TSR Initiation'!A:A)</f>
        <v/>
      </c>
      <c r="B413" s="95"/>
      <c r="C413" s="71" t="s">
        <v>12</v>
      </c>
      <c r="D413" s="88" t="str">
        <f t="array" ref="D413">XLOOKUP(C413,'Master Data'!C:C,'Master Data'!D:D)</f>
        <v/>
      </c>
      <c r="E413" s="71" t="str">
        <f t="array" ref="E413">XLOOKUP(C413,'TSR Initiation'!C:C,'TSR Initiation'!E:E)</f>
        <v/>
      </c>
      <c r="F413" s="88" t="str">
        <f t="array" ref="F413">XLOOKUP(C413,'Master Data'!C:C,'Master Data'!E:E)</f>
        <v/>
      </c>
      <c r="G413" s="89" t="str">
        <f t="array" ref="G413">XLOOKUP(C413,'Master Data'!C:C,'Master Data'!F:F)</f>
        <v/>
      </c>
      <c r="H413" s="89" t="str">
        <f t="array" ref="H413">XLOOKUP(C413,'Master Data'!C:C,'Master Data'!G:G)</f>
        <v/>
      </c>
      <c r="I413" s="90" t="str">
        <f t="array" ref="I413">XLOOKUP(C413,'Master Data'!C:C,'Master Data'!H:H)</f>
        <v/>
      </c>
      <c r="J413" s="91" t="s">
        <v>12</v>
      </c>
      <c r="K413" s="92"/>
      <c r="L413" s="92"/>
      <c r="M413" s="23"/>
      <c r="N413" s="23"/>
      <c r="O413" s="23"/>
    </row>
    <row r="414">
      <c r="A414" s="93" t="str">
        <f t="array" ref="A414">XLOOKUP(C414,'TSR Initiation'!C:C,'TSR Initiation'!A:A)</f>
        <v/>
      </c>
      <c r="B414" s="95"/>
      <c r="C414" s="71" t="s">
        <v>12</v>
      </c>
      <c r="D414" s="88" t="str">
        <f t="array" ref="D414">XLOOKUP(C414,'Master Data'!C:C,'Master Data'!D:D)</f>
        <v/>
      </c>
      <c r="E414" s="71" t="str">
        <f t="array" ref="E414">XLOOKUP(C414,'TSR Initiation'!C:C,'TSR Initiation'!E:E)</f>
        <v/>
      </c>
      <c r="F414" s="88" t="str">
        <f t="array" ref="F414">XLOOKUP(C414,'Master Data'!C:C,'Master Data'!E:E)</f>
        <v/>
      </c>
      <c r="G414" s="89" t="str">
        <f t="array" ref="G414">XLOOKUP(C414,'Master Data'!C:C,'Master Data'!F:F)</f>
        <v/>
      </c>
      <c r="H414" s="89" t="str">
        <f t="array" ref="H414">XLOOKUP(C414,'Master Data'!C:C,'Master Data'!G:G)</f>
        <v/>
      </c>
      <c r="I414" s="90" t="str">
        <f t="array" ref="I414">XLOOKUP(C414,'Master Data'!C:C,'Master Data'!H:H)</f>
        <v/>
      </c>
      <c r="J414" s="91" t="s">
        <v>12</v>
      </c>
      <c r="K414" s="92"/>
      <c r="L414" s="92"/>
      <c r="M414" s="23"/>
      <c r="N414" s="23"/>
      <c r="O414" s="23"/>
    </row>
    <row r="415">
      <c r="A415" s="93" t="str">
        <f t="array" ref="A415">XLOOKUP(C415,'TSR Initiation'!C:C,'TSR Initiation'!A:A)</f>
        <v/>
      </c>
      <c r="B415" s="95"/>
      <c r="C415" s="71" t="s">
        <v>12</v>
      </c>
      <c r="D415" s="88" t="str">
        <f t="array" ref="D415">XLOOKUP(C415,'Master Data'!C:C,'Master Data'!D:D)</f>
        <v/>
      </c>
      <c r="E415" s="71" t="str">
        <f t="array" ref="E415">XLOOKUP(C415,'TSR Initiation'!C:C,'TSR Initiation'!E:E)</f>
        <v/>
      </c>
      <c r="F415" s="88" t="str">
        <f t="array" ref="F415">XLOOKUP(C415,'Master Data'!C:C,'Master Data'!E:E)</f>
        <v/>
      </c>
      <c r="G415" s="89" t="str">
        <f t="array" ref="G415">XLOOKUP(C415,'Master Data'!C:C,'Master Data'!F:F)</f>
        <v/>
      </c>
      <c r="H415" s="89" t="str">
        <f t="array" ref="H415">XLOOKUP(C415,'Master Data'!C:C,'Master Data'!G:G)</f>
        <v/>
      </c>
      <c r="I415" s="90" t="str">
        <f t="array" ref="I415">XLOOKUP(C415,'Master Data'!C:C,'Master Data'!H:H)</f>
        <v/>
      </c>
      <c r="J415" s="91" t="s">
        <v>12</v>
      </c>
      <c r="K415" s="92"/>
      <c r="L415" s="92"/>
      <c r="M415" s="23"/>
      <c r="N415" s="23"/>
      <c r="O415" s="23"/>
    </row>
    <row r="416">
      <c r="A416" s="93" t="str">
        <f t="array" ref="A416">XLOOKUP(C416,'TSR Initiation'!C:C,'TSR Initiation'!A:A)</f>
        <v/>
      </c>
      <c r="B416" s="95"/>
      <c r="C416" s="71" t="s">
        <v>12</v>
      </c>
      <c r="D416" s="88" t="str">
        <f t="array" ref="D416">XLOOKUP(C416,'Master Data'!C:C,'Master Data'!D:D)</f>
        <v/>
      </c>
      <c r="E416" s="71" t="str">
        <f t="array" ref="E416">XLOOKUP(C416,'TSR Initiation'!C:C,'TSR Initiation'!E:E)</f>
        <v/>
      </c>
      <c r="F416" s="88" t="str">
        <f t="array" ref="F416">XLOOKUP(C416,'Master Data'!C:C,'Master Data'!E:E)</f>
        <v/>
      </c>
      <c r="G416" s="89" t="str">
        <f t="array" ref="G416">XLOOKUP(C416,'Master Data'!C:C,'Master Data'!F:F)</f>
        <v/>
      </c>
      <c r="H416" s="89" t="str">
        <f t="array" ref="H416">XLOOKUP(C416,'Master Data'!C:C,'Master Data'!G:G)</f>
        <v/>
      </c>
      <c r="I416" s="90" t="str">
        <f t="array" ref="I416">XLOOKUP(C416,'Master Data'!C:C,'Master Data'!H:H)</f>
        <v/>
      </c>
      <c r="J416" s="91" t="s">
        <v>12</v>
      </c>
      <c r="K416" s="92"/>
      <c r="L416" s="92"/>
      <c r="M416" s="23"/>
      <c r="N416" s="23"/>
      <c r="O416" s="23"/>
    </row>
    <row r="417">
      <c r="A417" s="93" t="str">
        <f t="array" ref="A417">XLOOKUP(C417,'TSR Initiation'!C:C,'TSR Initiation'!A:A)</f>
        <v/>
      </c>
      <c r="B417" s="95"/>
      <c r="C417" s="71" t="s">
        <v>12</v>
      </c>
      <c r="D417" s="88" t="str">
        <f t="array" ref="D417">XLOOKUP(C417,'Master Data'!C:C,'Master Data'!D:D)</f>
        <v/>
      </c>
      <c r="E417" s="71" t="str">
        <f t="array" ref="E417">XLOOKUP(C417,'TSR Initiation'!C:C,'TSR Initiation'!E:E)</f>
        <v/>
      </c>
      <c r="F417" s="88" t="str">
        <f t="array" ref="F417">XLOOKUP(C417,'Master Data'!C:C,'Master Data'!E:E)</f>
        <v/>
      </c>
      <c r="G417" s="89" t="str">
        <f t="array" ref="G417">XLOOKUP(C417,'Master Data'!C:C,'Master Data'!F:F)</f>
        <v/>
      </c>
      <c r="H417" s="89" t="str">
        <f t="array" ref="H417">XLOOKUP(C417,'Master Data'!C:C,'Master Data'!G:G)</f>
        <v/>
      </c>
      <c r="I417" s="90" t="str">
        <f t="array" ref="I417">XLOOKUP(C417,'Master Data'!C:C,'Master Data'!H:H)</f>
        <v/>
      </c>
      <c r="J417" s="91" t="s">
        <v>12</v>
      </c>
      <c r="K417" s="92"/>
      <c r="L417" s="92"/>
      <c r="M417" s="23"/>
      <c r="N417" s="23"/>
      <c r="O417" s="23"/>
    </row>
    <row r="418">
      <c r="A418" s="93" t="str">
        <f t="array" ref="A418">XLOOKUP(C418,'TSR Initiation'!C:C,'TSR Initiation'!A:A)</f>
        <v/>
      </c>
      <c r="B418" s="95"/>
      <c r="C418" s="71" t="s">
        <v>12</v>
      </c>
      <c r="D418" s="88" t="str">
        <f t="array" ref="D418">XLOOKUP(C418,'Master Data'!C:C,'Master Data'!D:D)</f>
        <v/>
      </c>
      <c r="E418" s="71" t="str">
        <f t="array" ref="E418">XLOOKUP(C418,'TSR Initiation'!C:C,'TSR Initiation'!E:E)</f>
        <v/>
      </c>
      <c r="F418" s="88" t="str">
        <f t="array" ref="F418">XLOOKUP(C418,'Master Data'!C:C,'Master Data'!E:E)</f>
        <v/>
      </c>
      <c r="G418" s="89" t="str">
        <f t="array" ref="G418">XLOOKUP(C418,'Master Data'!C:C,'Master Data'!F:F)</f>
        <v/>
      </c>
      <c r="H418" s="89" t="str">
        <f t="array" ref="H418">XLOOKUP(C418,'Master Data'!C:C,'Master Data'!G:G)</f>
        <v/>
      </c>
      <c r="I418" s="90" t="str">
        <f t="array" ref="I418">XLOOKUP(C418,'Master Data'!C:C,'Master Data'!H:H)</f>
        <v/>
      </c>
      <c r="J418" s="91" t="s">
        <v>12</v>
      </c>
      <c r="K418" s="92"/>
      <c r="L418" s="92"/>
      <c r="M418" s="23"/>
      <c r="N418" s="23"/>
      <c r="O418" s="23"/>
    </row>
    <row r="419">
      <c r="A419" s="93" t="str">
        <f t="array" ref="A419">XLOOKUP(C419,'TSR Initiation'!C:C,'TSR Initiation'!A:A)</f>
        <v/>
      </c>
      <c r="B419" s="95"/>
      <c r="C419" s="71" t="s">
        <v>12</v>
      </c>
      <c r="D419" s="88" t="str">
        <f t="array" ref="D419">XLOOKUP(C419,'Master Data'!C:C,'Master Data'!D:D)</f>
        <v/>
      </c>
      <c r="E419" s="71" t="str">
        <f t="array" ref="E419">XLOOKUP(C419,'TSR Initiation'!C:C,'TSR Initiation'!E:E)</f>
        <v/>
      </c>
      <c r="F419" s="88" t="str">
        <f t="array" ref="F419">XLOOKUP(C419,'Master Data'!C:C,'Master Data'!E:E)</f>
        <v/>
      </c>
      <c r="G419" s="89" t="str">
        <f t="array" ref="G419">XLOOKUP(C419,'Master Data'!C:C,'Master Data'!F:F)</f>
        <v/>
      </c>
      <c r="H419" s="89" t="str">
        <f t="array" ref="H419">XLOOKUP(C419,'Master Data'!C:C,'Master Data'!G:G)</f>
        <v/>
      </c>
      <c r="I419" s="90" t="str">
        <f t="array" ref="I419">XLOOKUP(C419,'Master Data'!C:C,'Master Data'!H:H)</f>
        <v/>
      </c>
      <c r="J419" s="91" t="s">
        <v>12</v>
      </c>
      <c r="K419" s="92"/>
      <c r="L419" s="92"/>
      <c r="M419" s="23"/>
      <c r="N419" s="23"/>
      <c r="O419" s="23"/>
    </row>
    <row r="420">
      <c r="A420" s="93" t="str">
        <f t="array" ref="A420">XLOOKUP(C420,'TSR Initiation'!C:C,'TSR Initiation'!A:A)</f>
        <v/>
      </c>
      <c r="B420" s="95"/>
      <c r="C420" s="71" t="s">
        <v>12</v>
      </c>
      <c r="D420" s="88" t="str">
        <f t="array" ref="D420">XLOOKUP(C420,'Master Data'!C:C,'Master Data'!D:D)</f>
        <v/>
      </c>
      <c r="E420" s="71" t="str">
        <f t="array" ref="E420">XLOOKUP(C420,'TSR Initiation'!C:C,'TSR Initiation'!E:E)</f>
        <v/>
      </c>
      <c r="F420" s="88" t="str">
        <f t="array" ref="F420">XLOOKUP(C420,'Master Data'!C:C,'Master Data'!E:E)</f>
        <v/>
      </c>
      <c r="G420" s="89" t="str">
        <f t="array" ref="G420">XLOOKUP(C420,'Master Data'!C:C,'Master Data'!F:F)</f>
        <v/>
      </c>
      <c r="H420" s="89" t="str">
        <f t="array" ref="H420">XLOOKUP(C420,'Master Data'!C:C,'Master Data'!G:G)</f>
        <v/>
      </c>
      <c r="I420" s="90" t="str">
        <f t="array" ref="I420">XLOOKUP(C420,'Master Data'!C:C,'Master Data'!H:H)</f>
        <v/>
      </c>
      <c r="J420" s="91" t="s">
        <v>12</v>
      </c>
      <c r="K420" s="92"/>
      <c r="L420" s="92"/>
      <c r="M420" s="23"/>
      <c r="N420" s="23"/>
      <c r="O420" s="23"/>
    </row>
    <row r="421">
      <c r="A421" s="93" t="str">
        <f t="array" ref="A421">XLOOKUP(C421,'TSR Initiation'!C:C,'TSR Initiation'!A:A)</f>
        <v/>
      </c>
      <c r="B421" s="95"/>
      <c r="C421" s="71" t="s">
        <v>12</v>
      </c>
      <c r="D421" s="88" t="str">
        <f t="array" ref="D421">XLOOKUP(C421,'Master Data'!C:C,'Master Data'!D:D)</f>
        <v/>
      </c>
      <c r="E421" s="71" t="str">
        <f t="array" ref="E421">XLOOKUP(C421,'TSR Initiation'!C:C,'TSR Initiation'!E:E)</f>
        <v/>
      </c>
      <c r="F421" s="88" t="str">
        <f t="array" ref="F421">XLOOKUP(C421,'Master Data'!C:C,'Master Data'!E:E)</f>
        <v/>
      </c>
      <c r="G421" s="89" t="str">
        <f t="array" ref="G421">XLOOKUP(C421,'Master Data'!C:C,'Master Data'!F:F)</f>
        <v/>
      </c>
      <c r="H421" s="89" t="str">
        <f t="array" ref="H421">XLOOKUP(C421,'Master Data'!C:C,'Master Data'!G:G)</f>
        <v/>
      </c>
      <c r="I421" s="90" t="str">
        <f t="array" ref="I421">XLOOKUP(C421,'Master Data'!C:C,'Master Data'!H:H)</f>
        <v/>
      </c>
      <c r="J421" s="91" t="s">
        <v>12</v>
      </c>
      <c r="K421" s="92"/>
      <c r="L421" s="92"/>
      <c r="M421" s="23"/>
      <c r="N421" s="23"/>
      <c r="O421" s="23"/>
    </row>
    <row r="422">
      <c r="A422" s="93" t="str">
        <f t="array" ref="A422">XLOOKUP(C422,'TSR Initiation'!C:C,'TSR Initiation'!A:A)</f>
        <v/>
      </c>
      <c r="B422" s="95"/>
      <c r="C422" s="71" t="s">
        <v>12</v>
      </c>
      <c r="D422" s="88" t="str">
        <f t="array" ref="D422">XLOOKUP(C422,'Master Data'!C:C,'Master Data'!D:D)</f>
        <v/>
      </c>
      <c r="E422" s="71" t="str">
        <f t="array" ref="E422">XLOOKUP(C422,'TSR Initiation'!C:C,'TSR Initiation'!E:E)</f>
        <v/>
      </c>
      <c r="F422" s="88" t="str">
        <f t="array" ref="F422">XLOOKUP(C422,'Master Data'!C:C,'Master Data'!E:E)</f>
        <v/>
      </c>
      <c r="G422" s="89" t="str">
        <f t="array" ref="G422">XLOOKUP(C422,'Master Data'!C:C,'Master Data'!F:F)</f>
        <v/>
      </c>
      <c r="H422" s="89" t="str">
        <f t="array" ref="H422">XLOOKUP(C422,'Master Data'!C:C,'Master Data'!G:G)</f>
        <v/>
      </c>
      <c r="I422" s="90" t="str">
        <f t="array" ref="I422">XLOOKUP(C422,'Master Data'!C:C,'Master Data'!H:H)</f>
        <v/>
      </c>
      <c r="J422" s="91" t="s">
        <v>12</v>
      </c>
      <c r="K422" s="92"/>
      <c r="L422" s="92"/>
      <c r="M422" s="23"/>
      <c r="N422" s="23"/>
      <c r="O422" s="23"/>
    </row>
    <row r="423">
      <c r="A423" s="93" t="str">
        <f t="array" ref="A423">XLOOKUP(C423,'TSR Initiation'!C:C,'TSR Initiation'!A:A)</f>
        <v/>
      </c>
      <c r="B423" s="95"/>
      <c r="C423" s="71" t="s">
        <v>12</v>
      </c>
      <c r="D423" s="88" t="str">
        <f t="array" ref="D423">XLOOKUP(C423,'Master Data'!C:C,'Master Data'!D:D)</f>
        <v/>
      </c>
      <c r="E423" s="71" t="str">
        <f t="array" ref="E423">XLOOKUP(C423,'TSR Initiation'!C:C,'TSR Initiation'!E:E)</f>
        <v/>
      </c>
      <c r="F423" s="88" t="str">
        <f t="array" ref="F423">XLOOKUP(C423,'Master Data'!C:C,'Master Data'!E:E)</f>
        <v/>
      </c>
      <c r="G423" s="89" t="str">
        <f t="array" ref="G423">XLOOKUP(C423,'Master Data'!C:C,'Master Data'!F:F)</f>
        <v/>
      </c>
      <c r="H423" s="89" t="str">
        <f t="array" ref="H423">XLOOKUP(C423,'Master Data'!C:C,'Master Data'!G:G)</f>
        <v/>
      </c>
      <c r="I423" s="90" t="str">
        <f t="array" ref="I423">XLOOKUP(C423,'Master Data'!C:C,'Master Data'!H:H)</f>
        <v/>
      </c>
      <c r="J423" s="91" t="s">
        <v>12</v>
      </c>
      <c r="K423" s="92"/>
      <c r="L423" s="92"/>
      <c r="M423" s="23"/>
      <c r="N423" s="23"/>
      <c r="O423" s="23"/>
    </row>
    <row r="424">
      <c r="A424" s="93" t="str">
        <f t="array" ref="A424">XLOOKUP(C424,'TSR Initiation'!C:C,'TSR Initiation'!A:A)</f>
        <v/>
      </c>
      <c r="B424" s="95"/>
      <c r="C424" s="71" t="s">
        <v>12</v>
      </c>
      <c r="D424" s="88" t="str">
        <f t="array" ref="D424">XLOOKUP(C424,'Master Data'!C:C,'Master Data'!D:D)</f>
        <v/>
      </c>
      <c r="E424" s="71" t="str">
        <f t="array" ref="E424">XLOOKUP(C424,'TSR Initiation'!C:C,'TSR Initiation'!E:E)</f>
        <v/>
      </c>
      <c r="F424" s="88" t="str">
        <f t="array" ref="F424">XLOOKUP(C424,'Master Data'!C:C,'Master Data'!E:E)</f>
        <v/>
      </c>
      <c r="G424" s="89" t="str">
        <f t="array" ref="G424">XLOOKUP(C424,'Master Data'!C:C,'Master Data'!F:F)</f>
        <v/>
      </c>
      <c r="H424" s="89" t="str">
        <f t="array" ref="H424">XLOOKUP(C424,'Master Data'!C:C,'Master Data'!G:G)</f>
        <v/>
      </c>
      <c r="I424" s="90" t="str">
        <f t="array" ref="I424">XLOOKUP(C424,'Master Data'!C:C,'Master Data'!H:H)</f>
        <v/>
      </c>
      <c r="J424" s="91" t="s">
        <v>12</v>
      </c>
      <c r="K424" s="92"/>
      <c r="L424" s="92"/>
      <c r="M424" s="23"/>
      <c r="N424" s="23"/>
      <c r="O424" s="23"/>
    </row>
    <row r="425">
      <c r="A425" s="93" t="str">
        <f t="array" ref="A425">XLOOKUP(C425,'TSR Initiation'!C:C,'TSR Initiation'!A:A)</f>
        <v/>
      </c>
      <c r="B425" s="95"/>
      <c r="C425" s="71" t="s">
        <v>12</v>
      </c>
      <c r="D425" s="88" t="str">
        <f t="array" ref="D425">XLOOKUP(C425,'Master Data'!C:C,'Master Data'!D:D)</f>
        <v/>
      </c>
      <c r="E425" s="71" t="str">
        <f t="array" ref="E425">XLOOKUP(C425,'TSR Initiation'!C:C,'TSR Initiation'!E:E)</f>
        <v/>
      </c>
      <c r="F425" s="88" t="str">
        <f t="array" ref="F425">XLOOKUP(C425,'Master Data'!C:C,'Master Data'!E:E)</f>
        <v/>
      </c>
      <c r="G425" s="89" t="str">
        <f t="array" ref="G425">XLOOKUP(C425,'Master Data'!C:C,'Master Data'!F:F)</f>
        <v/>
      </c>
      <c r="H425" s="89" t="str">
        <f t="array" ref="H425">XLOOKUP(C425,'Master Data'!C:C,'Master Data'!G:G)</f>
        <v/>
      </c>
      <c r="I425" s="90" t="str">
        <f t="array" ref="I425">XLOOKUP(C425,'Master Data'!C:C,'Master Data'!H:H)</f>
        <v/>
      </c>
      <c r="J425" s="91" t="s">
        <v>12</v>
      </c>
      <c r="K425" s="92"/>
      <c r="L425" s="92"/>
      <c r="M425" s="23"/>
      <c r="N425" s="23"/>
      <c r="O425" s="23"/>
    </row>
    <row r="426">
      <c r="A426" s="93" t="str">
        <f t="array" ref="A426">XLOOKUP(C426,'TSR Initiation'!C:C,'TSR Initiation'!A:A)</f>
        <v/>
      </c>
      <c r="B426" s="95"/>
      <c r="C426" s="71" t="s">
        <v>12</v>
      </c>
      <c r="D426" s="88" t="str">
        <f t="array" ref="D426">XLOOKUP(C426,'Master Data'!C:C,'Master Data'!D:D)</f>
        <v/>
      </c>
      <c r="E426" s="71" t="str">
        <f t="array" ref="E426">XLOOKUP(C426,'TSR Initiation'!C:C,'TSR Initiation'!E:E)</f>
        <v/>
      </c>
      <c r="F426" s="88" t="str">
        <f t="array" ref="F426">XLOOKUP(C426,'Master Data'!C:C,'Master Data'!E:E)</f>
        <v/>
      </c>
      <c r="G426" s="89" t="str">
        <f t="array" ref="G426">XLOOKUP(C426,'Master Data'!C:C,'Master Data'!F:F)</f>
        <v/>
      </c>
      <c r="H426" s="89" t="str">
        <f t="array" ref="H426">XLOOKUP(C426,'Master Data'!C:C,'Master Data'!G:G)</f>
        <v/>
      </c>
      <c r="I426" s="90" t="str">
        <f t="array" ref="I426">XLOOKUP(C426,'Master Data'!C:C,'Master Data'!H:H)</f>
        <v/>
      </c>
      <c r="J426" s="91" t="s">
        <v>12</v>
      </c>
      <c r="K426" s="92"/>
      <c r="L426" s="92"/>
      <c r="M426" s="23"/>
      <c r="N426" s="23"/>
      <c r="O426" s="23"/>
    </row>
    <row r="427">
      <c r="A427" s="93" t="str">
        <f t="array" ref="A427">XLOOKUP(C427,'TSR Initiation'!C:C,'TSR Initiation'!A:A)</f>
        <v/>
      </c>
      <c r="B427" s="95"/>
      <c r="C427" s="71" t="s">
        <v>12</v>
      </c>
      <c r="D427" s="88" t="str">
        <f t="array" ref="D427">XLOOKUP(C427,'Master Data'!C:C,'Master Data'!D:D)</f>
        <v/>
      </c>
      <c r="E427" s="71" t="str">
        <f t="array" ref="E427">XLOOKUP(C427,'TSR Initiation'!C:C,'TSR Initiation'!E:E)</f>
        <v/>
      </c>
      <c r="F427" s="88" t="str">
        <f t="array" ref="F427">XLOOKUP(C427,'Master Data'!C:C,'Master Data'!E:E)</f>
        <v/>
      </c>
      <c r="G427" s="89" t="str">
        <f t="array" ref="G427">XLOOKUP(C427,'Master Data'!C:C,'Master Data'!F:F)</f>
        <v/>
      </c>
      <c r="H427" s="89" t="str">
        <f t="array" ref="H427">XLOOKUP(C427,'Master Data'!C:C,'Master Data'!G:G)</f>
        <v/>
      </c>
      <c r="I427" s="90" t="str">
        <f t="array" ref="I427">XLOOKUP(C427,'Master Data'!C:C,'Master Data'!H:H)</f>
        <v/>
      </c>
      <c r="J427" s="91" t="s">
        <v>12</v>
      </c>
      <c r="K427" s="92"/>
      <c r="L427" s="92"/>
      <c r="M427" s="23"/>
      <c r="N427" s="23"/>
      <c r="O427" s="23"/>
    </row>
    <row r="428">
      <c r="A428" s="93" t="str">
        <f t="array" ref="A428">XLOOKUP(C428,'TSR Initiation'!C:C,'TSR Initiation'!A:A)</f>
        <v/>
      </c>
      <c r="B428" s="95"/>
      <c r="C428" s="71" t="s">
        <v>12</v>
      </c>
      <c r="D428" s="88" t="str">
        <f t="array" ref="D428">XLOOKUP(C428,'Master Data'!C:C,'Master Data'!D:D)</f>
        <v/>
      </c>
      <c r="E428" s="71" t="str">
        <f t="array" ref="E428">XLOOKUP(C428,'TSR Initiation'!C:C,'TSR Initiation'!E:E)</f>
        <v/>
      </c>
      <c r="F428" s="88" t="str">
        <f t="array" ref="F428">XLOOKUP(C428,'Master Data'!C:C,'Master Data'!E:E)</f>
        <v/>
      </c>
      <c r="G428" s="89" t="str">
        <f t="array" ref="G428">XLOOKUP(C428,'Master Data'!C:C,'Master Data'!F:F)</f>
        <v/>
      </c>
      <c r="H428" s="89" t="str">
        <f t="array" ref="H428">XLOOKUP(C428,'Master Data'!C:C,'Master Data'!G:G)</f>
        <v/>
      </c>
      <c r="I428" s="90" t="str">
        <f t="array" ref="I428">XLOOKUP(C428,'Master Data'!C:C,'Master Data'!H:H)</f>
        <v/>
      </c>
      <c r="J428" s="91" t="s">
        <v>12</v>
      </c>
      <c r="K428" s="92"/>
      <c r="L428" s="92"/>
      <c r="M428" s="23"/>
      <c r="N428" s="23"/>
      <c r="O428" s="23"/>
    </row>
    <row r="429">
      <c r="A429" s="93" t="str">
        <f t="array" ref="A429">XLOOKUP(C429,'TSR Initiation'!C:C,'TSR Initiation'!A:A)</f>
        <v/>
      </c>
      <c r="B429" s="95"/>
      <c r="C429" s="71" t="s">
        <v>12</v>
      </c>
      <c r="D429" s="88" t="str">
        <f t="array" ref="D429">XLOOKUP(C429,'Master Data'!C:C,'Master Data'!D:D)</f>
        <v/>
      </c>
      <c r="E429" s="71" t="str">
        <f t="array" ref="E429">XLOOKUP(C429,'TSR Initiation'!C:C,'TSR Initiation'!E:E)</f>
        <v/>
      </c>
      <c r="F429" s="88" t="str">
        <f t="array" ref="F429">XLOOKUP(C429,'Master Data'!C:C,'Master Data'!E:E)</f>
        <v/>
      </c>
      <c r="G429" s="89" t="str">
        <f t="array" ref="G429">XLOOKUP(C429,'Master Data'!C:C,'Master Data'!F:F)</f>
        <v/>
      </c>
      <c r="H429" s="89" t="str">
        <f t="array" ref="H429">XLOOKUP(C429,'Master Data'!C:C,'Master Data'!G:G)</f>
        <v/>
      </c>
      <c r="I429" s="90" t="str">
        <f t="array" ref="I429">XLOOKUP(C429,'Master Data'!C:C,'Master Data'!H:H)</f>
        <v/>
      </c>
      <c r="J429" s="91" t="s">
        <v>12</v>
      </c>
      <c r="K429" s="92"/>
      <c r="L429" s="92"/>
      <c r="M429" s="23"/>
      <c r="N429" s="23"/>
      <c r="O429" s="23"/>
    </row>
    <row r="430">
      <c r="A430" s="93" t="str">
        <f t="array" ref="A430">XLOOKUP(C430,'TSR Initiation'!C:C,'TSR Initiation'!A:A)</f>
        <v/>
      </c>
      <c r="B430" s="95"/>
      <c r="C430" s="71" t="s">
        <v>12</v>
      </c>
      <c r="D430" s="88" t="str">
        <f t="array" ref="D430">XLOOKUP(C430,'Master Data'!C:C,'Master Data'!D:D)</f>
        <v/>
      </c>
      <c r="E430" s="71" t="str">
        <f t="array" ref="E430">XLOOKUP(C430,'TSR Initiation'!C:C,'TSR Initiation'!E:E)</f>
        <v/>
      </c>
      <c r="F430" s="88" t="str">
        <f t="array" ref="F430">XLOOKUP(C430,'Master Data'!C:C,'Master Data'!E:E)</f>
        <v/>
      </c>
      <c r="G430" s="89" t="str">
        <f t="array" ref="G430">XLOOKUP(C430,'Master Data'!C:C,'Master Data'!F:F)</f>
        <v/>
      </c>
      <c r="H430" s="89" t="str">
        <f t="array" ref="H430">XLOOKUP(C430,'Master Data'!C:C,'Master Data'!G:G)</f>
        <v/>
      </c>
      <c r="I430" s="90" t="str">
        <f t="array" ref="I430">XLOOKUP(C430,'Master Data'!C:C,'Master Data'!H:H)</f>
        <v/>
      </c>
      <c r="J430" s="91" t="s">
        <v>12</v>
      </c>
      <c r="K430" s="92"/>
      <c r="L430" s="92"/>
      <c r="M430" s="23"/>
      <c r="N430" s="23"/>
      <c r="O430" s="23"/>
    </row>
    <row r="431">
      <c r="A431" s="93" t="str">
        <f t="array" ref="A431">XLOOKUP(C431,'TSR Initiation'!C:C,'TSR Initiation'!A:A)</f>
        <v/>
      </c>
      <c r="B431" s="95"/>
      <c r="C431" s="71" t="s">
        <v>12</v>
      </c>
      <c r="D431" s="88" t="str">
        <f t="array" ref="D431">XLOOKUP(C431,'Master Data'!C:C,'Master Data'!D:D)</f>
        <v/>
      </c>
      <c r="E431" s="71" t="str">
        <f t="array" ref="E431">XLOOKUP(C431,'TSR Initiation'!C:C,'TSR Initiation'!E:E)</f>
        <v/>
      </c>
      <c r="F431" s="88" t="str">
        <f t="array" ref="F431">XLOOKUP(C431,'Master Data'!C:C,'Master Data'!E:E)</f>
        <v/>
      </c>
      <c r="G431" s="89" t="str">
        <f t="array" ref="G431">XLOOKUP(C431,'Master Data'!C:C,'Master Data'!F:F)</f>
        <v/>
      </c>
      <c r="H431" s="89" t="str">
        <f t="array" ref="H431">XLOOKUP(C431,'Master Data'!C:C,'Master Data'!G:G)</f>
        <v/>
      </c>
      <c r="I431" s="90" t="str">
        <f t="array" ref="I431">XLOOKUP(C431,'Master Data'!C:C,'Master Data'!H:H)</f>
        <v/>
      </c>
      <c r="J431" s="91" t="s">
        <v>12</v>
      </c>
      <c r="K431" s="92"/>
      <c r="L431" s="92"/>
      <c r="M431" s="23"/>
      <c r="N431" s="23"/>
      <c r="O431" s="23"/>
    </row>
    <row r="432">
      <c r="A432" s="93" t="str">
        <f t="array" ref="A432">XLOOKUP(C432,'TSR Initiation'!C:C,'TSR Initiation'!A:A)</f>
        <v/>
      </c>
      <c r="B432" s="95"/>
      <c r="C432" s="71" t="s">
        <v>12</v>
      </c>
      <c r="D432" s="88" t="str">
        <f t="array" ref="D432">XLOOKUP(C432,'Master Data'!C:C,'Master Data'!D:D)</f>
        <v/>
      </c>
      <c r="E432" s="71" t="str">
        <f t="array" ref="E432">XLOOKUP(C432,'TSR Initiation'!C:C,'TSR Initiation'!E:E)</f>
        <v/>
      </c>
      <c r="F432" s="88" t="str">
        <f t="array" ref="F432">XLOOKUP(C432,'Master Data'!C:C,'Master Data'!E:E)</f>
        <v/>
      </c>
      <c r="G432" s="89" t="str">
        <f t="array" ref="G432">XLOOKUP(C432,'Master Data'!C:C,'Master Data'!F:F)</f>
        <v/>
      </c>
      <c r="H432" s="89" t="str">
        <f t="array" ref="H432">XLOOKUP(C432,'Master Data'!C:C,'Master Data'!G:G)</f>
        <v/>
      </c>
      <c r="I432" s="90" t="str">
        <f t="array" ref="I432">XLOOKUP(C432,'Master Data'!C:C,'Master Data'!H:H)</f>
        <v/>
      </c>
      <c r="J432" s="91" t="s">
        <v>12</v>
      </c>
      <c r="K432" s="92"/>
      <c r="L432" s="92"/>
      <c r="M432" s="23"/>
      <c r="N432" s="23"/>
      <c r="O432" s="23"/>
    </row>
    <row r="433">
      <c r="A433" s="93" t="str">
        <f t="array" ref="A433">XLOOKUP(C433,'TSR Initiation'!C:C,'TSR Initiation'!A:A)</f>
        <v/>
      </c>
      <c r="B433" s="95"/>
      <c r="C433" s="71" t="s">
        <v>12</v>
      </c>
      <c r="D433" s="88" t="str">
        <f t="array" ref="D433">XLOOKUP(C433,'Master Data'!C:C,'Master Data'!D:D)</f>
        <v/>
      </c>
      <c r="E433" s="71" t="str">
        <f t="array" ref="E433">XLOOKUP(C433,'TSR Initiation'!C:C,'TSR Initiation'!E:E)</f>
        <v/>
      </c>
      <c r="F433" s="88" t="str">
        <f t="array" ref="F433">XLOOKUP(C433,'Master Data'!C:C,'Master Data'!E:E)</f>
        <v/>
      </c>
      <c r="G433" s="89" t="str">
        <f t="array" ref="G433">XLOOKUP(C433,'Master Data'!C:C,'Master Data'!F:F)</f>
        <v/>
      </c>
      <c r="H433" s="89" t="str">
        <f t="array" ref="H433">XLOOKUP(C433,'Master Data'!C:C,'Master Data'!G:G)</f>
        <v/>
      </c>
      <c r="I433" s="90" t="str">
        <f t="array" ref="I433">XLOOKUP(C433,'Master Data'!C:C,'Master Data'!H:H)</f>
        <v/>
      </c>
      <c r="J433" s="91" t="s">
        <v>12</v>
      </c>
      <c r="K433" s="92"/>
      <c r="L433" s="92"/>
      <c r="M433" s="23"/>
      <c r="N433" s="23"/>
      <c r="O433" s="23"/>
    </row>
    <row r="434">
      <c r="A434" s="93" t="str">
        <f t="array" ref="A434">XLOOKUP(C434,'TSR Initiation'!C:C,'TSR Initiation'!A:A)</f>
        <v/>
      </c>
      <c r="B434" s="95"/>
      <c r="C434" s="71" t="s">
        <v>12</v>
      </c>
      <c r="D434" s="88" t="str">
        <f t="array" ref="D434">XLOOKUP(C434,'Master Data'!C:C,'Master Data'!D:D)</f>
        <v/>
      </c>
      <c r="E434" s="71" t="str">
        <f t="array" ref="E434">XLOOKUP(C434,'TSR Initiation'!C:C,'TSR Initiation'!E:E)</f>
        <v/>
      </c>
      <c r="F434" s="88" t="str">
        <f t="array" ref="F434">XLOOKUP(C434,'Master Data'!C:C,'Master Data'!E:E)</f>
        <v/>
      </c>
      <c r="G434" s="89" t="str">
        <f t="array" ref="G434">XLOOKUP(C434,'Master Data'!C:C,'Master Data'!F:F)</f>
        <v/>
      </c>
      <c r="H434" s="89" t="str">
        <f t="array" ref="H434">XLOOKUP(C434,'Master Data'!C:C,'Master Data'!G:G)</f>
        <v/>
      </c>
      <c r="I434" s="90" t="str">
        <f t="array" ref="I434">XLOOKUP(C434,'Master Data'!C:C,'Master Data'!H:H)</f>
        <v/>
      </c>
      <c r="J434" s="91" t="s">
        <v>12</v>
      </c>
      <c r="K434" s="92"/>
      <c r="L434" s="92"/>
      <c r="M434" s="23"/>
      <c r="N434" s="23"/>
      <c r="O434" s="23"/>
    </row>
    <row r="435">
      <c r="A435" s="93" t="str">
        <f t="array" ref="A435">XLOOKUP(C435,'TSR Initiation'!C:C,'TSR Initiation'!A:A)</f>
        <v/>
      </c>
      <c r="B435" s="95"/>
      <c r="C435" s="71" t="s">
        <v>12</v>
      </c>
      <c r="D435" s="88" t="str">
        <f t="array" ref="D435">XLOOKUP(C435,'Master Data'!C:C,'Master Data'!D:D)</f>
        <v/>
      </c>
      <c r="E435" s="71" t="str">
        <f t="array" ref="E435">XLOOKUP(C435,'TSR Initiation'!C:C,'TSR Initiation'!E:E)</f>
        <v/>
      </c>
      <c r="F435" s="88" t="str">
        <f t="array" ref="F435">XLOOKUP(C435,'Master Data'!C:C,'Master Data'!E:E)</f>
        <v/>
      </c>
      <c r="G435" s="89" t="str">
        <f t="array" ref="G435">XLOOKUP(C435,'Master Data'!C:C,'Master Data'!F:F)</f>
        <v/>
      </c>
      <c r="H435" s="89" t="str">
        <f t="array" ref="H435">XLOOKUP(C435,'Master Data'!C:C,'Master Data'!G:G)</f>
        <v/>
      </c>
      <c r="I435" s="90" t="str">
        <f t="array" ref="I435">XLOOKUP(C435,'Master Data'!C:C,'Master Data'!H:H)</f>
        <v/>
      </c>
      <c r="J435" s="91" t="s">
        <v>12</v>
      </c>
      <c r="K435" s="92"/>
      <c r="L435" s="92"/>
      <c r="M435" s="23"/>
      <c r="N435" s="23"/>
      <c r="O435" s="23"/>
    </row>
    <row r="436">
      <c r="A436" s="93" t="str">
        <f t="array" ref="A436">XLOOKUP(C436,'TSR Initiation'!C:C,'TSR Initiation'!A:A)</f>
        <v/>
      </c>
      <c r="B436" s="95"/>
      <c r="C436" s="71" t="s">
        <v>12</v>
      </c>
      <c r="D436" s="88" t="str">
        <f t="array" ref="D436">XLOOKUP(C436,'Master Data'!C:C,'Master Data'!D:D)</f>
        <v/>
      </c>
      <c r="E436" s="71" t="str">
        <f t="array" ref="E436">XLOOKUP(C436,'TSR Initiation'!C:C,'TSR Initiation'!E:E)</f>
        <v/>
      </c>
      <c r="F436" s="88" t="str">
        <f t="array" ref="F436">XLOOKUP(C436,'Master Data'!C:C,'Master Data'!E:E)</f>
        <v/>
      </c>
      <c r="G436" s="89" t="str">
        <f t="array" ref="G436">XLOOKUP(C436,'Master Data'!C:C,'Master Data'!F:F)</f>
        <v/>
      </c>
      <c r="H436" s="89" t="str">
        <f t="array" ref="H436">XLOOKUP(C436,'Master Data'!C:C,'Master Data'!G:G)</f>
        <v/>
      </c>
      <c r="I436" s="90" t="str">
        <f t="array" ref="I436">XLOOKUP(C436,'Master Data'!C:C,'Master Data'!H:H)</f>
        <v/>
      </c>
      <c r="J436" s="91" t="s">
        <v>12</v>
      </c>
      <c r="K436" s="92"/>
      <c r="L436" s="92"/>
      <c r="M436" s="23"/>
      <c r="N436" s="23"/>
      <c r="O436" s="23"/>
    </row>
    <row r="437">
      <c r="A437" s="93" t="str">
        <f t="array" ref="A437">XLOOKUP(C437,'TSR Initiation'!C:C,'TSR Initiation'!A:A)</f>
        <v/>
      </c>
      <c r="B437" s="95"/>
      <c r="C437" s="71" t="s">
        <v>12</v>
      </c>
      <c r="D437" s="88" t="str">
        <f t="array" ref="D437">XLOOKUP(C437,'Master Data'!C:C,'Master Data'!D:D)</f>
        <v/>
      </c>
      <c r="E437" s="71" t="str">
        <f t="array" ref="E437">XLOOKUP(C437,'TSR Initiation'!C:C,'TSR Initiation'!E:E)</f>
        <v/>
      </c>
      <c r="F437" s="88" t="str">
        <f t="array" ref="F437">XLOOKUP(C437,'Master Data'!C:C,'Master Data'!E:E)</f>
        <v/>
      </c>
      <c r="G437" s="89" t="str">
        <f t="array" ref="G437">XLOOKUP(C437,'Master Data'!C:C,'Master Data'!F:F)</f>
        <v/>
      </c>
      <c r="H437" s="89" t="str">
        <f t="array" ref="H437">XLOOKUP(C437,'Master Data'!C:C,'Master Data'!G:G)</f>
        <v/>
      </c>
      <c r="I437" s="90" t="str">
        <f t="array" ref="I437">XLOOKUP(C437,'Master Data'!C:C,'Master Data'!H:H)</f>
        <v/>
      </c>
      <c r="J437" s="91" t="s">
        <v>12</v>
      </c>
      <c r="K437" s="92"/>
      <c r="L437" s="92"/>
      <c r="M437" s="23"/>
      <c r="N437" s="23"/>
      <c r="O437" s="23"/>
    </row>
    <row r="438">
      <c r="A438" s="93" t="str">
        <f t="array" ref="A438">XLOOKUP(C438,'TSR Initiation'!C:C,'TSR Initiation'!A:A)</f>
        <v/>
      </c>
      <c r="B438" s="95"/>
      <c r="C438" s="71" t="s">
        <v>12</v>
      </c>
      <c r="D438" s="88" t="str">
        <f t="array" ref="D438">XLOOKUP(C438,'Master Data'!C:C,'Master Data'!D:D)</f>
        <v/>
      </c>
      <c r="E438" s="71" t="str">
        <f t="array" ref="E438">XLOOKUP(C438,'TSR Initiation'!C:C,'TSR Initiation'!E:E)</f>
        <v/>
      </c>
      <c r="F438" s="88" t="str">
        <f t="array" ref="F438">XLOOKUP(C438,'Master Data'!C:C,'Master Data'!E:E)</f>
        <v/>
      </c>
      <c r="G438" s="89" t="str">
        <f t="array" ref="G438">XLOOKUP(C438,'Master Data'!C:C,'Master Data'!F:F)</f>
        <v/>
      </c>
      <c r="H438" s="89" t="str">
        <f t="array" ref="H438">XLOOKUP(C438,'Master Data'!C:C,'Master Data'!G:G)</f>
        <v/>
      </c>
      <c r="I438" s="90" t="str">
        <f t="array" ref="I438">XLOOKUP(C438,'Master Data'!C:C,'Master Data'!H:H)</f>
        <v/>
      </c>
      <c r="J438" s="91" t="s">
        <v>12</v>
      </c>
      <c r="K438" s="92"/>
      <c r="L438" s="92"/>
      <c r="M438" s="23"/>
      <c r="N438" s="23"/>
      <c r="O438" s="23"/>
    </row>
    <row r="439">
      <c r="A439" s="93" t="str">
        <f t="array" ref="A439">XLOOKUP(C439,'TSR Initiation'!C:C,'TSR Initiation'!A:A)</f>
        <v/>
      </c>
      <c r="B439" s="95"/>
      <c r="C439" s="71" t="s">
        <v>12</v>
      </c>
      <c r="D439" s="88" t="str">
        <f t="array" ref="D439">XLOOKUP(C439,'Master Data'!C:C,'Master Data'!D:D)</f>
        <v/>
      </c>
      <c r="E439" s="71" t="str">
        <f t="array" ref="E439">XLOOKUP(C439,'TSR Initiation'!C:C,'TSR Initiation'!E:E)</f>
        <v/>
      </c>
      <c r="F439" s="88" t="str">
        <f t="array" ref="F439">XLOOKUP(C439,'Master Data'!C:C,'Master Data'!E:E)</f>
        <v/>
      </c>
      <c r="G439" s="89" t="str">
        <f t="array" ref="G439">XLOOKUP(C439,'Master Data'!C:C,'Master Data'!F:F)</f>
        <v/>
      </c>
      <c r="H439" s="89" t="str">
        <f t="array" ref="H439">XLOOKUP(C439,'Master Data'!C:C,'Master Data'!G:G)</f>
        <v/>
      </c>
      <c r="I439" s="90" t="str">
        <f t="array" ref="I439">XLOOKUP(C439,'Master Data'!C:C,'Master Data'!H:H)</f>
        <v/>
      </c>
      <c r="J439" s="91" t="s">
        <v>12</v>
      </c>
      <c r="K439" s="92"/>
      <c r="L439" s="92"/>
      <c r="M439" s="23"/>
      <c r="N439" s="23"/>
      <c r="O439" s="23"/>
    </row>
    <row r="440">
      <c r="A440" s="93" t="str">
        <f t="array" ref="A440">XLOOKUP(C440,'TSR Initiation'!C:C,'TSR Initiation'!A:A)</f>
        <v/>
      </c>
      <c r="B440" s="95"/>
      <c r="C440" s="71" t="s">
        <v>12</v>
      </c>
      <c r="D440" s="88" t="str">
        <f t="array" ref="D440">XLOOKUP(C440,'Master Data'!C:C,'Master Data'!D:D)</f>
        <v/>
      </c>
      <c r="E440" s="71" t="str">
        <f t="array" ref="E440">XLOOKUP(C440,'TSR Initiation'!C:C,'TSR Initiation'!E:E)</f>
        <v/>
      </c>
      <c r="F440" s="88" t="str">
        <f t="array" ref="F440">XLOOKUP(C440,'Master Data'!C:C,'Master Data'!E:E)</f>
        <v/>
      </c>
      <c r="G440" s="89" t="str">
        <f t="array" ref="G440">XLOOKUP(C440,'Master Data'!C:C,'Master Data'!F:F)</f>
        <v/>
      </c>
      <c r="H440" s="89" t="str">
        <f t="array" ref="H440">XLOOKUP(C440,'Master Data'!C:C,'Master Data'!G:G)</f>
        <v/>
      </c>
      <c r="I440" s="90" t="str">
        <f t="array" ref="I440">XLOOKUP(C440,'Master Data'!C:C,'Master Data'!H:H)</f>
        <v/>
      </c>
      <c r="J440" s="91" t="s">
        <v>12</v>
      </c>
      <c r="K440" s="92"/>
      <c r="L440" s="92"/>
      <c r="M440" s="23"/>
      <c r="N440" s="23"/>
      <c r="O440" s="23"/>
    </row>
    <row r="441">
      <c r="A441" s="93" t="str">
        <f t="array" ref="A441">XLOOKUP(C441,'TSR Initiation'!C:C,'TSR Initiation'!A:A)</f>
        <v/>
      </c>
      <c r="B441" s="95"/>
      <c r="C441" s="71" t="s">
        <v>12</v>
      </c>
      <c r="D441" s="88" t="str">
        <f t="array" ref="D441">XLOOKUP(C441,'Master Data'!C:C,'Master Data'!D:D)</f>
        <v/>
      </c>
      <c r="E441" s="71" t="str">
        <f t="array" ref="E441">XLOOKUP(C441,'TSR Initiation'!C:C,'TSR Initiation'!E:E)</f>
        <v/>
      </c>
      <c r="F441" s="88" t="str">
        <f t="array" ref="F441">XLOOKUP(C441,'Master Data'!C:C,'Master Data'!E:E)</f>
        <v/>
      </c>
      <c r="G441" s="89" t="str">
        <f t="array" ref="G441">XLOOKUP(C441,'Master Data'!C:C,'Master Data'!F:F)</f>
        <v/>
      </c>
      <c r="H441" s="89" t="str">
        <f t="array" ref="H441">XLOOKUP(C441,'Master Data'!C:C,'Master Data'!G:G)</f>
        <v/>
      </c>
      <c r="I441" s="90" t="str">
        <f t="array" ref="I441">XLOOKUP(C441,'Master Data'!C:C,'Master Data'!H:H)</f>
        <v/>
      </c>
      <c r="J441" s="91" t="s">
        <v>12</v>
      </c>
      <c r="K441" s="92"/>
      <c r="L441" s="92"/>
      <c r="M441" s="23"/>
      <c r="N441" s="23"/>
      <c r="O441" s="23"/>
    </row>
    <row r="442">
      <c r="A442" s="93" t="str">
        <f t="array" ref="A442">XLOOKUP(C442,'TSR Initiation'!C:C,'TSR Initiation'!A:A)</f>
        <v/>
      </c>
      <c r="B442" s="95"/>
      <c r="C442" s="71" t="s">
        <v>12</v>
      </c>
      <c r="D442" s="88" t="str">
        <f t="array" ref="D442">XLOOKUP(C442,'Master Data'!C:C,'Master Data'!D:D)</f>
        <v/>
      </c>
      <c r="E442" s="71" t="str">
        <f t="array" ref="E442">XLOOKUP(C442,'TSR Initiation'!C:C,'TSR Initiation'!E:E)</f>
        <v/>
      </c>
      <c r="F442" s="88" t="str">
        <f t="array" ref="F442">XLOOKUP(C442,'Master Data'!C:C,'Master Data'!E:E)</f>
        <v/>
      </c>
      <c r="G442" s="89" t="str">
        <f t="array" ref="G442">XLOOKUP(C442,'Master Data'!C:C,'Master Data'!F:F)</f>
        <v/>
      </c>
      <c r="H442" s="89" t="str">
        <f t="array" ref="H442">XLOOKUP(C442,'Master Data'!C:C,'Master Data'!G:G)</f>
        <v/>
      </c>
      <c r="I442" s="90" t="str">
        <f t="array" ref="I442">XLOOKUP(C442,'Master Data'!C:C,'Master Data'!H:H)</f>
        <v/>
      </c>
      <c r="J442" s="91" t="s">
        <v>12</v>
      </c>
      <c r="K442" s="92"/>
      <c r="L442" s="92"/>
      <c r="M442" s="23"/>
      <c r="N442" s="23"/>
      <c r="O442" s="23"/>
    </row>
    <row r="443">
      <c r="A443" s="93" t="str">
        <f t="array" ref="A443">XLOOKUP(C443,'TSR Initiation'!C:C,'TSR Initiation'!A:A)</f>
        <v/>
      </c>
      <c r="B443" s="95"/>
      <c r="C443" s="71" t="s">
        <v>12</v>
      </c>
      <c r="D443" s="88" t="str">
        <f t="array" ref="D443">XLOOKUP(C443,'Master Data'!C:C,'Master Data'!D:D)</f>
        <v/>
      </c>
      <c r="E443" s="71" t="str">
        <f t="array" ref="E443">XLOOKUP(C443,'TSR Initiation'!C:C,'TSR Initiation'!E:E)</f>
        <v/>
      </c>
      <c r="F443" s="88" t="str">
        <f t="array" ref="F443">XLOOKUP(C443,'Master Data'!C:C,'Master Data'!E:E)</f>
        <v/>
      </c>
      <c r="G443" s="89" t="str">
        <f t="array" ref="G443">XLOOKUP(C443,'Master Data'!C:C,'Master Data'!F:F)</f>
        <v/>
      </c>
      <c r="H443" s="89" t="str">
        <f t="array" ref="H443">XLOOKUP(C443,'Master Data'!C:C,'Master Data'!G:G)</f>
        <v/>
      </c>
      <c r="I443" s="90" t="str">
        <f t="array" ref="I443">XLOOKUP(C443,'Master Data'!C:C,'Master Data'!H:H)</f>
        <v/>
      </c>
      <c r="J443" s="91" t="s">
        <v>12</v>
      </c>
      <c r="K443" s="92"/>
      <c r="L443" s="92"/>
      <c r="M443" s="23"/>
      <c r="N443" s="23"/>
      <c r="O443" s="23"/>
    </row>
    <row r="444">
      <c r="A444" s="93" t="str">
        <f t="array" ref="A444">XLOOKUP(C444,'TSR Initiation'!C:C,'TSR Initiation'!A:A)</f>
        <v/>
      </c>
      <c r="B444" s="95"/>
      <c r="C444" s="71" t="s">
        <v>12</v>
      </c>
      <c r="D444" s="88" t="str">
        <f t="array" ref="D444">XLOOKUP(C444,'Master Data'!C:C,'Master Data'!D:D)</f>
        <v/>
      </c>
      <c r="E444" s="71" t="str">
        <f t="array" ref="E444">XLOOKUP(C444,'TSR Initiation'!C:C,'TSR Initiation'!E:E)</f>
        <v/>
      </c>
      <c r="F444" s="88" t="str">
        <f t="array" ref="F444">XLOOKUP(C444,'Master Data'!C:C,'Master Data'!E:E)</f>
        <v/>
      </c>
      <c r="G444" s="89" t="str">
        <f t="array" ref="G444">XLOOKUP(C444,'Master Data'!C:C,'Master Data'!F:F)</f>
        <v/>
      </c>
      <c r="H444" s="89" t="str">
        <f t="array" ref="H444">XLOOKUP(C444,'Master Data'!C:C,'Master Data'!G:G)</f>
        <v/>
      </c>
      <c r="I444" s="90" t="str">
        <f t="array" ref="I444">XLOOKUP(C444,'Master Data'!C:C,'Master Data'!H:H)</f>
        <v/>
      </c>
      <c r="J444" s="91" t="s">
        <v>12</v>
      </c>
      <c r="K444" s="92"/>
      <c r="L444" s="92"/>
      <c r="M444" s="23"/>
      <c r="N444" s="23"/>
      <c r="O444" s="23"/>
    </row>
    <row r="445">
      <c r="A445" s="93" t="str">
        <f t="array" ref="A445">XLOOKUP(C445,'TSR Initiation'!C:C,'TSR Initiation'!A:A)</f>
        <v/>
      </c>
      <c r="B445" s="95"/>
      <c r="C445" s="71" t="s">
        <v>12</v>
      </c>
      <c r="D445" s="88" t="str">
        <f t="array" ref="D445">XLOOKUP(C445,'Master Data'!C:C,'Master Data'!D:D)</f>
        <v/>
      </c>
      <c r="E445" s="71" t="str">
        <f t="array" ref="E445">XLOOKUP(C445,'TSR Initiation'!C:C,'TSR Initiation'!E:E)</f>
        <v/>
      </c>
      <c r="F445" s="88" t="str">
        <f t="array" ref="F445">XLOOKUP(C445,'Master Data'!C:C,'Master Data'!E:E)</f>
        <v/>
      </c>
      <c r="G445" s="89" t="str">
        <f t="array" ref="G445">XLOOKUP(C445,'Master Data'!C:C,'Master Data'!F:F)</f>
        <v/>
      </c>
      <c r="H445" s="89" t="str">
        <f t="array" ref="H445">XLOOKUP(C445,'Master Data'!C:C,'Master Data'!G:G)</f>
        <v/>
      </c>
      <c r="I445" s="90" t="str">
        <f t="array" ref="I445">XLOOKUP(C445,'Master Data'!C:C,'Master Data'!H:H)</f>
        <v/>
      </c>
      <c r="J445" s="91" t="s">
        <v>12</v>
      </c>
      <c r="K445" s="92"/>
      <c r="L445" s="92"/>
      <c r="M445" s="23"/>
      <c r="N445" s="23"/>
      <c r="O445" s="23"/>
    </row>
    <row r="446">
      <c r="A446" s="93" t="str">
        <f t="array" ref="A446">XLOOKUP(C446,'TSR Initiation'!C:C,'TSR Initiation'!A:A)</f>
        <v/>
      </c>
      <c r="B446" s="95"/>
      <c r="C446" s="71" t="s">
        <v>12</v>
      </c>
      <c r="D446" s="88" t="str">
        <f t="array" ref="D446">XLOOKUP(C446,'Master Data'!C:C,'Master Data'!D:D)</f>
        <v/>
      </c>
      <c r="E446" s="71" t="str">
        <f t="array" ref="E446">XLOOKUP(C446,'TSR Initiation'!C:C,'TSR Initiation'!E:E)</f>
        <v/>
      </c>
      <c r="F446" s="88" t="str">
        <f t="array" ref="F446">XLOOKUP(C446,'Master Data'!C:C,'Master Data'!E:E)</f>
        <v/>
      </c>
      <c r="G446" s="89" t="str">
        <f t="array" ref="G446">XLOOKUP(C446,'Master Data'!C:C,'Master Data'!F:F)</f>
        <v/>
      </c>
      <c r="H446" s="89" t="str">
        <f t="array" ref="H446">XLOOKUP(C446,'Master Data'!C:C,'Master Data'!G:G)</f>
        <v/>
      </c>
      <c r="I446" s="90" t="str">
        <f t="array" ref="I446">XLOOKUP(C446,'Master Data'!C:C,'Master Data'!H:H)</f>
        <v/>
      </c>
      <c r="J446" s="91" t="s">
        <v>12</v>
      </c>
      <c r="K446" s="92"/>
      <c r="L446" s="92"/>
      <c r="M446" s="23"/>
      <c r="N446" s="23"/>
      <c r="O446" s="23"/>
    </row>
    <row r="447">
      <c r="A447" s="93" t="str">
        <f t="array" ref="A447">XLOOKUP(C447,'TSR Initiation'!C:C,'TSR Initiation'!A:A)</f>
        <v/>
      </c>
      <c r="B447" s="95"/>
      <c r="C447" s="71" t="s">
        <v>12</v>
      </c>
      <c r="D447" s="88" t="str">
        <f t="array" ref="D447">XLOOKUP(C447,'Master Data'!C:C,'Master Data'!D:D)</f>
        <v/>
      </c>
      <c r="E447" s="71" t="str">
        <f t="array" ref="E447">XLOOKUP(C447,'TSR Initiation'!C:C,'TSR Initiation'!E:E)</f>
        <v/>
      </c>
      <c r="F447" s="88" t="str">
        <f t="array" ref="F447">XLOOKUP(C447,'Master Data'!C:C,'Master Data'!E:E)</f>
        <v/>
      </c>
      <c r="G447" s="89" t="str">
        <f t="array" ref="G447">XLOOKUP(C447,'Master Data'!C:C,'Master Data'!F:F)</f>
        <v/>
      </c>
      <c r="H447" s="89" t="str">
        <f t="array" ref="H447">XLOOKUP(C447,'Master Data'!C:C,'Master Data'!G:G)</f>
        <v/>
      </c>
      <c r="I447" s="90" t="str">
        <f t="array" ref="I447">XLOOKUP(C447,'Master Data'!C:C,'Master Data'!H:H)</f>
        <v/>
      </c>
      <c r="J447" s="91" t="s">
        <v>12</v>
      </c>
      <c r="K447" s="92"/>
      <c r="L447" s="92"/>
      <c r="M447" s="23"/>
      <c r="N447" s="23"/>
      <c r="O447" s="23"/>
    </row>
    <row r="448">
      <c r="A448" s="93" t="str">
        <f t="array" ref="A448">XLOOKUP(C448,'TSR Initiation'!C:C,'TSR Initiation'!A:A)</f>
        <v/>
      </c>
      <c r="B448" s="95"/>
      <c r="C448" s="71" t="s">
        <v>12</v>
      </c>
      <c r="D448" s="88" t="str">
        <f t="array" ref="D448">XLOOKUP(C448,'Master Data'!C:C,'Master Data'!D:D)</f>
        <v/>
      </c>
      <c r="E448" s="71" t="str">
        <f t="array" ref="E448">XLOOKUP(C448,'TSR Initiation'!C:C,'TSR Initiation'!E:E)</f>
        <v/>
      </c>
      <c r="F448" s="88" t="str">
        <f t="array" ref="F448">XLOOKUP(C448,'Master Data'!C:C,'Master Data'!E:E)</f>
        <v/>
      </c>
      <c r="G448" s="89" t="str">
        <f t="array" ref="G448">XLOOKUP(C448,'Master Data'!C:C,'Master Data'!F:F)</f>
        <v/>
      </c>
      <c r="H448" s="89" t="str">
        <f t="array" ref="H448">XLOOKUP(C448,'Master Data'!C:C,'Master Data'!G:G)</f>
        <v/>
      </c>
      <c r="I448" s="90" t="str">
        <f t="array" ref="I448">XLOOKUP(C448,'Master Data'!C:C,'Master Data'!H:H)</f>
        <v/>
      </c>
      <c r="J448" s="91" t="s">
        <v>12</v>
      </c>
      <c r="K448" s="92"/>
      <c r="L448" s="92"/>
      <c r="M448" s="23"/>
      <c r="N448" s="23"/>
      <c r="O448" s="23"/>
    </row>
    <row r="449">
      <c r="A449" s="93" t="str">
        <f t="array" ref="A449">XLOOKUP(C449,'TSR Initiation'!C:C,'TSR Initiation'!A:A)</f>
        <v/>
      </c>
      <c r="B449" s="95"/>
      <c r="C449" s="71" t="s">
        <v>12</v>
      </c>
      <c r="D449" s="88" t="str">
        <f t="array" ref="D449">XLOOKUP(C449,'Master Data'!C:C,'Master Data'!D:D)</f>
        <v/>
      </c>
      <c r="E449" s="71" t="str">
        <f t="array" ref="E449">XLOOKUP(C449,'TSR Initiation'!C:C,'TSR Initiation'!E:E)</f>
        <v/>
      </c>
      <c r="F449" s="88" t="str">
        <f t="array" ref="F449">XLOOKUP(C449,'Master Data'!C:C,'Master Data'!E:E)</f>
        <v/>
      </c>
      <c r="G449" s="89" t="str">
        <f t="array" ref="G449">XLOOKUP(C449,'Master Data'!C:C,'Master Data'!F:F)</f>
        <v/>
      </c>
      <c r="H449" s="89" t="str">
        <f t="array" ref="H449">XLOOKUP(C449,'Master Data'!C:C,'Master Data'!G:G)</f>
        <v/>
      </c>
      <c r="I449" s="90" t="str">
        <f t="array" ref="I449">XLOOKUP(C449,'Master Data'!C:C,'Master Data'!H:H)</f>
        <v/>
      </c>
      <c r="J449" s="91" t="s">
        <v>12</v>
      </c>
      <c r="K449" s="92"/>
      <c r="L449" s="92"/>
      <c r="M449" s="23"/>
      <c r="N449" s="23"/>
      <c r="O449" s="23"/>
    </row>
    <row r="450">
      <c r="A450" s="93" t="str">
        <f t="array" ref="A450">XLOOKUP(C450,'TSR Initiation'!C:C,'TSR Initiation'!A:A)</f>
        <v/>
      </c>
      <c r="B450" s="95"/>
      <c r="C450" s="71" t="s">
        <v>12</v>
      </c>
      <c r="D450" s="88" t="str">
        <f t="array" ref="D450">XLOOKUP(C450,'Master Data'!C:C,'Master Data'!D:D)</f>
        <v/>
      </c>
      <c r="E450" s="71" t="str">
        <f t="array" ref="E450">XLOOKUP(C450,'TSR Initiation'!C:C,'TSR Initiation'!E:E)</f>
        <v/>
      </c>
      <c r="F450" s="88" t="str">
        <f t="array" ref="F450">XLOOKUP(C450,'Master Data'!C:C,'Master Data'!E:E)</f>
        <v/>
      </c>
      <c r="G450" s="89" t="str">
        <f t="array" ref="G450">XLOOKUP(C450,'Master Data'!C:C,'Master Data'!F:F)</f>
        <v/>
      </c>
      <c r="H450" s="89" t="str">
        <f t="array" ref="H450">XLOOKUP(C450,'Master Data'!C:C,'Master Data'!G:G)</f>
        <v/>
      </c>
      <c r="I450" s="90" t="str">
        <f t="array" ref="I450">XLOOKUP(C450,'Master Data'!C:C,'Master Data'!H:H)</f>
        <v/>
      </c>
      <c r="J450" s="91" t="s">
        <v>12</v>
      </c>
      <c r="K450" s="92"/>
      <c r="L450" s="92"/>
      <c r="M450" s="23"/>
      <c r="N450" s="23"/>
      <c r="O450" s="23"/>
    </row>
    <row r="451">
      <c r="A451" s="93" t="str">
        <f t="array" ref="A451">XLOOKUP(C451,'TSR Initiation'!C:C,'TSR Initiation'!A:A)</f>
        <v/>
      </c>
      <c r="B451" s="95"/>
      <c r="C451" s="71" t="s">
        <v>12</v>
      </c>
      <c r="D451" s="88" t="str">
        <f t="array" ref="D451">XLOOKUP(C451,'Master Data'!C:C,'Master Data'!D:D)</f>
        <v/>
      </c>
      <c r="E451" s="71" t="str">
        <f t="array" ref="E451">XLOOKUP(C451,'TSR Initiation'!C:C,'TSR Initiation'!E:E)</f>
        <v/>
      </c>
      <c r="F451" s="88" t="str">
        <f t="array" ref="F451">XLOOKUP(C451,'Master Data'!C:C,'Master Data'!E:E)</f>
        <v/>
      </c>
      <c r="G451" s="89" t="str">
        <f t="array" ref="G451">XLOOKUP(C451,'Master Data'!C:C,'Master Data'!F:F)</f>
        <v/>
      </c>
      <c r="H451" s="89" t="str">
        <f t="array" ref="H451">XLOOKUP(C451,'Master Data'!C:C,'Master Data'!G:G)</f>
        <v/>
      </c>
      <c r="I451" s="90" t="str">
        <f t="array" ref="I451">XLOOKUP(C451,'Master Data'!C:C,'Master Data'!H:H)</f>
        <v/>
      </c>
      <c r="J451" s="91" t="s">
        <v>12</v>
      </c>
      <c r="K451" s="92"/>
      <c r="L451" s="92"/>
      <c r="M451" s="23"/>
      <c r="N451" s="23"/>
      <c r="O451" s="23"/>
    </row>
    <row r="452">
      <c r="A452" s="93" t="str">
        <f t="array" ref="A452">XLOOKUP(C452,'TSR Initiation'!C:C,'TSR Initiation'!A:A)</f>
        <v/>
      </c>
      <c r="B452" s="95"/>
      <c r="C452" s="71" t="s">
        <v>12</v>
      </c>
      <c r="D452" s="88" t="str">
        <f t="array" ref="D452">XLOOKUP(C452,'Master Data'!C:C,'Master Data'!D:D)</f>
        <v/>
      </c>
      <c r="E452" s="71" t="str">
        <f t="array" ref="E452">XLOOKUP(C452,'TSR Initiation'!C:C,'TSR Initiation'!E:E)</f>
        <v/>
      </c>
      <c r="F452" s="88" t="str">
        <f t="array" ref="F452">XLOOKUP(C452,'Master Data'!C:C,'Master Data'!E:E)</f>
        <v/>
      </c>
      <c r="G452" s="89" t="str">
        <f t="array" ref="G452">XLOOKUP(C452,'Master Data'!C:C,'Master Data'!F:F)</f>
        <v/>
      </c>
      <c r="H452" s="89" t="str">
        <f t="array" ref="H452">XLOOKUP(C452,'Master Data'!C:C,'Master Data'!G:G)</f>
        <v/>
      </c>
      <c r="I452" s="90" t="str">
        <f t="array" ref="I452">XLOOKUP(C452,'Master Data'!C:C,'Master Data'!H:H)</f>
        <v/>
      </c>
      <c r="J452" s="91" t="s">
        <v>12</v>
      </c>
      <c r="K452" s="92"/>
      <c r="L452" s="92"/>
      <c r="M452" s="23"/>
      <c r="N452" s="23"/>
      <c r="O452" s="23"/>
    </row>
    <row r="453">
      <c r="A453" s="93" t="str">
        <f t="array" ref="A453">XLOOKUP(C453,'TSR Initiation'!C:C,'TSR Initiation'!A:A)</f>
        <v/>
      </c>
      <c r="B453" s="95"/>
      <c r="C453" s="71" t="s">
        <v>12</v>
      </c>
      <c r="D453" s="88" t="str">
        <f t="array" ref="D453">XLOOKUP(C453,'Master Data'!C:C,'Master Data'!D:D)</f>
        <v/>
      </c>
      <c r="E453" s="71" t="str">
        <f t="array" ref="E453">XLOOKUP(C453,'TSR Initiation'!C:C,'TSR Initiation'!E:E)</f>
        <v/>
      </c>
      <c r="F453" s="88" t="str">
        <f t="array" ref="F453">XLOOKUP(C453,'Master Data'!C:C,'Master Data'!E:E)</f>
        <v/>
      </c>
      <c r="G453" s="89" t="str">
        <f t="array" ref="G453">XLOOKUP(C453,'Master Data'!C:C,'Master Data'!F:F)</f>
        <v/>
      </c>
      <c r="H453" s="89" t="str">
        <f t="array" ref="H453">XLOOKUP(C453,'Master Data'!C:C,'Master Data'!G:G)</f>
        <v/>
      </c>
      <c r="I453" s="90" t="str">
        <f t="array" ref="I453">XLOOKUP(C453,'Master Data'!C:C,'Master Data'!H:H)</f>
        <v/>
      </c>
      <c r="J453" s="91" t="s">
        <v>12</v>
      </c>
      <c r="K453" s="92"/>
      <c r="L453" s="92"/>
      <c r="M453" s="23"/>
      <c r="N453" s="23"/>
      <c r="O453" s="23"/>
    </row>
    <row r="454">
      <c r="A454" s="93" t="str">
        <f t="array" ref="A454">XLOOKUP(C454,'TSR Initiation'!C:C,'TSR Initiation'!A:A)</f>
        <v/>
      </c>
      <c r="B454" s="95"/>
      <c r="C454" s="71" t="s">
        <v>12</v>
      </c>
      <c r="D454" s="88" t="str">
        <f t="array" ref="D454">XLOOKUP(C454,'Master Data'!C:C,'Master Data'!D:D)</f>
        <v/>
      </c>
      <c r="E454" s="71" t="str">
        <f t="array" ref="E454">XLOOKUP(C454,'TSR Initiation'!C:C,'TSR Initiation'!E:E)</f>
        <v/>
      </c>
      <c r="F454" s="88" t="str">
        <f t="array" ref="F454">XLOOKUP(C454,'Master Data'!C:C,'Master Data'!E:E)</f>
        <v/>
      </c>
      <c r="G454" s="89" t="str">
        <f t="array" ref="G454">XLOOKUP(C454,'Master Data'!C:C,'Master Data'!F:F)</f>
        <v/>
      </c>
      <c r="H454" s="89" t="str">
        <f t="array" ref="H454">XLOOKUP(C454,'Master Data'!C:C,'Master Data'!G:G)</f>
        <v/>
      </c>
      <c r="I454" s="90" t="str">
        <f t="array" ref="I454">XLOOKUP(C454,'Master Data'!C:C,'Master Data'!H:H)</f>
        <v/>
      </c>
      <c r="J454" s="91" t="s">
        <v>12</v>
      </c>
      <c r="K454" s="92"/>
      <c r="L454" s="92"/>
      <c r="M454" s="23"/>
      <c r="N454" s="23"/>
      <c r="O454" s="23"/>
    </row>
    <row r="455">
      <c r="A455" s="93" t="str">
        <f t="array" ref="A455">XLOOKUP(C455,'TSR Initiation'!C:C,'TSR Initiation'!A:A)</f>
        <v/>
      </c>
      <c r="B455" s="95"/>
      <c r="C455" s="71" t="s">
        <v>12</v>
      </c>
      <c r="D455" s="88" t="str">
        <f t="array" ref="D455">XLOOKUP(C455,'Master Data'!C:C,'Master Data'!D:D)</f>
        <v/>
      </c>
      <c r="E455" s="71" t="str">
        <f t="array" ref="E455">XLOOKUP(C455,'TSR Initiation'!C:C,'TSR Initiation'!E:E)</f>
        <v/>
      </c>
      <c r="F455" s="88" t="str">
        <f t="array" ref="F455">XLOOKUP(C455,'Master Data'!C:C,'Master Data'!E:E)</f>
        <v/>
      </c>
      <c r="G455" s="89" t="str">
        <f t="array" ref="G455">XLOOKUP(C455,'Master Data'!C:C,'Master Data'!F:F)</f>
        <v/>
      </c>
      <c r="H455" s="89" t="str">
        <f t="array" ref="H455">XLOOKUP(C455,'Master Data'!C:C,'Master Data'!G:G)</f>
        <v/>
      </c>
      <c r="I455" s="90" t="str">
        <f t="array" ref="I455">XLOOKUP(C455,'Master Data'!C:C,'Master Data'!H:H)</f>
        <v/>
      </c>
      <c r="J455" s="91" t="s">
        <v>12</v>
      </c>
      <c r="K455" s="92"/>
      <c r="L455" s="92"/>
      <c r="M455" s="23"/>
      <c r="N455" s="23"/>
      <c r="O455" s="23"/>
    </row>
    <row r="456">
      <c r="A456" s="93" t="str">
        <f t="array" ref="A456">XLOOKUP(C456,'TSR Initiation'!C:C,'TSR Initiation'!A:A)</f>
        <v/>
      </c>
      <c r="B456" s="95"/>
      <c r="C456" s="71" t="s">
        <v>12</v>
      </c>
      <c r="D456" s="88" t="str">
        <f t="array" ref="D456">XLOOKUP(C456,'Master Data'!C:C,'Master Data'!D:D)</f>
        <v/>
      </c>
      <c r="E456" s="71" t="str">
        <f t="array" ref="E456">XLOOKUP(C456,'TSR Initiation'!C:C,'TSR Initiation'!E:E)</f>
        <v/>
      </c>
      <c r="F456" s="88" t="str">
        <f t="array" ref="F456">XLOOKUP(C456,'Master Data'!C:C,'Master Data'!E:E)</f>
        <v/>
      </c>
      <c r="G456" s="89" t="str">
        <f t="array" ref="G456">XLOOKUP(C456,'Master Data'!C:C,'Master Data'!F:F)</f>
        <v/>
      </c>
      <c r="H456" s="89" t="str">
        <f t="array" ref="H456">XLOOKUP(C456,'Master Data'!C:C,'Master Data'!G:G)</f>
        <v/>
      </c>
      <c r="I456" s="90" t="str">
        <f t="array" ref="I456">XLOOKUP(C456,'Master Data'!C:C,'Master Data'!H:H)</f>
        <v/>
      </c>
      <c r="J456" s="91" t="s">
        <v>12</v>
      </c>
      <c r="K456" s="92"/>
      <c r="L456" s="92"/>
      <c r="M456" s="23"/>
      <c r="N456" s="23"/>
      <c r="O456" s="23"/>
    </row>
    <row r="457">
      <c r="A457" s="93" t="str">
        <f t="array" ref="A457">XLOOKUP(C457,'TSR Initiation'!C:C,'TSR Initiation'!A:A)</f>
        <v/>
      </c>
      <c r="B457" s="95"/>
      <c r="C457" s="71" t="s">
        <v>12</v>
      </c>
      <c r="D457" s="88" t="str">
        <f t="array" ref="D457">XLOOKUP(C457,'Master Data'!C:C,'Master Data'!D:D)</f>
        <v/>
      </c>
      <c r="E457" s="71" t="str">
        <f t="array" ref="E457">XLOOKUP(C457,'TSR Initiation'!C:C,'TSR Initiation'!E:E)</f>
        <v/>
      </c>
      <c r="F457" s="88" t="str">
        <f t="array" ref="F457">XLOOKUP(C457,'Master Data'!C:C,'Master Data'!E:E)</f>
        <v/>
      </c>
      <c r="G457" s="89" t="str">
        <f t="array" ref="G457">XLOOKUP(C457,'Master Data'!C:C,'Master Data'!F:F)</f>
        <v/>
      </c>
      <c r="H457" s="89" t="str">
        <f t="array" ref="H457">XLOOKUP(C457,'Master Data'!C:C,'Master Data'!G:G)</f>
        <v/>
      </c>
      <c r="I457" s="90" t="str">
        <f t="array" ref="I457">XLOOKUP(C457,'Master Data'!C:C,'Master Data'!H:H)</f>
        <v/>
      </c>
      <c r="J457" s="91" t="s">
        <v>12</v>
      </c>
      <c r="K457" s="92"/>
      <c r="L457" s="92"/>
      <c r="M457" s="23"/>
      <c r="N457" s="23"/>
      <c r="O457" s="23"/>
    </row>
    <row r="458">
      <c r="A458" s="93" t="str">
        <f t="array" ref="A458">XLOOKUP(C458,'TSR Initiation'!C:C,'TSR Initiation'!A:A)</f>
        <v/>
      </c>
      <c r="B458" s="95"/>
      <c r="C458" s="71" t="s">
        <v>12</v>
      </c>
      <c r="D458" s="88" t="str">
        <f t="array" ref="D458">XLOOKUP(C458,'Master Data'!C:C,'Master Data'!D:D)</f>
        <v/>
      </c>
      <c r="E458" s="71" t="str">
        <f t="array" ref="E458">XLOOKUP(C458,'TSR Initiation'!C:C,'TSR Initiation'!E:E)</f>
        <v/>
      </c>
      <c r="F458" s="88" t="str">
        <f t="array" ref="F458">XLOOKUP(C458,'Master Data'!C:C,'Master Data'!E:E)</f>
        <v/>
      </c>
      <c r="G458" s="89" t="str">
        <f t="array" ref="G458">XLOOKUP(C458,'Master Data'!C:C,'Master Data'!F:F)</f>
        <v/>
      </c>
      <c r="H458" s="89" t="str">
        <f t="array" ref="H458">XLOOKUP(C458,'Master Data'!C:C,'Master Data'!G:G)</f>
        <v/>
      </c>
      <c r="I458" s="90" t="str">
        <f t="array" ref="I458">XLOOKUP(C458,'Master Data'!C:C,'Master Data'!H:H)</f>
        <v/>
      </c>
      <c r="J458" s="91" t="s">
        <v>12</v>
      </c>
      <c r="K458" s="92"/>
      <c r="L458" s="92"/>
      <c r="M458" s="23"/>
      <c r="N458" s="23"/>
      <c r="O458" s="23"/>
    </row>
    <row r="459">
      <c r="A459" s="93" t="str">
        <f t="array" ref="A459">XLOOKUP(C459,'TSR Initiation'!C:C,'TSR Initiation'!A:A)</f>
        <v/>
      </c>
      <c r="B459" s="95"/>
      <c r="C459" s="71" t="s">
        <v>12</v>
      </c>
      <c r="D459" s="88" t="str">
        <f t="array" ref="D459">XLOOKUP(C459,'Master Data'!C:C,'Master Data'!D:D)</f>
        <v/>
      </c>
      <c r="E459" s="71" t="str">
        <f t="array" ref="E459">XLOOKUP(C459,'TSR Initiation'!C:C,'TSR Initiation'!E:E)</f>
        <v/>
      </c>
      <c r="F459" s="88" t="str">
        <f t="array" ref="F459">XLOOKUP(C459,'Master Data'!C:C,'Master Data'!E:E)</f>
        <v/>
      </c>
      <c r="G459" s="89" t="str">
        <f t="array" ref="G459">XLOOKUP(C459,'Master Data'!C:C,'Master Data'!F:F)</f>
        <v/>
      </c>
      <c r="H459" s="89" t="str">
        <f t="array" ref="H459">XLOOKUP(C459,'Master Data'!C:C,'Master Data'!G:G)</f>
        <v/>
      </c>
      <c r="I459" s="90" t="str">
        <f t="array" ref="I459">XLOOKUP(C459,'Master Data'!C:C,'Master Data'!H:H)</f>
        <v/>
      </c>
      <c r="J459" s="91" t="s">
        <v>12</v>
      </c>
      <c r="K459" s="92"/>
      <c r="L459" s="92"/>
      <c r="M459" s="23"/>
      <c r="N459" s="23"/>
      <c r="O459" s="23"/>
    </row>
    <row r="460">
      <c r="A460" s="93" t="str">
        <f t="array" ref="A460">XLOOKUP(C460,'TSR Initiation'!C:C,'TSR Initiation'!A:A)</f>
        <v/>
      </c>
      <c r="B460" s="95"/>
      <c r="C460" s="71" t="s">
        <v>12</v>
      </c>
      <c r="D460" s="88" t="str">
        <f t="array" ref="D460">XLOOKUP(C460,'Master Data'!C:C,'Master Data'!D:D)</f>
        <v/>
      </c>
      <c r="E460" s="71" t="str">
        <f t="array" ref="E460">XLOOKUP(C460,'TSR Initiation'!C:C,'TSR Initiation'!E:E)</f>
        <v/>
      </c>
      <c r="F460" s="88" t="str">
        <f t="array" ref="F460">XLOOKUP(C460,'Master Data'!C:C,'Master Data'!E:E)</f>
        <v/>
      </c>
      <c r="G460" s="89" t="str">
        <f t="array" ref="G460">XLOOKUP(C460,'Master Data'!C:C,'Master Data'!F:F)</f>
        <v/>
      </c>
      <c r="H460" s="89" t="str">
        <f t="array" ref="H460">XLOOKUP(C460,'Master Data'!C:C,'Master Data'!G:G)</f>
        <v/>
      </c>
      <c r="I460" s="90" t="str">
        <f t="array" ref="I460">XLOOKUP(C460,'Master Data'!C:C,'Master Data'!H:H)</f>
        <v/>
      </c>
      <c r="J460" s="91" t="s">
        <v>12</v>
      </c>
      <c r="K460" s="92"/>
      <c r="L460" s="92"/>
      <c r="M460" s="23"/>
      <c r="N460" s="23"/>
      <c r="O460" s="23"/>
    </row>
    <row r="461">
      <c r="A461" s="93" t="str">
        <f t="array" ref="A461">XLOOKUP(C461,'TSR Initiation'!C:C,'TSR Initiation'!A:A)</f>
        <v/>
      </c>
      <c r="B461" s="95"/>
      <c r="C461" s="71" t="s">
        <v>12</v>
      </c>
      <c r="D461" s="88" t="str">
        <f t="array" ref="D461">XLOOKUP(C461,'Master Data'!C:C,'Master Data'!D:D)</f>
        <v/>
      </c>
      <c r="E461" s="71" t="str">
        <f t="array" ref="E461">XLOOKUP(C461,'TSR Initiation'!C:C,'TSR Initiation'!E:E)</f>
        <v/>
      </c>
      <c r="F461" s="88" t="str">
        <f t="array" ref="F461">XLOOKUP(C461,'Master Data'!C:C,'Master Data'!E:E)</f>
        <v/>
      </c>
      <c r="G461" s="89" t="str">
        <f t="array" ref="G461">XLOOKUP(C461,'Master Data'!C:C,'Master Data'!F:F)</f>
        <v/>
      </c>
      <c r="H461" s="89" t="str">
        <f t="array" ref="H461">XLOOKUP(C461,'Master Data'!C:C,'Master Data'!G:G)</f>
        <v/>
      </c>
      <c r="I461" s="90" t="str">
        <f t="array" ref="I461">XLOOKUP(C461,'Master Data'!C:C,'Master Data'!H:H)</f>
        <v/>
      </c>
      <c r="J461" s="91" t="s">
        <v>12</v>
      </c>
      <c r="K461" s="92"/>
      <c r="L461" s="92"/>
      <c r="M461" s="23"/>
      <c r="N461" s="23"/>
      <c r="O461" s="23"/>
    </row>
    <row r="462">
      <c r="A462" s="93" t="str">
        <f t="array" ref="A462">XLOOKUP(C462,'TSR Initiation'!C:C,'TSR Initiation'!A:A)</f>
        <v/>
      </c>
      <c r="B462" s="95"/>
      <c r="C462" s="71" t="s">
        <v>12</v>
      </c>
      <c r="D462" s="88" t="str">
        <f t="array" ref="D462">XLOOKUP(C462,'Master Data'!C:C,'Master Data'!D:D)</f>
        <v/>
      </c>
      <c r="E462" s="71" t="str">
        <f t="array" ref="E462">XLOOKUP(C462,'TSR Initiation'!C:C,'TSR Initiation'!E:E)</f>
        <v/>
      </c>
      <c r="F462" s="88" t="str">
        <f t="array" ref="F462">XLOOKUP(C462,'Master Data'!C:C,'Master Data'!E:E)</f>
        <v/>
      </c>
      <c r="G462" s="89" t="str">
        <f t="array" ref="G462">XLOOKUP(C462,'Master Data'!C:C,'Master Data'!F:F)</f>
        <v/>
      </c>
      <c r="H462" s="89" t="str">
        <f t="array" ref="H462">XLOOKUP(C462,'Master Data'!C:C,'Master Data'!G:G)</f>
        <v/>
      </c>
      <c r="I462" s="90" t="str">
        <f t="array" ref="I462">XLOOKUP(C462,'Master Data'!C:C,'Master Data'!H:H)</f>
        <v/>
      </c>
      <c r="J462" s="91" t="s">
        <v>12</v>
      </c>
      <c r="K462" s="92"/>
      <c r="L462" s="92"/>
      <c r="M462" s="23"/>
      <c r="N462" s="23"/>
      <c r="O462" s="23"/>
    </row>
    <row r="463">
      <c r="A463" s="93" t="str">
        <f t="array" ref="A463">XLOOKUP(C463,'TSR Initiation'!C:C,'TSR Initiation'!A:A)</f>
        <v/>
      </c>
      <c r="B463" s="95"/>
      <c r="C463" s="71" t="s">
        <v>12</v>
      </c>
      <c r="D463" s="88" t="str">
        <f t="array" ref="D463">XLOOKUP(C463,'Master Data'!C:C,'Master Data'!D:D)</f>
        <v/>
      </c>
      <c r="E463" s="71" t="str">
        <f t="array" ref="E463">XLOOKUP(C463,'TSR Initiation'!C:C,'TSR Initiation'!E:E)</f>
        <v/>
      </c>
      <c r="F463" s="88" t="str">
        <f t="array" ref="F463">XLOOKUP(C463,'Master Data'!C:C,'Master Data'!E:E)</f>
        <v/>
      </c>
      <c r="G463" s="89" t="str">
        <f t="array" ref="G463">XLOOKUP(C463,'Master Data'!C:C,'Master Data'!F:F)</f>
        <v/>
      </c>
      <c r="H463" s="89" t="str">
        <f t="array" ref="H463">XLOOKUP(C463,'Master Data'!C:C,'Master Data'!G:G)</f>
        <v/>
      </c>
      <c r="I463" s="90" t="str">
        <f t="array" ref="I463">XLOOKUP(C463,'Master Data'!C:C,'Master Data'!H:H)</f>
        <v/>
      </c>
      <c r="J463" s="91" t="s">
        <v>12</v>
      </c>
      <c r="K463" s="92"/>
      <c r="L463" s="92"/>
      <c r="M463" s="23"/>
      <c r="N463" s="23"/>
      <c r="O463" s="23"/>
    </row>
    <row r="464">
      <c r="A464" s="93" t="str">
        <f t="array" ref="A464">XLOOKUP(C464,'TSR Initiation'!C:C,'TSR Initiation'!A:A)</f>
        <v/>
      </c>
      <c r="B464" s="95"/>
      <c r="C464" s="71" t="s">
        <v>12</v>
      </c>
      <c r="D464" s="88" t="str">
        <f t="array" ref="D464">XLOOKUP(C464,'Master Data'!C:C,'Master Data'!D:D)</f>
        <v/>
      </c>
      <c r="E464" s="71" t="str">
        <f t="array" ref="E464">XLOOKUP(C464,'TSR Initiation'!C:C,'TSR Initiation'!E:E)</f>
        <v/>
      </c>
      <c r="F464" s="88" t="str">
        <f t="array" ref="F464">XLOOKUP(C464,'Master Data'!C:C,'Master Data'!E:E)</f>
        <v/>
      </c>
      <c r="G464" s="89" t="str">
        <f t="array" ref="G464">XLOOKUP(C464,'Master Data'!C:C,'Master Data'!F:F)</f>
        <v/>
      </c>
      <c r="H464" s="89" t="str">
        <f t="array" ref="H464">XLOOKUP(C464,'Master Data'!C:C,'Master Data'!G:G)</f>
        <v/>
      </c>
      <c r="I464" s="90" t="str">
        <f t="array" ref="I464">XLOOKUP(C464,'Master Data'!C:C,'Master Data'!H:H)</f>
        <v/>
      </c>
      <c r="J464" s="91" t="s">
        <v>12</v>
      </c>
      <c r="K464" s="92"/>
      <c r="L464" s="92"/>
      <c r="M464" s="23"/>
      <c r="N464" s="23"/>
      <c r="O464" s="23"/>
    </row>
    <row r="465">
      <c r="A465" s="93" t="str">
        <f t="array" ref="A465">XLOOKUP(C465,'TSR Initiation'!C:C,'TSR Initiation'!A:A)</f>
        <v/>
      </c>
      <c r="B465" s="95"/>
      <c r="C465" s="71" t="s">
        <v>12</v>
      </c>
      <c r="D465" s="88" t="str">
        <f t="array" ref="D465">XLOOKUP(C465,'Master Data'!C:C,'Master Data'!D:D)</f>
        <v/>
      </c>
      <c r="E465" s="71" t="str">
        <f t="array" ref="E465">XLOOKUP(C465,'TSR Initiation'!C:C,'TSR Initiation'!E:E)</f>
        <v/>
      </c>
      <c r="F465" s="88" t="str">
        <f t="array" ref="F465">XLOOKUP(C465,'Master Data'!C:C,'Master Data'!E:E)</f>
        <v/>
      </c>
      <c r="G465" s="89" t="str">
        <f t="array" ref="G465">XLOOKUP(C465,'Master Data'!C:C,'Master Data'!F:F)</f>
        <v/>
      </c>
      <c r="H465" s="89" t="str">
        <f t="array" ref="H465">XLOOKUP(C465,'Master Data'!C:C,'Master Data'!G:G)</f>
        <v/>
      </c>
      <c r="I465" s="90" t="str">
        <f t="array" ref="I465">XLOOKUP(C465,'Master Data'!C:C,'Master Data'!H:H)</f>
        <v/>
      </c>
      <c r="J465" s="91" t="s">
        <v>12</v>
      </c>
      <c r="K465" s="92"/>
      <c r="L465" s="92"/>
      <c r="M465" s="23"/>
      <c r="N465" s="23"/>
      <c r="O465" s="23"/>
    </row>
    <row r="466">
      <c r="A466" s="93" t="str">
        <f t="array" ref="A466">XLOOKUP(C466,'TSR Initiation'!C:C,'TSR Initiation'!A:A)</f>
        <v/>
      </c>
      <c r="B466" s="95"/>
      <c r="C466" s="71" t="s">
        <v>12</v>
      </c>
      <c r="D466" s="88" t="str">
        <f t="array" ref="D466">XLOOKUP(C466,'Master Data'!C:C,'Master Data'!D:D)</f>
        <v/>
      </c>
      <c r="E466" s="71" t="str">
        <f t="array" ref="E466">XLOOKUP(C466,'TSR Initiation'!C:C,'TSR Initiation'!E:E)</f>
        <v/>
      </c>
      <c r="F466" s="88" t="str">
        <f t="array" ref="F466">XLOOKUP(C466,'Master Data'!C:C,'Master Data'!E:E)</f>
        <v/>
      </c>
      <c r="G466" s="89" t="str">
        <f t="array" ref="G466">XLOOKUP(C466,'Master Data'!C:C,'Master Data'!F:F)</f>
        <v/>
      </c>
      <c r="H466" s="89" t="str">
        <f t="array" ref="H466">XLOOKUP(C466,'Master Data'!C:C,'Master Data'!G:G)</f>
        <v/>
      </c>
      <c r="I466" s="90" t="str">
        <f t="array" ref="I466">XLOOKUP(C466,'Master Data'!C:C,'Master Data'!H:H)</f>
        <v/>
      </c>
      <c r="J466" s="91" t="s">
        <v>12</v>
      </c>
      <c r="K466" s="92"/>
      <c r="L466" s="92"/>
      <c r="M466" s="23"/>
      <c r="N466" s="23"/>
      <c r="O466" s="23"/>
    </row>
    <row r="467">
      <c r="A467" s="93" t="str">
        <f t="array" ref="A467">XLOOKUP(C467,'TSR Initiation'!C:C,'TSR Initiation'!A:A)</f>
        <v/>
      </c>
      <c r="B467" s="95"/>
      <c r="C467" s="71" t="s">
        <v>12</v>
      </c>
      <c r="D467" s="88" t="str">
        <f t="array" ref="D467">XLOOKUP(C467,'Master Data'!C:C,'Master Data'!D:D)</f>
        <v/>
      </c>
      <c r="E467" s="71" t="str">
        <f t="array" ref="E467">XLOOKUP(C467,'TSR Initiation'!C:C,'TSR Initiation'!E:E)</f>
        <v/>
      </c>
      <c r="F467" s="88" t="str">
        <f t="array" ref="F467">XLOOKUP(C467,'Master Data'!C:C,'Master Data'!E:E)</f>
        <v/>
      </c>
      <c r="G467" s="89" t="str">
        <f t="array" ref="G467">XLOOKUP(C467,'Master Data'!C:C,'Master Data'!F:F)</f>
        <v/>
      </c>
      <c r="H467" s="89" t="str">
        <f t="array" ref="H467">XLOOKUP(C467,'Master Data'!C:C,'Master Data'!G:G)</f>
        <v/>
      </c>
      <c r="I467" s="90" t="str">
        <f t="array" ref="I467">XLOOKUP(C467,'Master Data'!C:C,'Master Data'!H:H)</f>
        <v/>
      </c>
      <c r="J467" s="91" t="s">
        <v>12</v>
      </c>
      <c r="K467" s="92"/>
      <c r="L467" s="92"/>
      <c r="M467" s="23"/>
      <c r="N467" s="23"/>
      <c r="O467" s="23"/>
    </row>
    <row r="468">
      <c r="A468" s="93" t="str">
        <f t="array" ref="A468">XLOOKUP(C468,'TSR Initiation'!C:C,'TSR Initiation'!A:A)</f>
        <v/>
      </c>
      <c r="B468" s="95"/>
      <c r="C468" s="71" t="s">
        <v>12</v>
      </c>
      <c r="D468" s="88" t="str">
        <f t="array" ref="D468">XLOOKUP(C468,'Master Data'!C:C,'Master Data'!D:D)</f>
        <v/>
      </c>
      <c r="E468" s="71" t="str">
        <f t="array" ref="E468">XLOOKUP(C468,'TSR Initiation'!C:C,'TSR Initiation'!E:E)</f>
        <v/>
      </c>
      <c r="F468" s="88" t="str">
        <f t="array" ref="F468">XLOOKUP(C468,'Master Data'!C:C,'Master Data'!E:E)</f>
        <v/>
      </c>
      <c r="G468" s="89" t="str">
        <f t="array" ref="G468">XLOOKUP(C468,'Master Data'!C:C,'Master Data'!F:F)</f>
        <v/>
      </c>
      <c r="H468" s="89" t="str">
        <f t="array" ref="H468">XLOOKUP(C468,'Master Data'!C:C,'Master Data'!G:G)</f>
        <v/>
      </c>
      <c r="I468" s="90" t="str">
        <f t="array" ref="I468">XLOOKUP(C468,'Master Data'!C:C,'Master Data'!H:H)</f>
        <v/>
      </c>
      <c r="J468" s="91" t="s">
        <v>12</v>
      </c>
      <c r="K468" s="92"/>
      <c r="L468" s="92"/>
      <c r="M468" s="23"/>
      <c r="N468" s="23"/>
      <c r="O468" s="23"/>
    </row>
    <row r="469">
      <c r="A469" s="93" t="str">
        <f t="array" ref="A469">XLOOKUP(C469,'TSR Initiation'!C:C,'TSR Initiation'!A:A)</f>
        <v/>
      </c>
      <c r="B469" s="95"/>
      <c r="C469" s="71" t="s">
        <v>12</v>
      </c>
      <c r="D469" s="88" t="str">
        <f t="array" ref="D469">XLOOKUP(C469,'Master Data'!C:C,'Master Data'!D:D)</f>
        <v/>
      </c>
      <c r="E469" s="71" t="str">
        <f t="array" ref="E469">XLOOKUP(C469,'TSR Initiation'!C:C,'TSR Initiation'!E:E)</f>
        <v/>
      </c>
      <c r="F469" s="88" t="str">
        <f t="array" ref="F469">XLOOKUP(C469,'Master Data'!C:C,'Master Data'!E:E)</f>
        <v/>
      </c>
      <c r="G469" s="89" t="str">
        <f t="array" ref="G469">XLOOKUP(C469,'Master Data'!C:C,'Master Data'!F:F)</f>
        <v/>
      </c>
      <c r="H469" s="89" t="str">
        <f t="array" ref="H469">XLOOKUP(C469,'Master Data'!C:C,'Master Data'!G:G)</f>
        <v/>
      </c>
      <c r="I469" s="90" t="str">
        <f t="array" ref="I469">XLOOKUP(C469,'Master Data'!C:C,'Master Data'!H:H)</f>
        <v/>
      </c>
      <c r="J469" s="91" t="s">
        <v>12</v>
      </c>
      <c r="K469" s="92"/>
      <c r="L469" s="92"/>
      <c r="M469" s="23"/>
      <c r="N469" s="23"/>
      <c r="O469" s="23"/>
    </row>
    <row r="470">
      <c r="A470" s="93" t="str">
        <f t="array" ref="A470">XLOOKUP(C470,'TSR Initiation'!C:C,'TSR Initiation'!A:A)</f>
        <v/>
      </c>
      <c r="B470" s="95"/>
      <c r="C470" s="71" t="s">
        <v>12</v>
      </c>
      <c r="D470" s="88" t="str">
        <f t="array" ref="D470">XLOOKUP(C470,'Master Data'!C:C,'Master Data'!D:D)</f>
        <v/>
      </c>
      <c r="E470" s="71" t="str">
        <f t="array" ref="E470">XLOOKUP(C470,'TSR Initiation'!C:C,'TSR Initiation'!E:E)</f>
        <v/>
      </c>
      <c r="F470" s="88" t="str">
        <f t="array" ref="F470">XLOOKUP(C470,'Master Data'!C:C,'Master Data'!E:E)</f>
        <v/>
      </c>
      <c r="G470" s="89" t="str">
        <f t="array" ref="G470">XLOOKUP(C470,'Master Data'!C:C,'Master Data'!F:F)</f>
        <v/>
      </c>
      <c r="H470" s="89" t="str">
        <f t="array" ref="H470">XLOOKUP(C470,'Master Data'!C:C,'Master Data'!G:G)</f>
        <v/>
      </c>
      <c r="I470" s="90" t="str">
        <f t="array" ref="I470">XLOOKUP(C470,'Master Data'!C:C,'Master Data'!H:H)</f>
        <v/>
      </c>
      <c r="J470" s="91" t="s">
        <v>12</v>
      </c>
      <c r="K470" s="92"/>
      <c r="L470" s="92"/>
      <c r="M470" s="23"/>
      <c r="N470" s="23"/>
      <c r="O470" s="23"/>
    </row>
    <row r="471">
      <c r="A471" s="93" t="str">
        <f t="array" ref="A471">XLOOKUP(C471,'TSR Initiation'!C:C,'TSR Initiation'!A:A)</f>
        <v/>
      </c>
      <c r="B471" s="95"/>
      <c r="C471" s="71" t="s">
        <v>12</v>
      </c>
      <c r="D471" s="88" t="str">
        <f t="array" ref="D471">XLOOKUP(C471,'Master Data'!C:C,'Master Data'!D:D)</f>
        <v/>
      </c>
      <c r="E471" s="71" t="str">
        <f t="array" ref="E471">XLOOKUP(C471,'TSR Initiation'!C:C,'TSR Initiation'!E:E)</f>
        <v/>
      </c>
      <c r="F471" s="88" t="str">
        <f t="array" ref="F471">XLOOKUP(C471,'Master Data'!C:C,'Master Data'!E:E)</f>
        <v/>
      </c>
      <c r="G471" s="89" t="str">
        <f t="array" ref="G471">XLOOKUP(C471,'Master Data'!C:C,'Master Data'!F:F)</f>
        <v/>
      </c>
      <c r="H471" s="89" t="str">
        <f t="array" ref="H471">XLOOKUP(C471,'Master Data'!C:C,'Master Data'!G:G)</f>
        <v/>
      </c>
      <c r="I471" s="90" t="str">
        <f t="array" ref="I471">XLOOKUP(C471,'Master Data'!C:C,'Master Data'!H:H)</f>
        <v/>
      </c>
      <c r="J471" s="91" t="s">
        <v>12</v>
      </c>
      <c r="K471" s="92"/>
      <c r="L471" s="92"/>
      <c r="M471" s="23"/>
      <c r="N471" s="23"/>
      <c r="O471" s="23"/>
    </row>
    <row r="472">
      <c r="A472" s="93" t="str">
        <f t="array" ref="A472">XLOOKUP(C472,'TSR Initiation'!C:C,'TSR Initiation'!A:A)</f>
        <v/>
      </c>
      <c r="B472" s="95"/>
      <c r="C472" s="71" t="s">
        <v>12</v>
      </c>
      <c r="D472" s="88" t="str">
        <f t="array" ref="D472">XLOOKUP(C472,'Master Data'!C:C,'Master Data'!D:D)</f>
        <v/>
      </c>
      <c r="E472" s="71" t="str">
        <f t="array" ref="E472">XLOOKUP(C472,'TSR Initiation'!C:C,'TSR Initiation'!E:E)</f>
        <v/>
      </c>
      <c r="F472" s="88" t="str">
        <f t="array" ref="F472">XLOOKUP(C472,'Master Data'!C:C,'Master Data'!E:E)</f>
        <v/>
      </c>
      <c r="G472" s="89" t="str">
        <f t="array" ref="G472">XLOOKUP(C472,'Master Data'!C:C,'Master Data'!F:F)</f>
        <v/>
      </c>
      <c r="H472" s="89" t="str">
        <f t="array" ref="H472">XLOOKUP(C472,'Master Data'!C:C,'Master Data'!G:G)</f>
        <v/>
      </c>
      <c r="I472" s="90" t="str">
        <f t="array" ref="I472">XLOOKUP(C472,'Master Data'!C:C,'Master Data'!H:H)</f>
        <v/>
      </c>
      <c r="J472" s="91" t="s">
        <v>12</v>
      </c>
      <c r="K472" s="92"/>
      <c r="L472" s="92"/>
      <c r="M472" s="23"/>
      <c r="N472" s="23"/>
      <c r="O472" s="23"/>
    </row>
    <row r="473">
      <c r="A473" s="93" t="str">
        <f t="array" ref="A473">XLOOKUP(C473,'TSR Initiation'!C:C,'TSR Initiation'!A:A)</f>
        <v/>
      </c>
      <c r="B473" s="95"/>
      <c r="C473" s="71" t="s">
        <v>12</v>
      </c>
      <c r="D473" s="88" t="str">
        <f t="array" ref="D473">XLOOKUP(C473,'Master Data'!C:C,'Master Data'!D:D)</f>
        <v/>
      </c>
      <c r="E473" s="71" t="str">
        <f t="array" ref="E473">XLOOKUP(C473,'TSR Initiation'!C:C,'TSR Initiation'!E:E)</f>
        <v/>
      </c>
      <c r="F473" s="88" t="str">
        <f t="array" ref="F473">XLOOKUP(C473,'Master Data'!C:C,'Master Data'!E:E)</f>
        <v/>
      </c>
      <c r="G473" s="89" t="str">
        <f t="array" ref="G473">XLOOKUP(C473,'Master Data'!C:C,'Master Data'!F:F)</f>
        <v/>
      </c>
      <c r="H473" s="89" t="str">
        <f t="array" ref="H473">XLOOKUP(C473,'Master Data'!C:C,'Master Data'!G:G)</f>
        <v/>
      </c>
      <c r="I473" s="90" t="str">
        <f t="array" ref="I473">XLOOKUP(C473,'Master Data'!C:C,'Master Data'!H:H)</f>
        <v/>
      </c>
      <c r="J473" s="91" t="s">
        <v>12</v>
      </c>
      <c r="K473" s="92"/>
      <c r="L473" s="92"/>
      <c r="M473" s="23"/>
      <c r="N473" s="23"/>
      <c r="O473" s="23"/>
    </row>
    <row r="474">
      <c r="A474" s="93" t="str">
        <f t="array" ref="A474">XLOOKUP(C474,'TSR Initiation'!C:C,'TSR Initiation'!A:A)</f>
        <v/>
      </c>
      <c r="B474" s="95"/>
      <c r="C474" s="71" t="s">
        <v>12</v>
      </c>
      <c r="D474" s="88" t="str">
        <f t="array" ref="D474">XLOOKUP(C474,'Master Data'!C:C,'Master Data'!D:D)</f>
        <v/>
      </c>
      <c r="E474" s="71" t="str">
        <f t="array" ref="E474">XLOOKUP(C474,'TSR Initiation'!C:C,'TSR Initiation'!E:E)</f>
        <v/>
      </c>
      <c r="F474" s="88" t="str">
        <f t="array" ref="F474">XLOOKUP(C474,'Master Data'!C:C,'Master Data'!E:E)</f>
        <v/>
      </c>
      <c r="G474" s="89" t="str">
        <f t="array" ref="G474">XLOOKUP(C474,'Master Data'!C:C,'Master Data'!F:F)</f>
        <v/>
      </c>
      <c r="H474" s="89" t="str">
        <f t="array" ref="H474">XLOOKUP(C474,'Master Data'!C:C,'Master Data'!G:G)</f>
        <v/>
      </c>
      <c r="I474" s="90" t="str">
        <f t="array" ref="I474">XLOOKUP(C474,'Master Data'!C:C,'Master Data'!H:H)</f>
        <v/>
      </c>
      <c r="J474" s="91" t="s">
        <v>12</v>
      </c>
      <c r="K474" s="92"/>
      <c r="L474" s="92"/>
      <c r="M474" s="23"/>
      <c r="N474" s="23"/>
      <c r="O474" s="23"/>
    </row>
    <row r="475">
      <c r="A475" s="93" t="str">
        <f t="array" ref="A475">XLOOKUP(C475,'TSR Initiation'!C:C,'TSR Initiation'!A:A)</f>
        <v/>
      </c>
      <c r="B475" s="95"/>
      <c r="C475" s="71" t="s">
        <v>12</v>
      </c>
      <c r="D475" s="88" t="str">
        <f t="array" ref="D475">XLOOKUP(C475,'Master Data'!C:C,'Master Data'!D:D)</f>
        <v/>
      </c>
      <c r="E475" s="71" t="str">
        <f t="array" ref="E475">XLOOKUP(C475,'TSR Initiation'!C:C,'TSR Initiation'!E:E)</f>
        <v/>
      </c>
      <c r="F475" s="88" t="str">
        <f t="array" ref="F475">XLOOKUP(C475,'Master Data'!C:C,'Master Data'!E:E)</f>
        <v/>
      </c>
      <c r="G475" s="89" t="str">
        <f t="array" ref="G475">XLOOKUP(C475,'Master Data'!C:C,'Master Data'!F:F)</f>
        <v/>
      </c>
      <c r="H475" s="89" t="str">
        <f t="array" ref="H475">XLOOKUP(C475,'Master Data'!C:C,'Master Data'!G:G)</f>
        <v/>
      </c>
      <c r="I475" s="90" t="str">
        <f t="array" ref="I475">XLOOKUP(C475,'Master Data'!C:C,'Master Data'!H:H)</f>
        <v/>
      </c>
      <c r="J475" s="91" t="s">
        <v>12</v>
      </c>
      <c r="K475" s="92"/>
      <c r="L475" s="92"/>
      <c r="M475" s="23"/>
      <c r="N475" s="23"/>
      <c r="O475" s="23"/>
    </row>
    <row r="476">
      <c r="A476" s="93" t="str">
        <f t="array" ref="A476">XLOOKUP(C476,'TSR Initiation'!C:C,'TSR Initiation'!A:A)</f>
        <v/>
      </c>
      <c r="B476" s="95"/>
      <c r="C476" s="71" t="s">
        <v>12</v>
      </c>
      <c r="D476" s="88" t="str">
        <f t="array" ref="D476">XLOOKUP(C476,'Master Data'!C:C,'Master Data'!D:D)</f>
        <v/>
      </c>
      <c r="E476" s="71" t="str">
        <f t="array" ref="E476">XLOOKUP(C476,'TSR Initiation'!C:C,'TSR Initiation'!E:E)</f>
        <v/>
      </c>
      <c r="F476" s="88" t="str">
        <f t="array" ref="F476">XLOOKUP(C476,'Master Data'!C:C,'Master Data'!E:E)</f>
        <v/>
      </c>
      <c r="G476" s="89" t="str">
        <f t="array" ref="G476">XLOOKUP(C476,'Master Data'!C:C,'Master Data'!F:F)</f>
        <v/>
      </c>
      <c r="H476" s="89" t="str">
        <f t="array" ref="H476">XLOOKUP(C476,'Master Data'!C:C,'Master Data'!G:G)</f>
        <v/>
      </c>
      <c r="I476" s="90" t="str">
        <f t="array" ref="I476">XLOOKUP(C476,'Master Data'!C:C,'Master Data'!H:H)</f>
        <v/>
      </c>
      <c r="J476" s="91" t="s">
        <v>12</v>
      </c>
      <c r="K476" s="92"/>
      <c r="L476" s="92"/>
      <c r="M476" s="23"/>
      <c r="N476" s="23"/>
      <c r="O476" s="23"/>
    </row>
    <row r="477">
      <c r="A477" s="93" t="str">
        <f t="array" ref="A477">XLOOKUP(C477,'TSR Initiation'!C:C,'TSR Initiation'!A:A)</f>
        <v/>
      </c>
      <c r="B477" s="95"/>
      <c r="C477" s="71" t="s">
        <v>12</v>
      </c>
      <c r="D477" s="88" t="str">
        <f t="array" ref="D477">XLOOKUP(C477,'Master Data'!C:C,'Master Data'!D:D)</f>
        <v/>
      </c>
      <c r="E477" s="71" t="str">
        <f t="array" ref="E477">XLOOKUP(C477,'TSR Initiation'!C:C,'TSR Initiation'!E:E)</f>
        <v/>
      </c>
      <c r="F477" s="88" t="str">
        <f t="array" ref="F477">XLOOKUP(C477,'Master Data'!C:C,'Master Data'!E:E)</f>
        <v/>
      </c>
      <c r="G477" s="89" t="str">
        <f t="array" ref="G477">XLOOKUP(C477,'Master Data'!C:C,'Master Data'!F:F)</f>
        <v/>
      </c>
      <c r="H477" s="89" t="str">
        <f t="array" ref="H477">XLOOKUP(C477,'Master Data'!C:C,'Master Data'!G:G)</f>
        <v/>
      </c>
      <c r="I477" s="90" t="str">
        <f t="array" ref="I477">XLOOKUP(C477,'Master Data'!C:C,'Master Data'!H:H)</f>
        <v/>
      </c>
      <c r="J477" s="91" t="s">
        <v>12</v>
      </c>
      <c r="K477" s="92"/>
      <c r="L477" s="92"/>
      <c r="M477" s="23"/>
      <c r="N477" s="23"/>
      <c r="O477" s="23"/>
    </row>
    <row r="478">
      <c r="A478" s="93" t="str">
        <f t="array" ref="A478">XLOOKUP(C478,'TSR Initiation'!C:C,'TSR Initiation'!A:A)</f>
        <v/>
      </c>
      <c r="B478" s="95"/>
      <c r="C478" s="71" t="s">
        <v>12</v>
      </c>
      <c r="D478" s="88" t="str">
        <f t="array" ref="D478">XLOOKUP(C478,'Master Data'!C:C,'Master Data'!D:D)</f>
        <v/>
      </c>
      <c r="E478" s="71" t="str">
        <f t="array" ref="E478">XLOOKUP(C478,'TSR Initiation'!C:C,'TSR Initiation'!E:E)</f>
        <v/>
      </c>
      <c r="F478" s="88" t="str">
        <f t="array" ref="F478">XLOOKUP(C478,'Master Data'!C:C,'Master Data'!E:E)</f>
        <v/>
      </c>
      <c r="G478" s="89" t="str">
        <f t="array" ref="G478">XLOOKUP(C478,'Master Data'!C:C,'Master Data'!F:F)</f>
        <v/>
      </c>
      <c r="H478" s="89" t="str">
        <f t="array" ref="H478">XLOOKUP(C478,'Master Data'!C:C,'Master Data'!G:G)</f>
        <v/>
      </c>
      <c r="I478" s="90" t="str">
        <f t="array" ref="I478">XLOOKUP(C478,'Master Data'!C:C,'Master Data'!H:H)</f>
        <v/>
      </c>
      <c r="J478" s="91" t="s">
        <v>12</v>
      </c>
      <c r="K478" s="92"/>
      <c r="L478" s="92"/>
      <c r="M478" s="23"/>
      <c r="N478" s="23"/>
      <c r="O478" s="23"/>
    </row>
    <row r="479">
      <c r="A479" s="93" t="str">
        <f t="array" ref="A479">XLOOKUP(C479,'TSR Initiation'!C:C,'TSR Initiation'!A:A)</f>
        <v/>
      </c>
      <c r="B479" s="95"/>
      <c r="C479" s="71" t="s">
        <v>12</v>
      </c>
      <c r="D479" s="88" t="str">
        <f t="array" ref="D479">XLOOKUP(C479,'Master Data'!C:C,'Master Data'!D:D)</f>
        <v/>
      </c>
      <c r="E479" s="71" t="str">
        <f t="array" ref="E479">XLOOKUP(C479,'TSR Initiation'!C:C,'TSR Initiation'!E:E)</f>
        <v/>
      </c>
      <c r="F479" s="88" t="str">
        <f t="array" ref="F479">XLOOKUP(C479,'Master Data'!C:C,'Master Data'!E:E)</f>
        <v/>
      </c>
      <c r="G479" s="89" t="str">
        <f t="array" ref="G479">XLOOKUP(C479,'Master Data'!C:C,'Master Data'!F:F)</f>
        <v/>
      </c>
      <c r="H479" s="89" t="str">
        <f t="array" ref="H479">XLOOKUP(C479,'Master Data'!C:C,'Master Data'!G:G)</f>
        <v/>
      </c>
      <c r="I479" s="90" t="str">
        <f t="array" ref="I479">XLOOKUP(C479,'Master Data'!C:C,'Master Data'!H:H)</f>
        <v/>
      </c>
      <c r="J479" s="91" t="s">
        <v>12</v>
      </c>
      <c r="K479" s="92"/>
      <c r="L479" s="92"/>
      <c r="M479" s="23"/>
      <c r="N479" s="23"/>
      <c r="O479" s="23"/>
    </row>
    <row r="480">
      <c r="A480" s="93" t="str">
        <f t="array" ref="A480">XLOOKUP(C480,'TSR Initiation'!C:C,'TSR Initiation'!A:A)</f>
        <v/>
      </c>
      <c r="B480" s="95"/>
      <c r="C480" s="71" t="s">
        <v>12</v>
      </c>
      <c r="D480" s="88" t="str">
        <f t="array" ref="D480">XLOOKUP(C480,'Master Data'!C:C,'Master Data'!D:D)</f>
        <v/>
      </c>
      <c r="E480" s="71" t="str">
        <f t="array" ref="E480">XLOOKUP(C480,'TSR Initiation'!C:C,'TSR Initiation'!E:E)</f>
        <v/>
      </c>
      <c r="F480" s="88" t="str">
        <f t="array" ref="F480">XLOOKUP(C480,'Master Data'!C:C,'Master Data'!E:E)</f>
        <v/>
      </c>
      <c r="G480" s="89" t="str">
        <f t="array" ref="G480">XLOOKUP(C480,'Master Data'!C:C,'Master Data'!F:F)</f>
        <v/>
      </c>
      <c r="H480" s="89" t="str">
        <f t="array" ref="H480">XLOOKUP(C480,'Master Data'!C:C,'Master Data'!G:G)</f>
        <v/>
      </c>
      <c r="I480" s="90" t="str">
        <f t="array" ref="I480">XLOOKUP(C480,'Master Data'!C:C,'Master Data'!H:H)</f>
        <v/>
      </c>
      <c r="J480" s="91" t="s">
        <v>12</v>
      </c>
      <c r="K480" s="92"/>
      <c r="L480" s="92"/>
      <c r="M480" s="23"/>
      <c r="N480" s="23"/>
      <c r="O480" s="23"/>
    </row>
    <row r="481">
      <c r="A481" s="93" t="str">
        <f t="array" ref="A481">XLOOKUP(C481,'TSR Initiation'!C:C,'TSR Initiation'!A:A)</f>
        <v/>
      </c>
      <c r="B481" s="95"/>
      <c r="C481" s="71" t="s">
        <v>12</v>
      </c>
      <c r="D481" s="88" t="str">
        <f t="array" ref="D481">XLOOKUP(C481,'Master Data'!C:C,'Master Data'!D:D)</f>
        <v/>
      </c>
      <c r="E481" s="71" t="str">
        <f t="array" ref="E481">XLOOKUP(C481,'TSR Initiation'!C:C,'TSR Initiation'!E:E)</f>
        <v/>
      </c>
      <c r="F481" s="88" t="str">
        <f t="array" ref="F481">XLOOKUP(C481,'Master Data'!C:C,'Master Data'!E:E)</f>
        <v/>
      </c>
      <c r="G481" s="89" t="str">
        <f t="array" ref="G481">XLOOKUP(C481,'Master Data'!C:C,'Master Data'!F:F)</f>
        <v/>
      </c>
      <c r="H481" s="89" t="str">
        <f t="array" ref="H481">XLOOKUP(C481,'Master Data'!C:C,'Master Data'!G:G)</f>
        <v/>
      </c>
      <c r="I481" s="90" t="str">
        <f t="array" ref="I481">XLOOKUP(C481,'Master Data'!C:C,'Master Data'!H:H)</f>
        <v/>
      </c>
      <c r="J481" s="91" t="s">
        <v>12</v>
      </c>
      <c r="K481" s="92"/>
      <c r="L481" s="92"/>
      <c r="M481" s="23"/>
      <c r="N481" s="23"/>
      <c r="O481" s="23"/>
    </row>
    <row r="482">
      <c r="A482" s="93" t="str">
        <f t="array" ref="A482">XLOOKUP(C482,'TSR Initiation'!C:C,'TSR Initiation'!A:A)</f>
        <v/>
      </c>
      <c r="B482" s="95"/>
      <c r="C482" s="71" t="s">
        <v>12</v>
      </c>
      <c r="D482" s="88" t="str">
        <f t="array" ref="D482">XLOOKUP(C482,'Master Data'!C:C,'Master Data'!D:D)</f>
        <v/>
      </c>
      <c r="E482" s="71" t="str">
        <f t="array" ref="E482">XLOOKUP(C482,'TSR Initiation'!C:C,'TSR Initiation'!E:E)</f>
        <v/>
      </c>
      <c r="F482" s="88" t="str">
        <f t="array" ref="F482">XLOOKUP(C482,'Master Data'!C:C,'Master Data'!E:E)</f>
        <v/>
      </c>
      <c r="G482" s="89" t="str">
        <f t="array" ref="G482">XLOOKUP(C482,'Master Data'!C:C,'Master Data'!F:F)</f>
        <v/>
      </c>
      <c r="H482" s="89" t="str">
        <f t="array" ref="H482">XLOOKUP(C482,'Master Data'!C:C,'Master Data'!G:G)</f>
        <v/>
      </c>
      <c r="I482" s="90" t="str">
        <f t="array" ref="I482">XLOOKUP(C482,'Master Data'!C:C,'Master Data'!H:H)</f>
        <v/>
      </c>
      <c r="J482" s="91" t="s">
        <v>12</v>
      </c>
      <c r="K482" s="92"/>
      <c r="L482" s="92"/>
      <c r="M482" s="23"/>
      <c r="N482" s="23"/>
      <c r="O482" s="23"/>
    </row>
    <row r="483">
      <c r="A483" s="93" t="str">
        <f t="array" ref="A483">XLOOKUP(C483,'TSR Initiation'!C:C,'TSR Initiation'!A:A)</f>
        <v/>
      </c>
      <c r="B483" s="95"/>
      <c r="C483" s="71" t="s">
        <v>12</v>
      </c>
      <c r="D483" s="88" t="str">
        <f t="array" ref="D483">XLOOKUP(C483,'Master Data'!C:C,'Master Data'!D:D)</f>
        <v/>
      </c>
      <c r="E483" s="71" t="str">
        <f t="array" ref="E483">XLOOKUP(C483,'TSR Initiation'!C:C,'TSR Initiation'!E:E)</f>
        <v/>
      </c>
      <c r="F483" s="88" t="str">
        <f t="array" ref="F483">XLOOKUP(C483,'Master Data'!C:C,'Master Data'!E:E)</f>
        <v/>
      </c>
      <c r="G483" s="89" t="str">
        <f t="array" ref="G483">XLOOKUP(C483,'Master Data'!C:C,'Master Data'!F:F)</f>
        <v/>
      </c>
      <c r="H483" s="89" t="str">
        <f t="array" ref="H483">XLOOKUP(C483,'Master Data'!C:C,'Master Data'!G:G)</f>
        <v/>
      </c>
      <c r="I483" s="90" t="str">
        <f t="array" ref="I483">XLOOKUP(C483,'Master Data'!C:C,'Master Data'!H:H)</f>
        <v/>
      </c>
      <c r="J483" s="91" t="s">
        <v>12</v>
      </c>
      <c r="K483" s="92"/>
      <c r="L483" s="92"/>
      <c r="M483" s="23"/>
      <c r="N483" s="23"/>
      <c r="O483" s="23"/>
    </row>
    <row r="484">
      <c r="A484" s="93" t="str">
        <f t="array" ref="A484">XLOOKUP(C484,'TSR Initiation'!C:C,'TSR Initiation'!A:A)</f>
        <v/>
      </c>
      <c r="B484" s="95"/>
      <c r="C484" s="71" t="s">
        <v>12</v>
      </c>
      <c r="D484" s="88" t="str">
        <f t="array" ref="D484">XLOOKUP(C484,'Master Data'!C:C,'Master Data'!D:D)</f>
        <v/>
      </c>
      <c r="E484" s="71" t="str">
        <f t="array" ref="E484">XLOOKUP(C484,'TSR Initiation'!C:C,'TSR Initiation'!E:E)</f>
        <v/>
      </c>
      <c r="F484" s="88" t="str">
        <f t="array" ref="F484">XLOOKUP(C484,'Master Data'!C:C,'Master Data'!E:E)</f>
        <v/>
      </c>
      <c r="G484" s="89" t="str">
        <f t="array" ref="G484">XLOOKUP(C484,'Master Data'!C:C,'Master Data'!F:F)</f>
        <v/>
      </c>
      <c r="H484" s="89" t="str">
        <f t="array" ref="H484">XLOOKUP(C484,'Master Data'!C:C,'Master Data'!G:G)</f>
        <v/>
      </c>
      <c r="I484" s="90" t="str">
        <f t="array" ref="I484">XLOOKUP(C484,'Master Data'!C:C,'Master Data'!H:H)</f>
        <v/>
      </c>
      <c r="J484" s="91" t="s">
        <v>12</v>
      </c>
      <c r="K484" s="92"/>
      <c r="L484" s="92"/>
      <c r="M484" s="23"/>
      <c r="N484" s="23"/>
      <c r="O484" s="23"/>
    </row>
    <row r="485">
      <c r="A485" s="93" t="str">
        <f t="array" ref="A485">XLOOKUP(C485,'TSR Initiation'!C:C,'TSR Initiation'!A:A)</f>
        <v/>
      </c>
      <c r="B485" s="95"/>
      <c r="C485" s="71" t="s">
        <v>12</v>
      </c>
      <c r="D485" s="88" t="str">
        <f t="array" ref="D485">XLOOKUP(C485,'Master Data'!C:C,'Master Data'!D:D)</f>
        <v/>
      </c>
      <c r="E485" s="71" t="str">
        <f t="array" ref="E485">XLOOKUP(C485,'TSR Initiation'!C:C,'TSR Initiation'!E:E)</f>
        <v/>
      </c>
      <c r="F485" s="88" t="str">
        <f t="array" ref="F485">XLOOKUP(C485,'Master Data'!C:C,'Master Data'!E:E)</f>
        <v/>
      </c>
      <c r="G485" s="89" t="str">
        <f t="array" ref="G485">XLOOKUP(C485,'Master Data'!C:C,'Master Data'!F:F)</f>
        <v/>
      </c>
      <c r="H485" s="89" t="str">
        <f t="array" ref="H485">XLOOKUP(C485,'Master Data'!C:C,'Master Data'!G:G)</f>
        <v/>
      </c>
      <c r="I485" s="90" t="str">
        <f t="array" ref="I485">XLOOKUP(C485,'Master Data'!C:C,'Master Data'!H:H)</f>
        <v/>
      </c>
      <c r="J485" s="91" t="s">
        <v>12</v>
      </c>
      <c r="K485" s="92"/>
      <c r="L485" s="92"/>
      <c r="M485" s="23"/>
      <c r="N485" s="23"/>
      <c r="O485" s="23"/>
    </row>
    <row r="486">
      <c r="A486" s="93" t="str">
        <f t="array" ref="A486">XLOOKUP(C486,'TSR Initiation'!C:C,'TSR Initiation'!A:A)</f>
        <v/>
      </c>
      <c r="B486" s="95"/>
      <c r="C486" s="71" t="s">
        <v>12</v>
      </c>
      <c r="D486" s="88" t="str">
        <f t="array" ref="D486">XLOOKUP(C486,'Master Data'!C:C,'Master Data'!D:D)</f>
        <v/>
      </c>
      <c r="E486" s="71" t="str">
        <f t="array" ref="E486">XLOOKUP(C486,'TSR Initiation'!C:C,'TSR Initiation'!E:E)</f>
        <v/>
      </c>
      <c r="F486" s="88" t="str">
        <f t="array" ref="F486">XLOOKUP(C486,'Master Data'!C:C,'Master Data'!E:E)</f>
        <v/>
      </c>
      <c r="G486" s="89" t="str">
        <f t="array" ref="G486">XLOOKUP(C486,'Master Data'!C:C,'Master Data'!F:F)</f>
        <v/>
      </c>
      <c r="H486" s="89" t="str">
        <f t="array" ref="H486">XLOOKUP(C486,'Master Data'!C:C,'Master Data'!G:G)</f>
        <v/>
      </c>
      <c r="I486" s="90" t="str">
        <f t="array" ref="I486">XLOOKUP(C486,'Master Data'!C:C,'Master Data'!H:H)</f>
        <v/>
      </c>
      <c r="J486" s="91" t="s">
        <v>12</v>
      </c>
      <c r="K486" s="92"/>
      <c r="L486" s="92"/>
      <c r="M486" s="23"/>
      <c r="N486" s="23"/>
      <c r="O486" s="23"/>
    </row>
    <row r="487">
      <c r="A487" s="93" t="str">
        <f t="array" ref="A487">XLOOKUP(C487,'TSR Initiation'!C:C,'TSR Initiation'!A:A)</f>
        <v/>
      </c>
      <c r="B487" s="95"/>
      <c r="C487" s="71" t="s">
        <v>12</v>
      </c>
      <c r="D487" s="88" t="str">
        <f t="array" ref="D487">XLOOKUP(C487,'Master Data'!C:C,'Master Data'!D:D)</f>
        <v/>
      </c>
      <c r="E487" s="71" t="str">
        <f t="array" ref="E487">XLOOKUP(C487,'TSR Initiation'!C:C,'TSR Initiation'!E:E)</f>
        <v/>
      </c>
      <c r="F487" s="88" t="str">
        <f t="array" ref="F487">XLOOKUP(C487,'Master Data'!C:C,'Master Data'!E:E)</f>
        <v/>
      </c>
      <c r="G487" s="89" t="str">
        <f t="array" ref="G487">XLOOKUP(C487,'Master Data'!C:C,'Master Data'!F:F)</f>
        <v/>
      </c>
      <c r="H487" s="89" t="str">
        <f t="array" ref="H487">XLOOKUP(C487,'Master Data'!C:C,'Master Data'!G:G)</f>
        <v/>
      </c>
      <c r="I487" s="90" t="str">
        <f t="array" ref="I487">XLOOKUP(C487,'Master Data'!C:C,'Master Data'!H:H)</f>
        <v/>
      </c>
      <c r="J487" s="91" t="s">
        <v>12</v>
      </c>
      <c r="K487" s="92"/>
      <c r="L487" s="92"/>
      <c r="M487" s="23"/>
      <c r="N487" s="23"/>
      <c r="O487" s="23"/>
    </row>
    <row r="488">
      <c r="A488" s="93" t="str">
        <f t="array" ref="A488">XLOOKUP(C488,'TSR Initiation'!C:C,'TSR Initiation'!A:A)</f>
        <v/>
      </c>
      <c r="B488" s="95"/>
      <c r="C488" s="71" t="s">
        <v>12</v>
      </c>
      <c r="D488" s="88" t="str">
        <f t="array" ref="D488">XLOOKUP(C488,'Master Data'!C:C,'Master Data'!D:D)</f>
        <v/>
      </c>
      <c r="E488" s="71" t="str">
        <f t="array" ref="E488">XLOOKUP(C488,'TSR Initiation'!C:C,'TSR Initiation'!E:E)</f>
        <v/>
      </c>
      <c r="F488" s="88" t="str">
        <f t="array" ref="F488">XLOOKUP(C488,'Master Data'!C:C,'Master Data'!E:E)</f>
        <v/>
      </c>
      <c r="G488" s="89" t="str">
        <f t="array" ref="G488">XLOOKUP(C488,'Master Data'!C:C,'Master Data'!F:F)</f>
        <v/>
      </c>
      <c r="H488" s="89" t="str">
        <f t="array" ref="H488">XLOOKUP(C488,'Master Data'!C:C,'Master Data'!G:G)</f>
        <v/>
      </c>
      <c r="I488" s="90" t="str">
        <f t="array" ref="I488">XLOOKUP(C488,'Master Data'!C:C,'Master Data'!H:H)</f>
        <v/>
      </c>
      <c r="J488" s="91" t="s">
        <v>12</v>
      </c>
      <c r="K488" s="92"/>
      <c r="L488" s="92"/>
      <c r="M488" s="23"/>
      <c r="N488" s="23"/>
      <c r="O488" s="23"/>
    </row>
    <row r="489">
      <c r="A489" s="93" t="str">
        <f t="array" ref="A489">XLOOKUP(C489,'TSR Initiation'!C:C,'TSR Initiation'!A:A)</f>
        <v/>
      </c>
      <c r="B489" s="95"/>
      <c r="C489" s="71" t="s">
        <v>12</v>
      </c>
      <c r="D489" s="88" t="str">
        <f t="array" ref="D489">XLOOKUP(C489,'Master Data'!C:C,'Master Data'!D:D)</f>
        <v/>
      </c>
      <c r="E489" s="71" t="str">
        <f t="array" ref="E489">XLOOKUP(C489,'TSR Initiation'!C:C,'TSR Initiation'!E:E)</f>
        <v/>
      </c>
      <c r="F489" s="88" t="str">
        <f t="array" ref="F489">XLOOKUP(C489,'Master Data'!C:C,'Master Data'!E:E)</f>
        <v/>
      </c>
      <c r="G489" s="89" t="str">
        <f t="array" ref="G489">XLOOKUP(C489,'Master Data'!C:C,'Master Data'!F:F)</f>
        <v/>
      </c>
      <c r="H489" s="89" t="str">
        <f t="array" ref="H489">XLOOKUP(C489,'Master Data'!C:C,'Master Data'!G:G)</f>
        <v/>
      </c>
      <c r="I489" s="90" t="str">
        <f t="array" ref="I489">XLOOKUP(C489,'Master Data'!C:C,'Master Data'!H:H)</f>
        <v/>
      </c>
      <c r="J489" s="91" t="s">
        <v>12</v>
      </c>
      <c r="K489" s="92"/>
      <c r="L489" s="92"/>
      <c r="M489" s="23"/>
      <c r="N489" s="23"/>
      <c r="O489" s="23"/>
    </row>
    <row r="490">
      <c r="A490" s="93" t="str">
        <f t="array" ref="A490">XLOOKUP(C490,'TSR Initiation'!C:C,'TSR Initiation'!A:A)</f>
        <v/>
      </c>
      <c r="B490" s="95"/>
      <c r="C490" s="71" t="s">
        <v>12</v>
      </c>
      <c r="D490" s="88" t="str">
        <f t="array" ref="D490">XLOOKUP(C490,'Master Data'!C:C,'Master Data'!D:D)</f>
        <v/>
      </c>
      <c r="E490" s="71" t="str">
        <f t="array" ref="E490">XLOOKUP(C490,'TSR Initiation'!C:C,'TSR Initiation'!E:E)</f>
        <v/>
      </c>
      <c r="F490" s="88" t="str">
        <f t="array" ref="F490">XLOOKUP(C490,'Master Data'!C:C,'Master Data'!E:E)</f>
        <v/>
      </c>
      <c r="G490" s="89" t="str">
        <f t="array" ref="G490">XLOOKUP(C490,'Master Data'!C:C,'Master Data'!F:F)</f>
        <v/>
      </c>
      <c r="H490" s="89" t="str">
        <f t="array" ref="H490">XLOOKUP(C490,'Master Data'!C:C,'Master Data'!G:G)</f>
        <v/>
      </c>
      <c r="I490" s="90" t="str">
        <f t="array" ref="I490">XLOOKUP(C490,'Master Data'!C:C,'Master Data'!H:H)</f>
        <v/>
      </c>
      <c r="J490" s="91" t="s">
        <v>12</v>
      </c>
      <c r="K490" s="92"/>
      <c r="L490" s="92"/>
      <c r="M490" s="23"/>
      <c r="N490" s="23"/>
      <c r="O490" s="23"/>
    </row>
    <row r="491">
      <c r="A491" s="93" t="str">
        <f t="array" ref="A491">XLOOKUP(C491,'TSR Initiation'!C:C,'TSR Initiation'!A:A)</f>
        <v/>
      </c>
      <c r="B491" s="95"/>
      <c r="C491" s="71" t="s">
        <v>12</v>
      </c>
      <c r="D491" s="88" t="str">
        <f t="array" ref="D491">XLOOKUP(C491,'Master Data'!C:C,'Master Data'!D:D)</f>
        <v/>
      </c>
      <c r="E491" s="71" t="str">
        <f t="array" ref="E491">XLOOKUP(C491,'TSR Initiation'!C:C,'TSR Initiation'!E:E)</f>
        <v/>
      </c>
      <c r="F491" s="88" t="str">
        <f t="array" ref="F491">XLOOKUP(C491,'Master Data'!C:C,'Master Data'!E:E)</f>
        <v/>
      </c>
      <c r="G491" s="89" t="str">
        <f t="array" ref="G491">XLOOKUP(C491,'Master Data'!C:C,'Master Data'!F:F)</f>
        <v/>
      </c>
      <c r="H491" s="89" t="str">
        <f t="array" ref="H491">XLOOKUP(C491,'Master Data'!C:C,'Master Data'!G:G)</f>
        <v/>
      </c>
      <c r="I491" s="90" t="str">
        <f t="array" ref="I491">XLOOKUP(C491,'Master Data'!C:C,'Master Data'!H:H)</f>
        <v/>
      </c>
      <c r="J491" s="91" t="s">
        <v>12</v>
      </c>
      <c r="K491" s="92"/>
      <c r="L491" s="92"/>
      <c r="M491" s="23"/>
      <c r="N491" s="23"/>
      <c r="O491" s="23"/>
    </row>
    <row r="492">
      <c r="A492" s="93" t="str">
        <f t="array" ref="A492">XLOOKUP(C492,'TSR Initiation'!C:C,'TSR Initiation'!A:A)</f>
        <v/>
      </c>
      <c r="B492" s="95"/>
      <c r="C492" s="71" t="s">
        <v>12</v>
      </c>
      <c r="D492" s="88" t="str">
        <f t="array" ref="D492">XLOOKUP(C492,'Master Data'!C:C,'Master Data'!D:D)</f>
        <v/>
      </c>
      <c r="E492" s="71" t="str">
        <f t="array" ref="E492">XLOOKUP(C492,'TSR Initiation'!C:C,'TSR Initiation'!E:E)</f>
        <v/>
      </c>
      <c r="F492" s="88" t="str">
        <f t="array" ref="F492">XLOOKUP(C492,'Master Data'!C:C,'Master Data'!E:E)</f>
        <v/>
      </c>
      <c r="G492" s="89" t="str">
        <f t="array" ref="G492">XLOOKUP(C492,'Master Data'!C:C,'Master Data'!F:F)</f>
        <v/>
      </c>
      <c r="H492" s="89" t="str">
        <f t="array" ref="H492">XLOOKUP(C492,'Master Data'!C:C,'Master Data'!G:G)</f>
        <v/>
      </c>
      <c r="I492" s="90" t="str">
        <f t="array" ref="I492">XLOOKUP(C492,'Master Data'!C:C,'Master Data'!H:H)</f>
        <v/>
      </c>
      <c r="J492" s="91" t="s">
        <v>12</v>
      </c>
      <c r="K492" s="92"/>
      <c r="L492" s="92"/>
      <c r="M492" s="23"/>
      <c r="N492" s="23"/>
      <c r="O492" s="23"/>
    </row>
    <row r="493">
      <c r="A493" s="93" t="str">
        <f t="array" ref="A493">XLOOKUP(C493,'TSR Initiation'!C:C,'TSR Initiation'!A:A)</f>
        <v/>
      </c>
      <c r="B493" s="95"/>
      <c r="C493" s="71" t="s">
        <v>12</v>
      </c>
      <c r="D493" s="88" t="str">
        <f t="array" ref="D493">XLOOKUP(C493,'Master Data'!C:C,'Master Data'!D:D)</f>
        <v/>
      </c>
      <c r="E493" s="71" t="str">
        <f t="array" ref="E493">XLOOKUP(C493,'TSR Initiation'!C:C,'TSR Initiation'!E:E)</f>
        <v/>
      </c>
      <c r="F493" s="88" t="str">
        <f t="array" ref="F493">XLOOKUP(C493,'Master Data'!C:C,'Master Data'!E:E)</f>
        <v/>
      </c>
      <c r="G493" s="89" t="str">
        <f t="array" ref="G493">XLOOKUP(C493,'Master Data'!C:C,'Master Data'!F:F)</f>
        <v/>
      </c>
      <c r="H493" s="89" t="str">
        <f t="array" ref="H493">XLOOKUP(C493,'Master Data'!C:C,'Master Data'!G:G)</f>
        <v/>
      </c>
      <c r="I493" s="90" t="str">
        <f t="array" ref="I493">XLOOKUP(C493,'Master Data'!C:C,'Master Data'!H:H)</f>
        <v/>
      </c>
      <c r="J493" s="91" t="s">
        <v>12</v>
      </c>
      <c r="K493" s="92"/>
      <c r="L493" s="92"/>
      <c r="M493" s="23"/>
      <c r="N493" s="23"/>
      <c r="O493" s="23"/>
    </row>
    <row r="494">
      <c r="A494" s="93" t="str">
        <f t="array" ref="A494">XLOOKUP(C494,'TSR Initiation'!C:C,'TSR Initiation'!A:A)</f>
        <v/>
      </c>
      <c r="B494" s="95"/>
      <c r="C494" s="71" t="s">
        <v>12</v>
      </c>
      <c r="D494" s="88" t="str">
        <f t="array" ref="D494">XLOOKUP(C494,'Master Data'!C:C,'Master Data'!D:D)</f>
        <v/>
      </c>
      <c r="E494" s="71" t="str">
        <f t="array" ref="E494">XLOOKUP(C494,'TSR Initiation'!C:C,'TSR Initiation'!E:E)</f>
        <v/>
      </c>
      <c r="F494" s="88" t="str">
        <f t="array" ref="F494">XLOOKUP(C494,'Master Data'!C:C,'Master Data'!E:E)</f>
        <v/>
      </c>
      <c r="G494" s="89" t="str">
        <f t="array" ref="G494">XLOOKUP(C494,'Master Data'!C:C,'Master Data'!F:F)</f>
        <v/>
      </c>
      <c r="H494" s="89" t="str">
        <f t="array" ref="H494">XLOOKUP(C494,'Master Data'!C:C,'Master Data'!G:G)</f>
        <v/>
      </c>
      <c r="I494" s="90" t="str">
        <f t="array" ref="I494">XLOOKUP(C494,'Master Data'!C:C,'Master Data'!H:H)</f>
        <v/>
      </c>
      <c r="J494" s="91" t="s">
        <v>12</v>
      </c>
      <c r="K494" s="92"/>
      <c r="L494" s="92"/>
      <c r="M494" s="23"/>
      <c r="N494" s="23"/>
      <c r="O494" s="23"/>
    </row>
    <row r="495">
      <c r="A495" s="93" t="str">
        <f t="array" ref="A495">XLOOKUP(C495,'TSR Initiation'!C:C,'TSR Initiation'!A:A)</f>
        <v/>
      </c>
      <c r="B495" s="95"/>
      <c r="C495" s="71" t="s">
        <v>12</v>
      </c>
      <c r="D495" s="88" t="str">
        <f t="array" ref="D495">XLOOKUP(C495,'Master Data'!C:C,'Master Data'!D:D)</f>
        <v/>
      </c>
      <c r="E495" s="71" t="str">
        <f t="array" ref="E495">XLOOKUP(C495,'TSR Initiation'!C:C,'TSR Initiation'!E:E)</f>
        <v/>
      </c>
      <c r="F495" s="88" t="str">
        <f t="array" ref="F495">XLOOKUP(C495,'Master Data'!C:C,'Master Data'!E:E)</f>
        <v/>
      </c>
      <c r="G495" s="89" t="str">
        <f t="array" ref="G495">XLOOKUP(C495,'Master Data'!C:C,'Master Data'!F:F)</f>
        <v/>
      </c>
      <c r="H495" s="89" t="str">
        <f t="array" ref="H495">XLOOKUP(C495,'Master Data'!C:C,'Master Data'!G:G)</f>
        <v/>
      </c>
      <c r="I495" s="90" t="str">
        <f t="array" ref="I495">XLOOKUP(C495,'Master Data'!C:C,'Master Data'!H:H)</f>
        <v/>
      </c>
      <c r="J495" s="91" t="s">
        <v>12</v>
      </c>
      <c r="K495" s="92"/>
      <c r="L495" s="92"/>
      <c r="M495" s="23"/>
      <c r="N495" s="23"/>
      <c r="O495" s="23"/>
    </row>
    <row r="496">
      <c r="A496" s="93" t="str">
        <f t="array" ref="A496">XLOOKUP(C496,'TSR Initiation'!C:C,'TSR Initiation'!A:A)</f>
        <v/>
      </c>
      <c r="B496" s="95"/>
      <c r="C496" s="71" t="s">
        <v>12</v>
      </c>
      <c r="D496" s="88" t="str">
        <f t="array" ref="D496">XLOOKUP(C496,'Master Data'!C:C,'Master Data'!D:D)</f>
        <v/>
      </c>
      <c r="E496" s="71" t="str">
        <f t="array" ref="E496">XLOOKUP(C496,'TSR Initiation'!C:C,'TSR Initiation'!E:E)</f>
        <v/>
      </c>
      <c r="F496" s="88" t="str">
        <f t="array" ref="F496">XLOOKUP(C496,'Master Data'!C:C,'Master Data'!E:E)</f>
        <v/>
      </c>
      <c r="G496" s="89" t="str">
        <f t="array" ref="G496">XLOOKUP(C496,'Master Data'!C:C,'Master Data'!F:F)</f>
        <v/>
      </c>
      <c r="H496" s="89" t="str">
        <f t="array" ref="H496">XLOOKUP(C496,'Master Data'!C:C,'Master Data'!G:G)</f>
        <v/>
      </c>
      <c r="I496" s="90" t="str">
        <f t="array" ref="I496">XLOOKUP(C496,'Master Data'!C:C,'Master Data'!H:H)</f>
        <v/>
      </c>
      <c r="J496" s="91" t="s">
        <v>12</v>
      </c>
      <c r="K496" s="92"/>
      <c r="L496" s="92"/>
      <c r="M496" s="23"/>
      <c r="N496" s="23"/>
      <c r="O496" s="23"/>
    </row>
    <row r="497">
      <c r="A497" s="93" t="str">
        <f t="array" ref="A497">XLOOKUP(C497,'TSR Initiation'!C:C,'TSR Initiation'!A:A)</f>
        <v/>
      </c>
      <c r="B497" s="95"/>
      <c r="C497" s="71" t="s">
        <v>12</v>
      </c>
      <c r="D497" s="88" t="str">
        <f t="array" ref="D497">XLOOKUP(C497,'Master Data'!C:C,'Master Data'!D:D)</f>
        <v/>
      </c>
      <c r="E497" s="71" t="str">
        <f t="array" ref="E497">XLOOKUP(C497,'TSR Initiation'!C:C,'TSR Initiation'!E:E)</f>
        <v/>
      </c>
      <c r="F497" s="88" t="str">
        <f t="array" ref="F497">XLOOKUP(C497,'Master Data'!C:C,'Master Data'!E:E)</f>
        <v/>
      </c>
      <c r="G497" s="89" t="str">
        <f t="array" ref="G497">XLOOKUP(C497,'Master Data'!C:C,'Master Data'!F:F)</f>
        <v/>
      </c>
      <c r="H497" s="89" t="str">
        <f t="array" ref="H497">XLOOKUP(C497,'Master Data'!C:C,'Master Data'!G:G)</f>
        <v/>
      </c>
      <c r="I497" s="90" t="str">
        <f t="array" ref="I497">XLOOKUP(C497,'Master Data'!C:C,'Master Data'!H:H)</f>
        <v/>
      </c>
      <c r="J497" s="91" t="s">
        <v>12</v>
      </c>
      <c r="K497" s="92"/>
      <c r="L497" s="92"/>
      <c r="M497" s="23"/>
      <c r="N497" s="23"/>
      <c r="O497" s="23"/>
    </row>
    <row r="498">
      <c r="A498" s="93" t="str">
        <f t="array" ref="A498">XLOOKUP(C498,'TSR Initiation'!C:C,'TSR Initiation'!A:A)</f>
        <v/>
      </c>
      <c r="B498" s="95"/>
      <c r="C498" s="71" t="s">
        <v>12</v>
      </c>
      <c r="D498" s="88" t="str">
        <f t="array" ref="D498">XLOOKUP(C498,'Master Data'!C:C,'Master Data'!D:D)</f>
        <v/>
      </c>
      <c r="E498" s="71" t="str">
        <f t="array" ref="E498">XLOOKUP(C498,'TSR Initiation'!C:C,'TSR Initiation'!E:E)</f>
        <v/>
      </c>
      <c r="F498" s="88" t="str">
        <f t="array" ref="F498">XLOOKUP(C498,'Master Data'!C:C,'Master Data'!E:E)</f>
        <v/>
      </c>
      <c r="G498" s="89" t="str">
        <f t="array" ref="G498">XLOOKUP(C498,'Master Data'!C:C,'Master Data'!F:F)</f>
        <v/>
      </c>
      <c r="H498" s="89" t="str">
        <f t="array" ref="H498">XLOOKUP(C498,'Master Data'!C:C,'Master Data'!G:G)</f>
        <v/>
      </c>
      <c r="I498" s="90" t="str">
        <f t="array" ref="I498">XLOOKUP(C498,'Master Data'!C:C,'Master Data'!H:H)</f>
        <v/>
      </c>
      <c r="J498" s="91" t="s">
        <v>12</v>
      </c>
      <c r="K498" s="92"/>
      <c r="L498" s="92"/>
      <c r="M498" s="23"/>
      <c r="N498" s="23"/>
      <c r="O498" s="23"/>
    </row>
    <row r="499">
      <c r="A499" s="93" t="str">
        <f t="array" ref="A499">XLOOKUP(C499,'TSR Initiation'!C:C,'TSR Initiation'!A:A)</f>
        <v/>
      </c>
      <c r="B499" s="95"/>
      <c r="C499" s="71" t="s">
        <v>12</v>
      </c>
      <c r="D499" s="88" t="str">
        <f t="array" ref="D499">XLOOKUP(C499,'Master Data'!C:C,'Master Data'!D:D)</f>
        <v/>
      </c>
      <c r="E499" s="71" t="str">
        <f t="array" ref="E499">XLOOKUP(C499,'TSR Initiation'!C:C,'TSR Initiation'!E:E)</f>
        <v/>
      </c>
      <c r="F499" s="88" t="str">
        <f t="array" ref="F499">XLOOKUP(C499,'Master Data'!C:C,'Master Data'!E:E)</f>
        <v/>
      </c>
      <c r="G499" s="89" t="str">
        <f t="array" ref="G499">XLOOKUP(C499,'Master Data'!C:C,'Master Data'!F:F)</f>
        <v/>
      </c>
      <c r="H499" s="89" t="str">
        <f t="array" ref="H499">XLOOKUP(C499,'Master Data'!C:C,'Master Data'!G:G)</f>
        <v/>
      </c>
      <c r="I499" s="90" t="str">
        <f t="array" ref="I499">XLOOKUP(C499,'Master Data'!C:C,'Master Data'!H:H)</f>
        <v/>
      </c>
      <c r="J499" s="91" t="s">
        <v>12</v>
      </c>
      <c r="K499" s="92"/>
      <c r="L499" s="92"/>
      <c r="M499" s="23"/>
      <c r="N499" s="23"/>
      <c r="O499" s="23"/>
    </row>
    <row r="500">
      <c r="A500" s="93" t="str">
        <f t="array" ref="A500">XLOOKUP(C500,'TSR Initiation'!C:C,'TSR Initiation'!A:A)</f>
        <v/>
      </c>
      <c r="B500" s="95"/>
      <c r="C500" s="71" t="s">
        <v>12</v>
      </c>
      <c r="D500" s="88" t="str">
        <f t="array" ref="D500">XLOOKUP(C500,'Master Data'!C:C,'Master Data'!D:D)</f>
        <v/>
      </c>
      <c r="E500" s="71" t="str">
        <f t="array" ref="E500">XLOOKUP(C500,'TSR Initiation'!C:C,'TSR Initiation'!E:E)</f>
        <v/>
      </c>
      <c r="F500" s="88" t="str">
        <f t="array" ref="F500">XLOOKUP(C500,'Master Data'!C:C,'Master Data'!E:E)</f>
        <v/>
      </c>
      <c r="G500" s="89" t="str">
        <f t="array" ref="G500">XLOOKUP(C500,'Master Data'!C:C,'Master Data'!F:F)</f>
        <v/>
      </c>
      <c r="H500" s="89" t="str">
        <f t="array" ref="H500">XLOOKUP(C500,'Master Data'!C:C,'Master Data'!G:G)</f>
        <v/>
      </c>
      <c r="I500" s="90" t="str">
        <f t="array" ref="I500">XLOOKUP(C500,'Master Data'!C:C,'Master Data'!H:H)</f>
        <v/>
      </c>
      <c r="J500" s="91" t="s">
        <v>12</v>
      </c>
      <c r="K500" s="92"/>
      <c r="L500" s="92"/>
      <c r="M500" s="23"/>
      <c r="N500" s="23"/>
      <c r="O500" s="23"/>
    </row>
    <row r="501">
      <c r="A501" s="93" t="str">
        <f t="array" ref="A501">XLOOKUP(C501,'TSR Initiation'!C:C,'TSR Initiation'!A:A)</f>
        <v/>
      </c>
      <c r="B501" s="95"/>
      <c r="C501" s="71" t="s">
        <v>12</v>
      </c>
      <c r="D501" s="88" t="str">
        <f t="array" ref="D501">XLOOKUP(C501,'Master Data'!C:C,'Master Data'!D:D)</f>
        <v/>
      </c>
      <c r="E501" s="71" t="str">
        <f t="array" ref="E501">XLOOKUP(C501,'TSR Initiation'!C:C,'TSR Initiation'!E:E)</f>
        <v/>
      </c>
      <c r="F501" s="88" t="str">
        <f t="array" ref="F501">XLOOKUP(C501,'Master Data'!C:C,'Master Data'!E:E)</f>
        <v/>
      </c>
      <c r="G501" s="89" t="str">
        <f t="array" ref="G501">XLOOKUP(C501,'Master Data'!C:C,'Master Data'!F:F)</f>
        <v/>
      </c>
      <c r="H501" s="89" t="str">
        <f t="array" ref="H501">XLOOKUP(C501,'Master Data'!C:C,'Master Data'!G:G)</f>
        <v/>
      </c>
      <c r="I501" s="90" t="str">
        <f t="array" ref="I501">XLOOKUP(C501,'Master Data'!C:C,'Master Data'!H:H)</f>
        <v/>
      </c>
      <c r="J501" s="91" t="s">
        <v>12</v>
      </c>
      <c r="K501" s="92"/>
      <c r="L501" s="92"/>
      <c r="M501" s="23"/>
      <c r="N501" s="23"/>
      <c r="O501" s="23"/>
    </row>
    <row r="502">
      <c r="A502" s="96" t="s">
        <v>12</v>
      </c>
      <c r="B502" s="97" t="s">
        <v>12</v>
      </c>
      <c r="C502" s="97" t="s">
        <v>12</v>
      </c>
      <c r="D502" s="98" t="s">
        <v>12</v>
      </c>
      <c r="E502" s="71" t="str">
        <f t="array" ref="E502">XLOOKUP(C502,'TSR Initiation'!C:C,'TSR Initiation'!E:E)</f>
        <v/>
      </c>
      <c r="F502" s="98" t="s">
        <v>12</v>
      </c>
      <c r="G502" s="98" t="s">
        <v>12</v>
      </c>
      <c r="H502" s="98" t="s">
        <v>12</v>
      </c>
      <c r="I502" s="98" t="s">
        <v>12</v>
      </c>
      <c r="J502" s="99" t="s">
        <v>12</v>
      </c>
      <c r="K502" s="99" t="s">
        <v>12</v>
      </c>
      <c r="L502" s="99" t="s">
        <v>12</v>
      </c>
      <c r="M502" s="99" t="s">
        <v>12</v>
      </c>
      <c r="N502" s="99" t="s">
        <v>12</v>
      </c>
      <c r="O502" s="97"/>
    </row>
    <row r="503">
      <c r="O503" s="100"/>
    </row>
    <row r="504">
      <c r="O504" s="100"/>
    </row>
    <row r="505">
      <c r="O505" s="100"/>
    </row>
    <row r="506">
      <c r="O506" s="100"/>
    </row>
    <row r="507">
      <c r="O507" s="100"/>
    </row>
    <row r="508">
      <c r="O508" s="100"/>
    </row>
    <row r="509">
      <c r="O509" s="100"/>
    </row>
    <row r="510">
      <c r="O510" s="100"/>
    </row>
    <row r="511">
      <c r="O511" s="100"/>
    </row>
    <row r="512">
      <c r="O512" s="100"/>
    </row>
    <row r="513">
      <c r="O513" s="100"/>
    </row>
    <row r="514">
      <c r="O514" s="100"/>
    </row>
    <row r="515">
      <c r="O515" s="100"/>
    </row>
    <row r="516">
      <c r="O516" s="100"/>
    </row>
    <row r="517">
      <c r="O517" s="100"/>
    </row>
    <row r="518">
      <c r="O518" s="100"/>
    </row>
    <row r="519">
      <c r="O519" s="100"/>
    </row>
    <row r="520">
      <c r="O520" s="100"/>
    </row>
    <row r="521">
      <c r="O521" s="100"/>
    </row>
    <row r="522">
      <c r="O522" s="100"/>
    </row>
    <row r="523">
      <c r="O523" s="100"/>
    </row>
    <row r="524">
      <c r="O524" s="100"/>
    </row>
    <row r="525">
      <c r="O525" s="100"/>
    </row>
    <row r="526">
      <c r="O526" s="100"/>
    </row>
    <row r="527">
      <c r="O527" s="100"/>
    </row>
    <row r="528">
      <c r="O528" s="100"/>
    </row>
    <row r="529">
      <c r="O529" s="100"/>
    </row>
    <row r="530">
      <c r="O530" s="100"/>
    </row>
    <row r="531">
      <c r="O531" s="100"/>
    </row>
    <row r="532">
      <c r="O532" s="100"/>
    </row>
    <row r="533">
      <c r="O533" s="100"/>
    </row>
    <row r="534">
      <c r="O534" s="100"/>
    </row>
    <row r="535">
      <c r="O535" s="100"/>
    </row>
    <row r="536">
      <c r="O536" s="100"/>
    </row>
    <row r="537">
      <c r="O537" s="100"/>
    </row>
    <row r="538">
      <c r="O538" s="100"/>
    </row>
    <row r="539">
      <c r="O539" s="100"/>
    </row>
    <row r="540">
      <c r="O540" s="100"/>
    </row>
    <row r="541">
      <c r="O541" s="100"/>
    </row>
    <row r="542">
      <c r="O542" s="100"/>
    </row>
    <row r="543">
      <c r="O543" s="100"/>
    </row>
    <row r="544">
      <c r="O544" s="100"/>
    </row>
    <row r="545">
      <c r="O545" s="100"/>
    </row>
    <row r="546">
      <c r="O546" s="100"/>
    </row>
    <row r="547">
      <c r="O547" s="100"/>
    </row>
    <row r="548">
      <c r="O548" s="100"/>
    </row>
    <row r="549">
      <c r="O549" s="100"/>
    </row>
    <row r="550">
      <c r="O550" s="100"/>
    </row>
    <row r="551">
      <c r="O551" s="100"/>
    </row>
    <row r="552">
      <c r="O552" s="100"/>
    </row>
    <row r="553">
      <c r="O553" s="100"/>
    </row>
    <row r="554">
      <c r="O554" s="100"/>
    </row>
    <row r="555">
      <c r="O555" s="100"/>
    </row>
    <row r="556">
      <c r="O556" s="100"/>
    </row>
    <row r="557">
      <c r="O557" s="100"/>
    </row>
    <row r="558">
      <c r="O558" s="100"/>
    </row>
    <row r="559">
      <c r="O559" s="100"/>
    </row>
    <row r="560">
      <c r="O560" s="100"/>
    </row>
    <row r="561">
      <c r="O561" s="100"/>
    </row>
    <row r="562">
      <c r="O562" s="100"/>
    </row>
    <row r="563">
      <c r="O563" s="100"/>
    </row>
    <row r="564">
      <c r="O564" s="100"/>
    </row>
    <row r="565">
      <c r="O565" s="100"/>
    </row>
    <row r="566">
      <c r="O566" s="100"/>
    </row>
    <row r="567">
      <c r="O567" s="100"/>
    </row>
    <row r="568">
      <c r="O568" s="100"/>
    </row>
    <row r="569">
      <c r="O569" s="100"/>
    </row>
    <row r="570">
      <c r="O570" s="100"/>
    </row>
    <row r="571">
      <c r="O571" s="100"/>
    </row>
    <row r="572">
      <c r="O572" s="100"/>
    </row>
    <row r="573">
      <c r="O573" s="100"/>
    </row>
    <row r="574">
      <c r="O574" s="100"/>
    </row>
    <row r="575">
      <c r="O575" s="100"/>
    </row>
    <row r="576">
      <c r="O576" s="100"/>
    </row>
    <row r="577">
      <c r="O577" s="100"/>
    </row>
    <row r="578">
      <c r="O578" s="100"/>
    </row>
    <row r="579">
      <c r="O579" s="100"/>
    </row>
    <row r="580">
      <c r="O580" s="100"/>
    </row>
    <row r="581">
      <c r="O581" s="100"/>
    </row>
    <row r="582">
      <c r="O582" s="100"/>
    </row>
    <row r="583">
      <c r="O583" s="100"/>
    </row>
    <row r="584">
      <c r="O584" s="100"/>
    </row>
    <row r="585">
      <c r="O585" s="100"/>
    </row>
    <row r="586">
      <c r="O586" s="100"/>
    </row>
    <row r="587">
      <c r="O587" s="100"/>
    </row>
    <row r="588">
      <c r="O588" s="100"/>
    </row>
    <row r="589">
      <c r="O589" s="100"/>
    </row>
    <row r="590">
      <c r="O590" s="100"/>
    </row>
    <row r="591">
      <c r="O591" s="100"/>
    </row>
    <row r="592">
      <c r="O592" s="100"/>
    </row>
    <row r="593">
      <c r="O593" s="100"/>
    </row>
    <row r="594">
      <c r="O594" s="100"/>
    </row>
    <row r="595">
      <c r="O595" s="100"/>
    </row>
    <row r="596">
      <c r="O596" s="100"/>
    </row>
    <row r="597">
      <c r="O597" s="100"/>
    </row>
    <row r="598">
      <c r="O598" s="100"/>
    </row>
    <row r="599">
      <c r="O599" s="100"/>
    </row>
    <row r="600">
      <c r="O600" s="100"/>
    </row>
    <row r="601">
      <c r="O601" s="100"/>
    </row>
    <row r="602">
      <c r="O602" s="100"/>
    </row>
    <row r="603">
      <c r="O603" s="100"/>
    </row>
    <row r="604">
      <c r="O604" s="100"/>
    </row>
    <row r="605">
      <c r="O605" s="100"/>
    </row>
    <row r="606">
      <c r="O606" s="100"/>
    </row>
    <row r="607">
      <c r="O607" s="100"/>
    </row>
    <row r="608">
      <c r="O608" s="100"/>
    </row>
    <row r="609">
      <c r="O609" s="100"/>
    </row>
    <row r="610">
      <c r="O610" s="100"/>
    </row>
    <row r="611">
      <c r="O611" s="100"/>
    </row>
    <row r="612">
      <c r="O612" s="100"/>
    </row>
    <row r="613">
      <c r="O613" s="100"/>
    </row>
    <row r="614">
      <c r="O614" s="100"/>
    </row>
    <row r="615">
      <c r="O615" s="100"/>
    </row>
    <row r="616">
      <c r="O616" s="100"/>
    </row>
    <row r="617">
      <c r="O617" s="100"/>
    </row>
    <row r="618">
      <c r="O618" s="100"/>
    </row>
    <row r="619">
      <c r="O619" s="100"/>
    </row>
    <row r="620">
      <c r="O620" s="100"/>
    </row>
    <row r="621">
      <c r="O621" s="100"/>
    </row>
    <row r="622">
      <c r="O622" s="100"/>
    </row>
    <row r="623">
      <c r="O623" s="100"/>
    </row>
    <row r="624">
      <c r="O624" s="100"/>
    </row>
    <row r="625">
      <c r="O625" s="100"/>
    </row>
    <row r="626">
      <c r="O626" s="100"/>
    </row>
    <row r="627">
      <c r="O627" s="100"/>
    </row>
    <row r="628">
      <c r="O628" s="100"/>
    </row>
    <row r="629">
      <c r="O629" s="100"/>
    </row>
    <row r="630">
      <c r="O630" s="100"/>
    </row>
    <row r="631">
      <c r="O631" s="100"/>
    </row>
    <row r="632">
      <c r="O632" s="100"/>
    </row>
    <row r="633">
      <c r="O633" s="100"/>
    </row>
    <row r="634">
      <c r="O634" s="100"/>
    </row>
    <row r="635">
      <c r="O635" s="100"/>
    </row>
    <row r="636">
      <c r="O636" s="100"/>
    </row>
    <row r="637">
      <c r="O637" s="100"/>
    </row>
    <row r="638">
      <c r="O638" s="100"/>
    </row>
    <row r="639">
      <c r="O639" s="100"/>
    </row>
    <row r="640">
      <c r="O640" s="100"/>
    </row>
    <row r="641">
      <c r="O641" s="100"/>
    </row>
    <row r="642">
      <c r="O642" s="100"/>
    </row>
    <row r="643">
      <c r="O643" s="100"/>
    </row>
    <row r="644">
      <c r="O644" s="100"/>
    </row>
    <row r="645">
      <c r="O645" s="100"/>
    </row>
    <row r="646">
      <c r="O646" s="100"/>
    </row>
    <row r="647">
      <c r="O647" s="100"/>
    </row>
    <row r="648">
      <c r="O648" s="100"/>
    </row>
    <row r="649">
      <c r="O649" s="100"/>
    </row>
    <row r="650">
      <c r="O650" s="100"/>
    </row>
    <row r="651">
      <c r="O651" s="100"/>
    </row>
    <row r="652">
      <c r="O652" s="100"/>
    </row>
    <row r="653">
      <c r="O653" s="100"/>
    </row>
    <row r="654">
      <c r="O654" s="100"/>
    </row>
    <row r="655">
      <c r="O655" s="100"/>
    </row>
    <row r="656">
      <c r="O656" s="100"/>
    </row>
    <row r="657">
      <c r="O657" s="100"/>
    </row>
    <row r="658">
      <c r="O658" s="100"/>
    </row>
    <row r="659">
      <c r="O659" s="100"/>
    </row>
    <row r="660">
      <c r="O660" s="100"/>
    </row>
    <row r="661">
      <c r="O661" s="100"/>
    </row>
    <row r="662">
      <c r="O662" s="100"/>
    </row>
    <row r="663">
      <c r="O663" s="100"/>
    </row>
    <row r="664">
      <c r="O664" s="100"/>
    </row>
    <row r="665">
      <c r="O665" s="100"/>
    </row>
    <row r="666">
      <c r="O666" s="100"/>
    </row>
    <row r="667">
      <c r="O667" s="100"/>
    </row>
    <row r="668">
      <c r="O668" s="100"/>
    </row>
    <row r="669">
      <c r="O669" s="100"/>
    </row>
    <row r="670">
      <c r="O670" s="100"/>
    </row>
    <row r="671">
      <c r="O671" s="100"/>
    </row>
    <row r="672">
      <c r="O672" s="100"/>
    </row>
    <row r="673">
      <c r="O673" s="100"/>
    </row>
    <row r="674">
      <c r="O674" s="100"/>
    </row>
    <row r="675">
      <c r="O675" s="100"/>
    </row>
    <row r="676">
      <c r="O676" s="100"/>
    </row>
    <row r="677">
      <c r="O677" s="100"/>
    </row>
    <row r="678">
      <c r="O678" s="100"/>
    </row>
    <row r="679">
      <c r="O679" s="100"/>
    </row>
    <row r="680">
      <c r="O680" s="100"/>
    </row>
    <row r="681">
      <c r="O681" s="100"/>
    </row>
    <row r="682">
      <c r="O682" s="100"/>
    </row>
    <row r="683">
      <c r="O683" s="100"/>
    </row>
    <row r="684">
      <c r="O684" s="100"/>
    </row>
    <row r="685">
      <c r="O685" s="100"/>
    </row>
    <row r="686">
      <c r="O686" s="100"/>
    </row>
    <row r="687">
      <c r="O687" s="100"/>
    </row>
    <row r="688">
      <c r="O688" s="100"/>
    </row>
    <row r="689">
      <c r="O689" s="100"/>
    </row>
    <row r="690">
      <c r="O690" s="100"/>
    </row>
    <row r="691">
      <c r="O691" s="100"/>
    </row>
    <row r="692">
      <c r="O692" s="100"/>
    </row>
    <row r="693">
      <c r="O693" s="100"/>
    </row>
    <row r="694">
      <c r="O694" s="100"/>
    </row>
    <row r="695">
      <c r="O695" s="100"/>
    </row>
    <row r="696">
      <c r="O696" s="100"/>
    </row>
    <row r="697">
      <c r="O697" s="100"/>
    </row>
    <row r="698">
      <c r="O698" s="100"/>
    </row>
    <row r="699">
      <c r="O699" s="100"/>
    </row>
    <row r="700">
      <c r="O700" s="100"/>
    </row>
    <row r="701">
      <c r="O701" s="100"/>
    </row>
    <row r="702">
      <c r="O702" s="100"/>
    </row>
    <row r="703">
      <c r="O703" s="100"/>
    </row>
    <row r="704">
      <c r="O704" s="100"/>
    </row>
    <row r="705">
      <c r="O705" s="100"/>
    </row>
    <row r="706">
      <c r="O706" s="100"/>
    </row>
    <row r="707">
      <c r="O707" s="100"/>
    </row>
    <row r="708">
      <c r="O708" s="100"/>
    </row>
    <row r="709">
      <c r="O709" s="100"/>
    </row>
    <row r="710">
      <c r="O710" s="100"/>
    </row>
    <row r="711">
      <c r="O711" s="100"/>
    </row>
    <row r="712">
      <c r="O712" s="100"/>
    </row>
    <row r="713">
      <c r="O713" s="100"/>
    </row>
    <row r="714">
      <c r="O714" s="100"/>
    </row>
    <row r="715">
      <c r="O715" s="100"/>
    </row>
    <row r="716">
      <c r="O716" s="100"/>
    </row>
    <row r="717">
      <c r="O717" s="100"/>
    </row>
    <row r="718">
      <c r="O718" s="100"/>
    </row>
    <row r="719">
      <c r="O719" s="100"/>
    </row>
    <row r="720">
      <c r="O720" s="100"/>
    </row>
    <row r="721">
      <c r="O721" s="100"/>
    </row>
    <row r="722">
      <c r="O722" s="100"/>
    </row>
    <row r="723">
      <c r="O723" s="100"/>
    </row>
    <row r="724">
      <c r="O724" s="100"/>
    </row>
    <row r="725">
      <c r="O725" s="100"/>
    </row>
    <row r="726">
      <c r="O726" s="100"/>
    </row>
    <row r="727">
      <c r="O727" s="100"/>
    </row>
    <row r="728">
      <c r="O728" s="100"/>
    </row>
    <row r="729">
      <c r="O729" s="100"/>
    </row>
    <row r="730">
      <c r="O730" s="100"/>
    </row>
    <row r="731">
      <c r="O731" s="100"/>
    </row>
    <row r="732">
      <c r="O732" s="100"/>
    </row>
    <row r="733">
      <c r="O733" s="100"/>
    </row>
    <row r="734">
      <c r="O734" s="100"/>
    </row>
    <row r="735">
      <c r="O735" s="100"/>
    </row>
    <row r="736">
      <c r="O736" s="100"/>
    </row>
    <row r="737">
      <c r="O737" s="100"/>
    </row>
    <row r="738">
      <c r="O738" s="100"/>
    </row>
    <row r="739">
      <c r="O739" s="100"/>
    </row>
    <row r="740">
      <c r="O740" s="100"/>
    </row>
    <row r="741">
      <c r="O741" s="100"/>
    </row>
    <row r="742">
      <c r="O742" s="100"/>
    </row>
    <row r="743">
      <c r="O743" s="100"/>
    </row>
    <row r="744">
      <c r="O744" s="100"/>
    </row>
    <row r="745">
      <c r="O745" s="100"/>
    </row>
    <row r="746">
      <c r="O746" s="100"/>
    </row>
    <row r="747">
      <c r="O747" s="100"/>
    </row>
    <row r="748">
      <c r="O748" s="100"/>
    </row>
    <row r="749">
      <c r="O749" s="100"/>
    </row>
    <row r="750">
      <c r="O750" s="100"/>
    </row>
    <row r="751">
      <c r="O751" s="100"/>
    </row>
    <row r="752">
      <c r="O752" s="100"/>
    </row>
    <row r="753">
      <c r="O753" s="100"/>
    </row>
    <row r="754">
      <c r="O754" s="100"/>
    </row>
    <row r="755">
      <c r="O755" s="100"/>
    </row>
    <row r="756">
      <c r="O756" s="100"/>
    </row>
    <row r="757">
      <c r="O757" s="100"/>
    </row>
    <row r="758">
      <c r="O758" s="100"/>
    </row>
    <row r="759">
      <c r="O759" s="100"/>
    </row>
    <row r="760">
      <c r="O760" s="100"/>
    </row>
    <row r="761">
      <c r="O761" s="100"/>
    </row>
    <row r="762">
      <c r="O762" s="100"/>
    </row>
    <row r="763">
      <c r="O763" s="100"/>
    </row>
    <row r="764">
      <c r="O764" s="100"/>
    </row>
    <row r="765">
      <c r="O765" s="100"/>
    </row>
    <row r="766">
      <c r="O766" s="100"/>
    </row>
    <row r="767">
      <c r="O767" s="100"/>
    </row>
    <row r="768">
      <c r="O768" s="100"/>
    </row>
    <row r="769">
      <c r="O769" s="100"/>
    </row>
    <row r="770">
      <c r="O770" s="100"/>
    </row>
    <row r="771">
      <c r="O771" s="100"/>
    </row>
    <row r="772">
      <c r="O772" s="100"/>
    </row>
    <row r="773">
      <c r="O773" s="100"/>
    </row>
    <row r="774">
      <c r="O774" s="100"/>
    </row>
    <row r="775">
      <c r="O775" s="100"/>
    </row>
    <row r="776">
      <c r="O776" s="100"/>
    </row>
    <row r="777">
      <c r="O777" s="100"/>
    </row>
    <row r="778">
      <c r="O778" s="100"/>
    </row>
    <row r="779">
      <c r="O779" s="100"/>
    </row>
    <row r="780">
      <c r="O780" s="100"/>
    </row>
    <row r="781">
      <c r="O781" s="100"/>
    </row>
    <row r="782">
      <c r="O782" s="100"/>
    </row>
    <row r="783">
      <c r="O783" s="100"/>
    </row>
    <row r="784">
      <c r="O784" s="100"/>
    </row>
    <row r="785">
      <c r="O785" s="100"/>
    </row>
    <row r="786">
      <c r="O786" s="100"/>
    </row>
    <row r="787">
      <c r="O787" s="100"/>
    </row>
    <row r="788">
      <c r="O788" s="100"/>
    </row>
    <row r="789">
      <c r="O789" s="100"/>
    </row>
    <row r="790">
      <c r="O790" s="100"/>
    </row>
    <row r="791">
      <c r="O791" s="100"/>
    </row>
    <row r="792">
      <c r="O792" s="100"/>
    </row>
    <row r="793">
      <c r="O793" s="100"/>
    </row>
    <row r="794">
      <c r="O794" s="100"/>
    </row>
    <row r="795">
      <c r="O795" s="100"/>
    </row>
    <row r="796">
      <c r="O796" s="100"/>
    </row>
    <row r="797">
      <c r="O797" s="100"/>
    </row>
    <row r="798">
      <c r="O798" s="100"/>
    </row>
    <row r="799">
      <c r="O799" s="100"/>
    </row>
    <row r="800">
      <c r="O800" s="100"/>
    </row>
    <row r="801">
      <c r="O801" s="100"/>
    </row>
    <row r="802">
      <c r="O802" s="100"/>
    </row>
    <row r="803">
      <c r="O803" s="100"/>
    </row>
    <row r="804">
      <c r="O804" s="100"/>
    </row>
    <row r="805">
      <c r="O805" s="100"/>
    </row>
    <row r="806">
      <c r="O806" s="100"/>
    </row>
    <row r="807">
      <c r="O807" s="100"/>
    </row>
    <row r="808">
      <c r="O808" s="100"/>
    </row>
    <row r="809">
      <c r="O809" s="100"/>
    </row>
    <row r="810">
      <c r="O810" s="100"/>
    </row>
    <row r="811">
      <c r="O811" s="100"/>
    </row>
    <row r="812">
      <c r="O812" s="100"/>
    </row>
    <row r="813">
      <c r="O813" s="100"/>
    </row>
    <row r="814">
      <c r="O814" s="100"/>
    </row>
    <row r="815">
      <c r="O815" s="100"/>
    </row>
    <row r="816">
      <c r="O816" s="100"/>
    </row>
    <row r="817">
      <c r="O817" s="100"/>
    </row>
    <row r="818">
      <c r="O818" s="100"/>
    </row>
    <row r="819">
      <c r="O819" s="100"/>
    </row>
    <row r="820">
      <c r="O820" s="100"/>
    </row>
    <row r="821">
      <c r="O821" s="100"/>
    </row>
    <row r="822">
      <c r="O822" s="100"/>
    </row>
    <row r="823">
      <c r="O823" s="100"/>
    </row>
    <row r="824">
      <c r="O824" s="100"/>
    </row>
    <row r="825">
      <c r="O825" s="100"/>
    </row>
    <row r="826">
      <c r="O826" s="100"/>
    </row>
    <row r="827">
      <c r="O827" s="100"/>
    </row>
    <row r="828">
      <c r="O828" s="100"/>
    </row>
    <row r="829">
      <c r="O829" s="100"/>
    </row>
    <row r="830">
      <c r="O830" s="100"/>
    </row>
    <row r="831">
      <c r="O831" s="100"/>
    </row>
    <row r="832">
      <c r="O832" s="100"/>
    </row>
    <row r="833">
      <c r="O833" s="100"/>
    </row>
    <row r="834">
      <c r="O834" s="100"/>
    </row>
    <row r="835">
      <c r="O835" s="100"/>
    </row>
    <row r="836">
      <c r="O836" s="100"/>
    </row>
    <row r="837">
      <c r="O837" s="100"/>
    </row>
    <row r="838">
      <c r="O838" s="100"/>
    </row>
    <row r="839">
      <c r="O839" s="100"/>
    </row>
    <row r="840">
      <c r="O840" s="100"/>
    </row>
    <row r="841">
      <c r="O841" s="100"/>
    </row>
    <row r="842">
      <c r="O842" s="100"/>
    </row>
    <row r="843">
      <c r="O843" s="100"/>
    </row>
    <row r="844">
      <c r="O844" s="100"/>
    </row>
    <row r="845">
      <c r="O845" s="100"/>
    </row>
    <row r="846">
      <c r="O846" s="100"/>
    </row>
    <row r="847">
      <c r="O847" s="100"/>
    </row>
    <row r="848">
      <c r="O848" s="100"/>
    </row>
    <row r="849">
      <c r="O849" s="100"/>
    </row>
    <row r="850">
      <c r="O850" s="100"/>
    </row>
    <row r="851">
      <c r="O851" s="100"/>
    </row>
    <row r="852">
      <c r="O852" s="100"/>
    </row>
    <row r="853">
      <c r="O853" s="100"/>
    </row>
    <row r="854">
      <c r="O854" s="100"/>
    </row>
    <row r="855">
      <c r="O855" s="100"/>
    </row>
    <row r="856">
      <c r="O856" s="100"/>
    </row>
    <row r="857">
      <c r="O857" s="100"/>
    </row>
    <row r="858">
      <c r="O858" s="100"/>
    </row>
    <row r="859">
      <c r="O859" s="100"/>
    </row>
    <row r="860">
      <c r="O860" s="100"/>
    </row>
    <row r="861">
      <c r="O861" s="100"/>
    </row>
    <row r="862">
      <c r="O862" s="100"/>
    </row>
    <row r="863">
      <c r="O863" s="100"/>
    </row>
    <row r="864">
      <c r="O864" s="100"/>
    </row>
    <row r="865">
      <c r="O865" s="100"/>
    </row>
    <row r="866">
      <c r="O866" s="100"/>
    </row>
    <row r="867">
      <c r="O867" s="100"/>
    </row>
    <row r="868">
      <c r="O868" s="100"/>
    </row>
    <row r="869">
      <c r="O869" s="100"/>
    </row>
    <row r="870">
      <c r="O870" s="100"/>
    </row>
    <row r="871">
      <c r="O871" s="100"/>
    </row>
    <row r="872">
      <c r="O872" s="100"/>
    </row>
    <row r="873">
      <c r="O873" s="100"/>
    </row>
    <row r="874">
      <c r="O874" s="100"/>
    </row>
    <row r="875">
      <c r="O875" s="100"/>
    </row>
    <row r="876">
      <c r="O876" s="100"/>
    </row>
    <row r="877">
      <c r="O877" s="100"/>
    </row>
    <row r="878">
      <c r="O878" s="100"/>
    </row>
    <row r="879">
      <c r="O879" s="100"/>
    </row>
    <row r="880">
      <c r="O880" s="100"/>
    </row>
    <row r="881">
      <c r="O881" s="100"/>
    </row>
    <row r="882">
      <c r="O882" s="100"/>
    </row>
    <row r="883">
      <c r="O883" s="100"/>
    </row>
    <row r="884">
      <c r="O884" s="100"/>
    </row>
    <row r="885">
      <c r="O885" s="100"/>
    </row>
    <row r="886">
      <c r="O886" s="100"/>
    </row>
    <row r="887">
      <c r="O887" s="100"/>
    </row>
    <row r="888">
      <c r="O888" s="100"/>
    </row>
    <row r="889">
      <c r="O889" s="100"/>
    </row>
    <row r="890">
      <c r="O890" s="100"/>
    </row>
    <row r="891">
      <c r="O891" s="100"/>
    </row>
    <row r="892">
      <c r="O892" s="100"/>
    </row>
    <row r="893">
      <c r="O893" s="100"/>
    </row>
    <row r="894">
      <c r="O894" s="100"/>
    </row>
    <row r="895">
      <c r="O895" s="100"/>
    </row>
    <row r="896">
      <c r="O896" s="100"/>
    </row>
    <row r="897">
      <c r="O897" s="100"/>
    </row>
    <row r="898">
      <c r="O898" s="100"/>
    </row>
    <row r="899">
      <c r="O899" s="100"/>
    </row>
    <row r="900">
      <c r="O900" s="100"/>
    </row>
    <row r="901">
      <c r="O901" s="100"/>
    </row>
    <row r="902">
      <c r="O902" s="100"/>
    </row>
    <row r="903">
      <c r="O903" s="100"/>
    </row>
    <row r="904">
      <c r="O904" s="100"/>
    </row>
    <row r="905">
      <c r="O905" s="100"/>
    </row>
    <row r="906">
      <c r="O906" s="100"/>
    </row>
    <row r="907">
      <c r="O907" s="100"/>
    </row>
    <row r="908">
      <c r="O908" s="100"/>
    </row>
    <row r="909">
      <c r="O909" s="100"/>
    </row>
    <row r="910">
      <c r="O910" s="100"/>
    </row>
    <row r="911">
      <c r="O911" s="100"/>
    </row>
    <row r="912">
      <c r="O912" s="100"/>
    </row>
    <row r="913">
      <c r="O913" s="100"/>
    </row>
    <row r="914">
      <c r="O914" s="100"/>
    </row>
    <row r="915">
      <c r="O915" s="100"/>
    </row>
    <row r="916">
      <c r="O916" s="100"/>
    </row>
    <row r="917">
      <c r="O917" s="100"/>
    </row>
    <row r="918">
      <c r="O918" s="100"/>
    </row>
    <row r="919">
      <c r="O919" s="100"/>
    </row>
    <row r="920">
      <c r="O920" s="100"/>
    </row>
    <row r="921">
      <c r="O921" s="100"/>
    </row>
    <row r="922">
      <c r="O922" s="100"/>
    </row>
    <row r="923">
      <c r="O923" s="100"/>
    </row>
    <row r="924">
      <c r="O924" s="100"/>
    </row>
    <row r="925">
      <c r="O925" s="100"/>
    </row>
    <row r="926">
      <c r="O926" s="100"/>
    </row>
    <row r="927">
      <c r="O927" s="100"/>
    </row>
    <row r="928">
      <c r="O928" s="100"/>
    </row>
    <row r="929">
      <c r="O929" s="100"/>
    </row>
    <row r="930">
      <c r="O930" s="100"/>
    </row>
    <row r="931">
      <c r="O931" s="100"/>
    </row>
    <row r="932">
      <c r="O932" s="100"/>
    </row>
    <row r="933">
      <c r="O933" s="100"/>
    </row>
    <row r="934">
      <c r="O934" s="100"/>
    </row>
    <row r="935">
      <c r="O935" s="100"/>
    </row>
    <row r="936">
      <c r="O936" s="100"/>
    </row>
    <row r="937">
      <c r="O937" s="100"/>
    </row>
    <row r="938">
      <c r="O938" s="100"/>
    </row>
    <row r="939">
      <c r="O939" s="100"/>
    </row>
    <row r="940">
      <c r="O940" s="100"/>
    </row>
    <row r="941">
      <c r="O941" s="100"/>
    </row>
    <row r="942">
      <c r="O942" s="100"/>
    </row>
    <row r="943">
      <c r="O943" s="100"/>
    </row>
    <row r="944">
      <c r="O944" s="100"/>
    </row>
    <row r="945">
      <c r="O945" s="100"/>
    </row>
    <row r="946">
      <c r="O946" s="100"/>
    </row>
    <row r="947">
      <c r="O947" s="100"/>
    </row>
    <row r="948">
      <c r="O948" s="100"/>
    </row>
    <row r="949">
      <c r="O949" s="100"/>
    </row>
    <row r="950">
      <c r="O950" s="100"/>
    </row>
    <row r="951">
      <c r="O951" s="100"/>
    </row>
    <row r="952">
      <c r="O952" s="100"/>
    </row>
    <row r="953">
      <c r="O953" s="100"/>
    </row>
    <row r="954">
      <c r="O954" s="100"/>
    </row>
    <row r="955">
      <c r="O955" s="100"/>
    </row>
    <row r="956">
      <c r="O956" s="100"/>
    </row>
    <row r="957">
      <c r="O957" s="100"/>
    </row>
    <row r="958">
      <c r="O958" s="100"/>
    </row>
    <row r="959">
      <c r="O959" s="100"/>
    </row>
    <row r="960">
      <c r="O960" s="100"/>
    </row>
    <row r="961">
      <c r="O961" s="100"/>
    </row>
    <row r="962">
      <c r="O962" s="100"/>
    </row>
    <row r="963">
      <c r="O963" s="100"/>
    </row>
    <row r="964">
      <c r="O964" s="100"/>
    </row>
    <row r="965">
      <c r="O965" s="100"/>
    </row>
    <row r="966">
      <c r="O966" s="100"/>
    </row>
    <row r="967">
      <c r="O967" s="100"/>
    </row>
    <row r="968">
      <c r="O968" s="100"/>
    </row>
    <row r="969">
      <c r="O969" s="100"/>
    </row>
    <row r="970">
      <c r="O970" s="100"/>
    </row>
    <row r="971">
      <c r="O971" s="100"/>
    </row>
    <row r="972">
      <c r="O972" s="100"/>
    </row>
    <row r="973">
      <c r="O973" s="100"/>
    </row>
    <row r="974">
      <c r="O974" s="100"/>
    </row>
    <row r="975">
      <c r="O975" s="100"/>
    </row>
    <row r="976">
      <c r="O976" s="100"/>
    </row>
    <row r="977">
      <c r="O977" s="100"/>
    </row>
    <row r="978">
      <c r="O978" s="100"/>
    </row>
    <row r="979">
      <c r="O979" s="100"/>
    </row>
    <row r="980">
      <c r="O980" s="100"/>
    </row>
    <row r="981">
      <c r="O981" s="100"/>
    </row>
    <row r="982">
      <c r="O982" s="100"/>
    </row>
    <row r="983">
      <c r="O983" s="100"/>
    </row>
    <row r="984">
      <c r="O984" s="100"/>
    </row>
    <row r="985">
      <c r="O985" s="100"/>
    </row>
    <row r="986">
      <c r="O986" s="100"/>
    </row>
    <row r="987">
      <c r="O987" s="100"/>
    </row>
    <row r="988">
      <c r="O988" s="100"/>
    </row>
    <row r="989">
      <c r="O989" s="100"/>
    </row>
    <row r="990">
      <c r="O990" s="100"/>
    </row>
    <row r="991">
      <c r="O991" s="100"/>
    </row>
    <row r="992">
      <c r="O992" s="100"/>
    </row>
    <row r="993">
      <c r="O993" s="100"/>
    </row>
    <row r="994">
      <c r="O994" s="100"/>
    </row>
    <row r="995">
      <c r="O995" s="100"/>
    </row>
    <row r="996">
      <c r="O996" s="100"/>
    </row>
    <row r="997">
      <c r="O997" s="100"/>
    </row>
    <row r="998">
      <c r="O998" s="100"/>
    </row>
    <row r="999">
      <c r="O999" s="100"/>
    </row>
    <row r="1000">
      <c r="O1000" s="100"/>
    </row>
  </sheetData>
  <conditionalFormatting sqref="C33:C43 C45 C47:C52 C54:C57 C59:C72 C74 C76:C98 C100:C106 C108:C112 C114:C120 C122:C123 C125:C127 C129:C130 C132:C133">
    <cfRule type="expression" dxfId="1" priority="1">
      <formula>$L33="Completed and Issued"</formula>
    </cfRule>
  </conditionalFormatting>
  <conditionalFormatting sqref="C9:C11 C29:C52 C54:C74 C76:C133">
    <cfRule type="expression" dxfId="2" priority="2">
      <formula>COUNTIF(C:C, C9)&gt;1</formula>
    </cfRule>
  </conditionalFormatting>
  <conditionalFormatting sqref="C1:C1000">
    <cfRule type="expression" dxfId="0" priority="3">
      <formula>COUNTIF(C:C, C1)&gt;1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6.0"/>
    <col customWidth="1" min="3" max="3" width="14.38"/>
    <col customWidth="1" min="4" max="4" width="9.25"/>
    <col customWidth="1" min="5" max="5" width="6.38"/>
    <col customWidth="1" min="6" max="6" width="8.25"/>
    <col customWidth="1" min="7" max="7" width="17.5"/>
    <col customWidth="1" min="8" max="8" width="7.0"/>
    <col customWidth="1" min="9" max="9" width="4.63"/>
    <col customWidth="1" min="10" max="10" width="14.0"/>
    <col customWidth="1" min="11" max="11" width="13.88"/>
    <col customWidth="1" min="12" max="12" width="15.63"/>
    <col customWidth="1" min="13" max="13" width="13.75"/>
    <col customWidth="1" min="14" max="14" width="5.88"/>
    <col customWidth="1" min="15" max="15" width="8.63"/>
    <col customWidth="1" min="16" max="16" width="9.5"/>
    <col customWidth="1" min="17" max="17" width="8.75"/>
  </cols>
  <sheetData>
    <row r="1">
      <c r="A1" s="1" t="s">
        <v>863</v>
      </c>
      <c r="B1" s="1" t="s">
        <v>1</v>
      </c>
      <c r="C1" s="1" t="s">
        <v>790</v>
      </c>
      <c r="D1" s="1" t="s">
        <v>3</v>
      </c>
      <c r="E1" s="1" t="s">
        <v>791</v>
      </c>
      <c r="F1" s="1" t="s">
        <v>3</v>
      </c>
      <c r="G1" s="3" t="s">
        <v>4</v>
      </c>
      <c r="H1" s="1" t="s">
        <v>792</v>
      </c>
      <c r="I1" s="1" t="s">
        <v>6</v>
      </c>
      <c r="J1" s="1" t="s">
        <v>864</v>
      </c>
      <c r="K1" s="1" t="s">
        <v>865</v>
      </c>
      <c r="L1" s="3" t="s">
        <v>866</v>
      </c>
      <c r="M1" s="101" t="s">
        <v>867</v>
      </c>
      <c r="N1" s="1" t="s">
        <v>868</v>
      </c>
      <c r="O1" s="1" t="s">
        <v>869</v>
      </c>
      <c r="P1" s="1" t="s">
        <v>795</v>
      </c>
      <c r="Q1" s="1" t="s">
        <v>870</v>
      </c>
      <c r="R1" s="102"/>
      <c r="S1" s="4"/>
      <c r="T1" s="4"/>
      <c r="U1" s="4"/>
      <c r="V1" s="4"/>
      <c r="W1" s="4"/>
      <c r="X1" s="4"/>
      <c r="Y1" s="4"/>
      <c r="Z1" s="4"/>
      <c r="AA1" s="4"/>
      <c r="AB1" s="4"/>
      <c r="AC1" s="4"/>
      <c r="AD1" s="4"/>
      <c r="AE1" s="4"/>
      <c r="AF1" s="4"/>
    </row>
    <row r="2">
      <c r="A2" s="64" t="s">
        <v>871</v>
      </c>
      <c r="B2" s="64" t="s">
        <v>11</v>
      </c>
      <c r="C2" s="71">
        <v>7.7000216379E10</v>
      </c>
      <c r="D2" s="103" t="str">
        <f t="array" ref="D2">XLOOKUP(C2,'Master Data'!C:C,'Master Data'!D:D)</f>
        <v>Baner</v>
      </c>
      <c r="E2" s="104" t="s">
        <v>812</v>
      </c>
      <c r="F2" s="105" t="str">
        <f t="array" ref="F2">XLOOKUP(C2,'Master Data'!C:C,'Master Data'!D:D)</f>
        <v>Baner</v>
      </c>
      <c r="G2" s="90" t="str">
        <f t="array" ref="G2">XLOOKUP(C2,'Master Data'!C:C,'Master Data'!E:E)</f>
        <v>Eknath Govind Pardeshi</v>
      </c>
      <c r="H2" s="88" t="str">
        <f t="array" ref="H2">XLOOKUP(C2,'Master Data'!C:C,'Master Data'!F:F)</f>
        <v>Gayatri Eknath Pardeshi</v>
      </c>
      <c r="I2" s="72" t="str">
        <f t="array" ref="I2">XLOOKUP(C2,'Master Data'!C:C,'Master Data'!G:G)</f>
        <v>Resale</v>
      </c>
      <c r="J2" s="72" t="str">
        <f t="array" ref="J2">XLOOKUP(C2,'Master Data'!C:C,'Master Data'!H:H)</f>
        <v>All that piece and parcel of proeprty bearing Flat No. A-7, having an area admeasuring of 500 sq. feets, situated ont eh Stilt Floor, out of the society known as "Gokul Park Co-Operative Housing Society Limited", constructed on the land bearing Plot No. RH-91/2, G-Block, MIDC, situated at Village - Akurdi, Taluka - Haveli, District - Pune and within local limits of Pimpri Chinchwad Municipal Corporation, Pimpri and wihtin jurisdiction of MIDC, Pimpri. </v>
      </c>
      <c r="K2" s="106" t="s">
        <v>872</v>
      </c>
      <c r="L2" s="107" t="s">
        <v>873</v>
      </c>
      <c r="M2" s="23" t="s">
        <v>874</v>
      </c>
      <c r="N2" s="108">
        <v>2000.0</v>
      </c>
      <c r="O2" s="108">
        <v>7.43071627E8</v>
      </c>
      <c r="P2" s="64" t="s">
        <v>875</v>
      </c>
      <c r="Q2" s="64" t="s">
        <v>802</v>
      </c>
      <c r="R2" s="109"/>
      <c r="S2" s="4"/>
      <c r="T2" s="4"/>
      <c r="U2" s="4"/>
      <c r="V2" s="4"/>
      <c r="W2" s="4"/>
      <c r="X2" s="4"/>
      <c r="Y2" s="4"/>
      <c r="Z2" s="4"/>
      <c r="AA2" s="4"/>
      <c r="AB2" s="4"/>
      <c r="AC2" s="4"/>
      <c r="AD2" s="4"/>
      <c r="AE2" s="4"/>
      <c r="AF2" s="4"/>
    </row>
    <row r="3">
      <c r="A3" s="64" t="s">
        <v>876</v>
      </c>
      <c r="B3" s="64" t="s">
        <v>11</v>
      </c>
      <c r="C3" s="110" t="s">
        <v>159</v>
      </c>
      <c r="D3" s="103" t="str">
        <f t="array" ref="D3">XLOOKUP(C3,'Master Data'!C:C,'Master Data'!D:D)</f>
        <v>Baner</v>
      </c>
      <c r="E3" s="104" t="s">
        <v>802</v>
      </c>
      <c r="F3" s="105" t="str">
        <f t="array" ref="F3">XLOOKUP(C3,'Master Data'!C:C,'Master Data'!D:D)</f>
        <v>Baner</v>
      </c>
      <c r="G3" s="90" t="str">
        <f t="array" ref="G3">XLOOKUP(C3,'Master Data'!C:C,'Master Data'!E:E)</f>
        <v>Sangeeta Yogesh Hajare</v>
      </c>
      <c r="H3" s="88" t="str">
        <f t="array" ref="H3">XLOOKUP(C3,'Master Data'!C:C,'Master Data'!F:F)</f>
        <v>Yogesh Ajitsingh Hajare</v>
      </c>
      <c r="I3" s="72" t="str">
        <f t="array" ref="I3">XLOOKUP(C3,'Master Data'!C:C,'Master Data'!G:G)</f>
        <v>NRP Purchase</v>
      </c>
      <c r="J3" s="72" t="str">
        <f t="array" ref="J3">XLOOKUP(C3,'Master Data'!C:C,'Master Data'!H:H)</f>
        <v>All that piece and parcel of Shop No. 3 admeasuring about 31.97 Sq. Mtrs. (Built-up) i.e. 344 Sq. Ft., along with Loft admeasuring about 11.99 Sq. Mtrs. i.e. 129 Sq. Ft. and open space in front of the said shop admeasuring about 32.53 Sq. Mtrs. i.e. 350 Sq. Ft., situated on the Stilt and Upper Ground Floor in Building “B”, known as Meenakshi Puram B Building Co-operative Housing Society Ltd., constructed on land bearing Survey No. 42/1 (Part), situated at Village Wadgaon Budruk, Taluka Haveli, District Pune, within the limits of Pune Municipal Corporation, along with all rights, easements and appurtenances attached thereto.</v>
      </c>
      <c r="K3" s="106" t="s">
        <v>877</v>
      </c>
      <c r="L3" s="107" t="s">
        <v>878</v>
      </c>
      <c r="M3" s="23" t="s">
        <v>874</v>
      </c>
      <c r="N3" s="108">
        <v>2000.0</v>
      </c>
      <c r="O3" s="108">
        <v>7.43071627E8</v>
      </c>
      <c r="P3" s="64" t="s">
        <v>875</v>
      </c>
      <c r="Q3" s="64" t="s">
        <v>802</v>
      </c>
      <c r="R3" s="109"/>
      <c r="S3" s="4"/>
      <c r="T3" s="4"/>
      <c r="U3" s="4"/>
      <c r="V3" s="4"/>
      <c r="W3" s="4"/>
      <c r="X3" s="4"/>
      <c r="Y3" s="4"/>
      <c r="Z3" s="4"/>
      <c r="AA3" s="4"/>
      <c r="AB3" s="4"/>
      <c r="AC3" s="4"/>
      <c r="AD3" s="4"/>
      <c r="AE3" s="4"/>
      <c r="AF3" s="4"/>
    </row>
    <row r="4">
      <c r="A4" s="64" t="s">
        <v>879</v>
      </c>
      <c r="B4" s="64" t="s">
        <v>11</v>
      </c>
      <c r="C4" s="110">
        <v>7.700024484E10</v>
      </c>
      <c r="D4" s="103" t="str">
        <f t="array" ref="D4">XLOOKUP(C4,'Master Data'!C:C,'Master Data'!D:D)</f>
        <v>Hadapsar</v>
      </c>
      <c r="E4" s="104" t="s">
        <v>802</v>
      </c>
      <c r="F4" s="105" t="str">
        <f t="array" ref="F4">XLOOKUP(C4,'Master Data'!C:C,'Master Data'!D:D)</f>
        <v>Hadapsar</v>
      </c>
      <c r="G4" s="90" t="str">
        <f t="array" ref="G4">XLOOKUP(C4,'Master Data'!C:C,'Master Data'!E:E)</f>
        <v>Jyoti Mahadev Sandur</v>
      </c>
      <c r="H4" s="88" t="s">
        <v>880</v>
      </c>
      <c r="I4" s="72" t="str">
        <f t="array" ref="I4">XLOOKUP(C4,'Master Data'!C:C,'Master Data'!G:G)</f>
        <v>Resale</v>
      </c>
      <c r="J4" s="72" t="str">
        <f t="array" ref="J4">XLOOKUP(C4,'Master Data'!C:C,'Master Data'!H:H)</f>
        <v>All that piece and parcel of the residential flat bearing Flat No. 1, admeasuring Built-up Area 530 Sq. Ft. (i.e. 49.25 Sq. Mtrs.), situated on the Ground Floor, in Wing “A” of the building known as “Shivtirth Apartment”, constructed on the entire land property bearing Survey No. 37, Hissa No. 4, situated at Village - Dhanakwadi, Taluka Haveli, District Pune, and within local limits of Pune Municipal Corporation, Pune.</v>
      </c>
      <c r="K4" s="106" t="s">
        <v>881</v>
      </c>
      <c r="L4" s="111" t="s">
        <v>12</v>
      </c>
      <c r="M4" s="23" t="s">
        <v>874</v>
      </c>
      <c r="N4" s="108">
        <v>2000.0</v>
      </c>
      <c r="O4" s="108">
        <v>7.43071627E8</v>
      </c>
      <c r="P4" s="64" t="s">
        <v>875</v>
      </c>
      <c r="Q4" s="64" t="s">
        <v>802</v>
      </c>
      <c r="R4" s="109"/>
      <c r="S4" s="4"/>
      <c r="T4" s="4"/>
      <c r="U4" s="4"/>
      <c r="V4" s="4"/>
      <c r="W4" s="4"/>
      <c r="X4" s="4"/>
      <c r="Y4" s="4"/>
      <c r="Z4" s="4"/>
      <c r="AA4" s="4"/>
      <c r="AB4" s="4"/>
      <c r="AC4" s="4"/>
      <c r="AD4" s="4"/>
      <c r="AE4" s="4"/>
      <c r="AF4" s="4"/>
    </row>
    <row r="5">
      <c r="A5" s="64" t="s">
        <v>882</v>
      </c>
      <c r="B5" s="64" t="s">
        <v>11</v>
      </c>
      <c r="C5" s="5">
        <v>7.792144896E9</v>
      </c>
      <c r="D5" s="103" t="str">
        <f t="array" ref="D5">XLOOKUP(C5,'Master Data'!C:C,'Master Data'!D:D)</f>
        <v>Wakad</v>
      </c>
      <c r="E5" s="104" t="s">
        <v>802</v>
      </c>
      <c r="F5" s="105" t="str">
        <f t="array" ref="F5">XLOOKUP(C5,'Master Data'!C:C,'Master Data'!D:D)</f>
        <v>Wakad</v>
      </c>
      <c r="G5" s="90" t="str">
        <f t="array" ref="G5">XLOOKUP(C5,'Master Data'!C:C,'Master Data'!E:E)</f>
        <v>Dattatray Suresh Kalbhor</v>
      </c>
      <c r="H5" s="88" t="str">
        <f t="array" ref="H5">XLOOKUP(C5,'Master Data'!C:C,'Master Data'!F:F)</f>
        <v>Mrs. Deepali Dattatray Kalbhor</v>
      </c>
      <c r="I5" s="72" t="str">
        <f t="array" ref="I5">XLOOKUP(C5,'Master Data'!C:C,'Master Data'!G:G)</f>
        <v>Builder Purchase</v>
      </c>
      <c r="J5" s="72" t="str">
        <f t="array" ref="J5">XLOOKUP(C5,'Master Data'!C:C,'Master Data'!H:H)</f>
        <v>All that residential Apartment No. 2405 on the 24th Floor, admeasuring 55.76 Sq. Mtrs. carpet area, along with appurtenant area of 9.14 Sq. Mtrs., including attached balcony admeasuring 2.60 Sq. Mtrs., in the Building No. G, known as “Giardino” in the project known as “Puraniks Abitante Fiore, Phase 2B”, to be constructed on the aforesaid entire land property, i.e. Survey No. 233/1 to 7/235/1/235/2A/235/2B/244/2 and others, situated at Village – Bavdhan Budruk, Taluka – Mulshi, District – Pune.</v>
      </c>
      <c r="K5" s="106" t="s">
        <v>883</v>
      </c>
      <c r="L5" s="107" t="s">
        <v>884</v>
      </c>
      <c r="M5" s="23" t="s">
        <v>874</v>
      </c>
      <c r="N5" s="108">
        <v>2000.0</v>
      </c>
      <c r="O5" s="108">
        <v>7.43071627E8</v>
      </c>
      <c r="P5" s="64" t="s">
        <v>875</v>
      </c>
      <c r="Q5" s="64" t="s">
        <v>814</v>
      </c>
      <c r="R5" s="109"/>
      <c r="S5" s="4"/>
      <c r="T5" s="4"/>
      <c r="U5" s="4"/>
      <c r="V5" s="4"/>
      <c r="W5" s="4"/>
      <c r="X5" s="4"/>
      <c r="Y5" s="4"/>
      <c r="Z5" s="4"/>
      <c r="AA5" s="4"/>
      <c r="AB5" s="4"/>
      <c r="AC5" s="4"/>
      <c r="AD5" s="4"/>
      <c r="AE5" s="4"/>
      <c r="AF5" s="4"/>
    </row>
    <row r="6">
      <c r="A6" s="64" t="s">
        <v>885</v>
      </c>
      <c r="B6" s="64" t="s">
        <v>11</v>
      </c>
      <c r="C6" s="25">
        <v>7.7000244887E10</v>
      </c>
      <c r="D6" s="103" t="str">
        <f t="array" ref="D6">XLOOKUP(C6,'Master Data'!C:C,'Master Data'!D:D)</f>
        <v>Chinchwad</v>
      </c>
      <c r="E6" s="104" t="s">
        <v>814</v>
      </c>
      <c r="F6" s="105" t="str">
        <f t="array" ref="F6">XLOOKUP(C6,'Master Data'!C:C,'Master Data'!D:D)</f>
        <v>Chinchwad</v>
      </c>
      <c r="G6" s="90" t="str">
        <f t="array" ref="G6">XLOOKUP(C6,'Master Data'!C:C,'Master Data'!E:E)</f>
        <v>Satish Kumar Pandey</v>
      </c>
      <c r="H6" s="88" t="str">
        <f t="array" ref="H6">XLOOKUP(C6,'Master Data'!C:C,'Master Data'!F:F)</f>
        <v>Mamata Satishkumar Pandey</v>
      </c>
      <c r="I6" s="72" t="str">
        <f t="array" ref="I6">XLOOKUP(C6,'Master Data'!C:C,'Master Data'!G:G)</f>
        <v>Builder Purshases</v>
      </c>
      <c r="J6" s="72" t="str">
        <f t="array" ref="J6">XLOOKUP(C6,'Master Data'!C:C,'Master Data'!H:H)</f>
        <v>All that piece and parcel of property bearing Office No. 450, having an area admeasuring of 30.65 sq. mtrs. Situated on the 4th Floor, out of the project known as “Shakuntal Commercia”, being constructed on the entire land property, i.e. Gat No. 68, situated at Village – Chikhali, Taluka – Haveli, District – Pune and within local limits of Pimpri Chinchwad Municipal Corporation, Pimpri.</v>
      </c>
      <c r="K6" s="106" t="s">
        <v>886</v>
      </c>
      <c r="L6" s="107" t="s">
        <v>887</v>
      </c>
      <c r="M6" s="23" t="s">
        <v>874</v>
      </c>
      <c r="N6" s="108">
        <v>2000.0</v>
      </c>
      <c r="O6" s="108">
        <v>7.43071627E8</v>
      </c>
      <c r="P6" s="64" t="s">
        <v>875</v>
      </c>
      <c r="Q6" s="64" t="s">
        <v>819</v>
      </c>
      <c r="R6" s="109"/>
      <c r="S6" s="4"/>
      <c r="T6" s="4"/>
      <c r="U6" s="4"/>
      <c r="V6" s="4"/>
      <c r="W6" s="4"/>
      <c r="X6" s="4"/>
      <c r="Y6" s="4"/>
      <c r="Z6" s="4"/>
      <c r="AA6" s="4"/>
      <c r="AB6" s="4"/>
      <c r="AC6" s="4"/>
      <c r="AD6" s="4"/>
      <c r="AE6" s="4"/>
      <c r="AF6" s="4"/>
    </row>
    <row r="7">
      <c r="A7" s="112"/>
      <c r="B7" s="112"/>
      <c r="C7" s="38"/>
      <c r="D7" s="103" t="str">
        <f t="array" ref="D7">XLOOKUP(C7,'Master Data'!C:C,'Master Data'!D:D)</f>
        <v>#N/A</v>
      </c>
      <c r="E7" s="113">
        <v>46057.0</v>
      </c>
      <c r="F7" s="105" t="str">
        <f t="array" ref="F7">XLOOKUP(C7,'Master Data'!C:C,'Master Data'!D:D)</f>
        <v>#N/A</v>
      </c>
      <c r="G7" s="90" t="str">
        <f t="array" ref="G7">XLOOKUP(C7,'Master Data'!C:C,'Master Data'!E:E)</f>
        <v>#N/A</v>
      </c>
      <c r="H7" s="88" t="str">
        <f t="array" ref="H7">XLOOKUP(C7,'Master Data'!C:C,'Master Data'!F:F)</f>
        <v>#N/A</v>
      </c>
      <c r="I7" s="72" t="str">
        <f t="array" ref="I7">XLOOKUP(C7,'Master Data'!C:C,'Master Data'!G:G)</f>
        <v>#N/A</v>
      </c>
      <c r="J7" s="72" t="str">
        <f t="array" ref="J7">XLOOKUP(C7,'Master Data'!C:C,'Master Data'!H:H)</f>
        <v>#N/A</v>
      </c>
      <c r="K7" s="106" t="s">
        <v>888</v>
      </c>
      <c r="L7" s="114" t="s">
        <v>889</v>
      </c>
      <c r="M7" s="23" t="s">
        <v>890</v>
      </c>
      <c r="N7" s="108">
        <v>2000.0</v>
      </c>
      <c r="O7" s="115">
        <v>5.05700854E8</v>
      </c>
      <c r="P7" s="64" t="s">
        <v>875</v>
      </c>
      <c r="Q7" s="116"/>
      <c r="R7" s="109"/>
      <c r="S7" s="4"/>
      <c r="T7" s="4"/>
      <c r="U7" s="4"/>
      <c r="V7" s="4"/>
      <c r="W7" s="4"/>
      <c r="X7" s="4"/>
      <c r="Y7" s="4"/>
      <c r="Z7" s="4"/>
      <c r="AA7" s="4"/>
      <c r="AB7" s="4"/>
      <c r="AC7" s="4"/>
      <c r="AD7" s="4"/>
      <c r="AE7" s="4"/>
      <c r="AF7" s="4"/>
    </row>
    <row r="8">
      <c r="A8" s="64" t="s">
        <v>891</v>
      </c>
      <c r="B8" s="73"/>
      <c r="C8" s="35">
        <v>7.7000193051E10</v>
      </c>
      <c r="D8" s="103" t="str">
        <f t="array" ref="D8">XLOOKUP(C8,'Master Data'!C:C,'Master Data'!D:D)</f>
        <v>Baner</v>
      </c>
      <c r="E8" s="113">
        <v>46057.0</v>
      </c>
      <c r="F8" s="105" t="str">
        <f t="array" ref="F8">XLOOKUP(C8,'Master Data'!C:C,'Master Data'!D:D)</f>
        <v>Baner</v>
      </c>
      <c r="G8" s="90" t="str">
        <f t="array" ref="G8">XLOOKUP(C8,'Master Data'!C:C,'Master Data'!E:E)</f>
        <v>Atul Sonawane</v>
      </c>
      <c r="H8" s="88">
        <f t="array" ref="H8">XLOOKUP(C8,'Master Data'!C:C,'Master Data'!F:F)</f>
        <v>2</v>
      </c>
      <c r="I8" s="72" t="str">
        <f t="array" ref="I8">XLOOKUP(C8,'Master Data'!C:C,'Master Data'!G:G)</f>
        <v/>
      </c>
      <c r="J8" s="72" t="str">
        <f t="array" ref="J8">XLOOKUP(C8,'Master Data'!C:C,'Master Data'!H:H)</f>
        <v>All that piece and parcel of land admeasuring of H. 00-02 Ares i.e. 2000 sq. Feets out of the land bearing Survey No. 51A/1C/1, having an area admeasuring of H. 00-31.29 Ares together with Pot-Kharab area admeasuring of H. 00-01 Ares i.e. total area admeasuring of H. 00-32.29 Ares, assessed at Rs. 00-87 Paise, situated at Village – Hadapsar, Taluka – Haveli, District – Pune and within local limits of Pune Municipal Corporation</v>
      </c>
      <c r="K8" s="106" t="s">
        <v>892</v>
      </c>
      <c r="L8" s="114" t="s">
        <v>893</v>
      </c>
      <c r="M8" s="23" t="s">
        <v>890</v>
      </c>
      <c r="N8" s="108">
        <v>2000.0</v>
      </c>
      <c r="O8" s="115">
        <v>5.05700854E8</v>
      </c>
      <c r="P8" s="64" t="s">
        <v>875</v>
      </c>
      <c r="Q8" s="113">
        <v>46177.0</v>
      </c>
      <c r="R8" s="109"/>
      <c r="S8" s="4"/>
      <c r="T8" s="4"/>
      <c r="U8" s="4"/>
      <c r="V8" s="4"/>
      <c r="W8" s="4"/>
      <c r="X8" s="4"/>
      <c r="Y8" s="4"/>
      <c r="Z8" s="4"/>
      <c r="AA8" s="4"/>
      <c r="AB8" s="4"/>
      <c r="AC8" s="4"/>
      <c r="AD8" s="4"/>
      <c r="AE8" s="4"/>
      <c r="AF8" s="4"/>
    </row>
    <row r="9">
      <c r="A9" s="64" t="s">
        <v>894</v>
      </c>
      <c r="B9" s="73"/>
      <c r="C9" s="31">
        <v>7.7000198835E10</v>
      </c>
      <c r="D9" s="103" t="str">
        <f t="array" ref="D9">XLOOKUP(C9,'Master Data'!C:C,'Master Data'!D:D)</f>
        <v>Baner</v>
      </c>
      <c r="E9" s="113">
        <v>46057.0</v>
      </c>
      <c r="F9" s="105" t="str">
        <f t="array" ref="F9">XLOOKUP(C9,'Master Data'!C:C,'Master Data'!D:D)</f>
        <v>Baner</v>
      </c>
      <c r="G9" s="90" t="str">
        <f t="array" ref="G9">XLOOKUP(C9,'Master Data'!C:C,'Master Data'!E:E)</f>
        <v>Prakash Sujaji chaudhary</v>
      </c>
      <c r="H9" s="88">
        <f t="array" ref="H9">XLOOKUP(C9,'Master Data'!C:C,'Master Data'!F:F)</f>
        <v>3</v>
      </c>
      <c r="I9" s="72" t="str">
        <f t="array" ref="I9">XLOOKUP(C9,'Master Data'!C:C,'Master Data'!G:G)</f>
        <v/>
      </c>
      <c r="J9" s="72" t="str">
        <f t="array" ref="J9">XLOOKUP(C9,'Master Data'!C:C,'Master Data'!H:H)</f>
        <v>All that piece and parcel of property bearing Flat No. 102, having an area admeasuring of 646 sq. Feets. i.e. 60.01 sq. Mtrs., (Carpet), i.e. 877 sq. Feets., i.e. 81.47 sq. Mtrs., saleable built-up, situated on the First Floor, out of the building constructed on the entire land i.e. CTS No. 307, Village – Rasta Peth, Taluka – Haveli, District – Pune and within local limits of Pune Municipal Corporation, Pune.</v>
      </c>
      <c r="K9" s="106" t="s">
        <v>895</v>
      </c>
      <c r="L9" s="114" t="s">
        <v>896</v>
      </c>
      <c r="M9" s="23" t="s">
        <v>890</v>
      </c>
      <c r="N9" s="108">
        <v>2000.0</v>
      </c>
      <c r="O9" s="115">
        <v>5.05700854E8</v>
      </c>
      <c r="P9" s="64" t="s">
        <v>875</v>
      </c>
      <c r="Q9" s="113">
        <v>46177.0</v>
      </c>
      <c r="R9" s="109"/>
      <c r="S9" s="4"/>
      <c r="T9" s="4"/>
      <c r="U9" s="4"/>
      <c r="V9" s="4"/>
      <c r="W9" s="4"/>
      <c r="X9" s="4"/>
      <c r="Y9" s="4"/>
      <c r="Z9" s="4"/>
      <c r="AA9" s="4"/>
      <c r="AB9" s="4"/>
      <c r="AC9" s="4"/>
      <c r="AD9" s="4"/>
      <c r="AE9" s="4"/>
      <c r="AF9" s="4"/>
    </row>
    <row r="10">
      <c r="A10" s="64" t="s">
        <v>897</v>
      </c>
      <c r="B10" s="73"/>
      <c r="C10" s="31">
        <v>7.7000205782E10</v>
      </c>
      <c r="D10" s="103" t="str">
        <f t="array" ref="D10">XLOOKUP(C10,'Master Data'!C:C,'Master Data'!D:D)</f>
        <v>Kharadi</v>
      </c>
      <c r="E10" s="117">
        <v>46085.0</v>
      </c>
      <c r="F10" s="105" t="str">
        <f t="array" ref="F10">XLOOKUP(C10,'Master Data'!C:C,'Master Data'!D:D)</f>
        <v>Kharadi</v>
      </c>
      <c r="G10" s="90" t="str">
        <f t="array" ref="G10">XLOOKUP(C10,'Master Data'!C:C,'Master Data'!E:E)</f>
        <v>Sagar Turakhia</v>
      </c>
      <c r="H10" s="88">
        <f t="array" ref="H10">XLOOKUP(C10,'Master Data'!C:C,'Master Data'!F:F)</f>
        <v>4</v>
      </c>
      <c r="I10" s="72" t="str">
        <f t="array" ref="I10">XLOOKUP(C10,'Master Data'!C:C,'Master Data'!G:G)</f>
        <v/>
      </c>
      <c r="J10" s="72" t="str">
        <f t="array" ref="J10">XLOOKUP(C10,'Master Data'!C:C,'Master Data'!H:H)</f>
        <v>All that piece and parcel of property admeasuring of H. 00-42 Ares, out of the Gat No. 568, having total area admeasuring of H. 01-01 Ares, assessed at Rs. 10-30 Ares, sitauted at Village – Koregaon Bhima, Taluka – Shirur, District – Pune and which is bounded as under.-</v>
      </c>
      <c r="K10" s="106" t="s">
        <v>898</v>
      </c>
      <c r="L10" s="114" t="s">
        <v>899</v>
      </c>
      <c r="M10" s="23" t="s">
        <v>890</v>
      </c>
      <c r="N10" s="108">
        <v>2000.0</v>
      </c>
      <c r="O10" s="115">
        <v>5.05700854E8</v>
      </c>
      <c r="P10" s="64" t="s">
        <v>875</v>
      </c>
      <c r="Q10" s="113">
        <v>46116.0</v>
      </c>
      <c r="R10" s="109"/>
      <c r="S10" s="4"/>
      <c r="T10" s="4"/>
      <c r="U10" s="4"/>
      <c r="V10" s="4"/>
      <c r="W10" s="4"/>
      <c r="X10" s="4"/>
      <c r="Y10" s="4"/>
      <c r="Z10" s="4"/>
      <c r="AA10" s="4"/>
      <c r="AB10" s="4"/>
      <c r="AC10" s="4"/>
      <c r="AD10" s="4"/>
      <c r="AE10" s="4"/>
      <c r="AF10" s="4"/>
    </row>
    <row r="11">
      <c r="A11" s="64" t="s">
        <v>900</v>
      </c>
      <c r="B11" s="73"/>
      <c r="C11" s="31">
        <v>7.7000217761E10</v>
      </c>
      <c r="D11" s="103" t="str">
        <f t="array" ref="D11">XLOOKUP(C11,'Master Data'!C:C,'Master Data'!D:D)</f>
        <v>Hadapsar</v>
      </c>
      <c r="E11" s="117">
        <v>46085.0</v>
      </c>
      <c r="F11" s="105" t="str">
        <f t="array" ref="F11">XLOOKUP(C11,'Master Data'!C:C,'Master Data'!D:D)</f>
        <v>Hadapsar</v>
      </c>
      <c r="G11" s="90" t="str">
        <f t="array" ref="G11">XLOOKUP(C11,'Master Data'!C:C,'Master Data'!E:E)</f>
        <v>Santosh Abnave</v>
      </c>
      <c r="H11" s="88">
        <f t="array" ref="H11">XLOOKUP(C11,'Master Data'!C:C,'Master Data'!F:F)</f>
        <v>5</v>
      </c>
      <c r="I11" s="72" t="str">
        <f t="array" ref="I11">XLOOKUP(C11,'Master Data'!C:C,'Master Data'!G:G)</f>
        <v/>
      </c>
      <c r="J11" s="72" t="str">
        <f t="array" ref="J11">XLOOKUP(C11,'Master Data'!C:C,'Master Data'!H:H)</f>
        <v>Flat / Unit No. A3-303, having carpet area admeasuring about 172.09 Sq. Mtrs., along with terrace area admeasuring of 1500 sq. feets., situate on the Third Floor and also allotted 4 Covered Car Parking Space situated at Ground Floor, in the building named “A3”, out of the project known as “Green Ville”, to be constructed on the entire land property, i.e. Survey No. 211, Hissa No. 11, situated at Village – Hadapsar, Taluka – Haveli, District – Pune and within local limits of Pune Municipal Corporation, Pune.</v>
      </c>
      <c r="K11" s="106" t="s">
        <v>901</v>
      </c>
      <c r="L11" s="114" t="s">
        <v>902</v>
      </c>
      <c r="M11" s="23" t="s">
        <v>890</v>
      </c>
      <c r="N11" s="108">
        <v>2000.0</v>
      </c>
      <c r="O11" s="115">
        <v>5.05700854E8</v>
      </c>
      <c r="P11" s="64" t="s">
        <v>875</v>
      </c>
      <c r="Q11" s="113">
        <v>46116.0</v>
      </c>
      <c r="R11" s="109"/>
      <c r="S11" s="4"/>
      <c r="T11" s="4"/>
      <c r="U11" s="4"/>
      <c r="V11" s="4"/>
      <c r="W11" s="4"/>
      <c r="X11" s="4"/>
      <c r="Y11" s="4"/>
      <c r="Z11" s="4"/>
      <c r="AA11" s="4"/>
      <c r="AB11" s="4"/>
      <c r="AC11" s="4"/>
      <c r="AD11" s="4"/>
      <c r="AE11" s="4"/>
      <c r="AF11" s="4"/>
    </row>
    <row r="12">
      <c r="A12" s="64" t="s">
        <v>903</v>
      </c>
      <c r="B12" s="73"/>
      <c r="C12" s="31">
        <v>7.7000231453E10</v>
      </c>
      <c r="D12" s="103" t="str">
        <f t="array" ref="D12">XLOOKUP(C12,'Master Data'!C:C,'Master Data'!D:D)</f>
        <v>kharadi</v>
      </c>
      <c r="E12" s="117">
        <v>46116.0</v>
      </c>
      <c r="F12" s="105" t="str">
        <f t="array" ref="F12">XLOOKUP(C12,'Master Data'!C:C,'Master Data'!D:D)</f>
        <v>kharadi</v>
      </c>
      <c r="G12" s="90" t="str">
        <f t="array" ref="G12">XLOOKUP(C12,'Master Data'!C:C,'Master Data'!E:E)</f>
        <v>Sakshi ROY</v>
      </c>
      <c r="H12" s="88">
        <f t="array" ref="H12">XLOOKUP(C12,'Master Data'!C:C,'Master Data'!F:F)</f>
        <v>6</v>
      </c>
      <c r="I12" s="72" t="str">
        <f t="array" ref="I12">XLOOKUP(C12,'Master Data'!C:C,'Master Data'!G:G)</f>
        <v/>
      </c>
      <c r="J12" s="72" t="str">
        <f t="array" ref="J12">XLOOKUP(C12,'Master Data'!C:C,'Master Data'!H:H)</f>
        <v>All that piece and parcel of Residential Unit bearing No. 8, admeasuring 817 sq. ft. (i.e. 75.90 sq. mtrs.) built-up area, together with attached terrace area admeasuring 40 sq. ft. (i.e. 3.72 sq. mtrs.), situated on the Third Floor of the building known as “Aashiyana Enclave”, constructed on land bearing Survey No. 33, Hissa No. 2, Plot No. 87, situated at Village Dhanori, Taluka Haveli, District Pune, within the limits of Pune Municipal Corporation, along with the exclusive right to use Car Parking Space No. 8, and together with all appurtenant rights, easements and proportionate undivided share in the said land</v>
      </c>
      <c r="K12" s="106" t="s">
        <v>904</v>
      </c>
      <c r="L12" s="114" t="s">
        <v>905</v>
      </c>
      <c r="M12" s="23" t="s">
        <v>890</v>
      </c>
      <c r="N12" s="108">
        <v>2000.0</v>
      </c>
      <c r="O12" s="115">
        <v>5.05700854E8</v>
      </c>
      <c r="P12" s="64" t="s">
        <v>875</v>
      </c>
      <c r="Q12" s="113">
        <v>46207.0</v>
      </c>
      <c r="R12" s="109"/>
      <c r="S12" s="4"/>
      <c r="T12" s="4"/>
      <c r="U12" s="4"/>
      <c r="V12" s="4"/>
      <c r="W12" s="4"/>
      <c r="X12" s="4"/>
      <c r="Y12" s="4"/>
      <c r="Z12" s="4"/>
      <c r="AA12" s="4"/>
      <c r="AB12" s="4"/>
      <c r="AC12" s="4"/>
      <c r="AD12" s="4"/>
      <c r="AE12" s="4"/>
      <c r="AF12" s="4"/>
    </row>
    <row r="13">
      <c r="A13" s="64" t="s">
        <v>906</v>
      </c>
      <c r="B13" s="73"/>
      <c r="C13" s="31">
        <v>7.700022783E10</v>
      </c>
      <c r="D13" s="103" t="str">
        <f t="array" ref="D13">XLOOKUP(C13,'Master Data'!C:C,'Master Data'!D:D)</f>
        <v>Baner</v>
      </c>
      <c r="E13" s="117">
        <v>46116.0</v>
      </c>
      <c r="F13" s="105" t="str">
        <f t="array" ref="F13">XLOOKUP(C13,'Master Data'!C:C,'Master Data'!D:D)</f>
        <v>Baner</v>
      </c>
      <c r="G13" s="90" t="str">
        <f t="array" ref="G13">XLOOKUP(C13,'Master Data'!C:C,'Master Data'!E:E)</f>
        <v>Kanaram Prabhuraj Sirvi</v>
      </c>
      <c r="H13" s="88">
        <f t="array" ref="H13">XLOOKUP(C13,'Master Data'!C:C,'Master Data'!F:F)</f>
        <v>7</v>
      </c>
      <c r="I13" s="72" t="str">
        <f t="array" ref="I13">XLOOKUP(C13,'Master Data'!C:C,'Master Data'!G:G)</f>
        <v/>
      </c>
      <c r="J13" s="72" t="str">
        <f t="array" ref="J13">XLOOKUP(C13,'Master Data'!C:C,'Master Data'!H:H)</f>
        <v>By part of Gat No. 568 and approach road from Pune Nagar Road,</v>
      </c>
      <c r="K13" s="106" t="s">
        <v>907</v>
      </c>
      <c r="L13" s="114" t="s">
        <v>908</v>
      </c>
      <c r="M13" s="23" t="s">
        <v>890</v>
      </c>
      <c r="N13" s="108">
        <v>2000.0</v>
      </c>
      <c r="O13" s="115">
        <v>5.05700854E8</v>
      </c>
      <c r="P13" s="64" t="s">
        <v>875</v>
      </c>
      <c r="Q13" s="113">
        <v>46330.0</v>
      </c>
      <c r="R13" s="109"/>
      <c r="S13" s="4"/>
      <c r="T13" s="4"/>
      <c r="U13" s="4"/>
      <c r="V13" s="4"/>
      <c r="W13" s="4"/>
      <c r="X13" s="4"/>
      <c r="Y13" s="4"/>
      <c r="Z13" s="4"/>
      <c r="AA13" s="4"/>
      <c r="AB13" s="4"/>
      <c r="AC13" s="4"/>
      <c r="AD13" s="4"/>
      <c r="AE13" s="4"/>
      <c r="AF13" s="4"/>
    </row>
    <row r="14">
      <c r="A14" s="64" t="s">
        <v>909</v>
      </c>
      <c r="B14" s="73"/>
      <c r="C14" s="31">
        <v>7.7000229645E10</v>
      </c>
      <c r="D14" s="103" t="str">
        <f t="array" ref="D14">XLOOKUP(C14,'Master Data'!C:C,'Master Data'!D:D)</f>
        <v>Wakad</v>
      </c>
      <c r="E14" s="117">
        <v>46116.0</v>
      </c>
      <c r="F14" s="105" t="str">
        <f t="array" ref="F14">XLOOKUP(C14,'Master Data'!C:C,'Master Data'!D:D)</f>
        <v>Wakad</v>
      </c>
      <c r="G14" s="90" t="str">
        <f t="array" ref="G14">XLOOKUP(C14,'Master Data'!C:C,'Master Data'!E:E)</f>
        <v>Akshay Gaikwad</v>
      </c>
      <c r="H14" s="88">
        <f t="array" ref="H14">XLOOKUP(C14,'Master Data'!C:C,'Master Data'!F:F)</f>
        <v>8</v>
      </c>
      <c r="I14" s="72" t="str">
        <f t="array" ref="I14">XLOOKUP(C14,'Master Data'!C:C,'Master Data'!G:G)</f>
        <v/>
      </c>
      <c r="J14" s="72" t="str">
        <f t="array" ref="J14">XLOOKUP(C14,'Master Data'!C:C,'Master Data'!H:H)</f>
        <v>On or towards the South</v>
      </c>
      <c r="K14" s="106" t="s">
        <v>910</v>
      </c>
      <c r="L14" s="114" t="s">
        <v>911</v>
      </c>
      <c r="M14" s="23" t="s">
        <v>890</v>
      </c>
      <c r="N14" s="108">
        <v>2000.0</v>
      </c>
      <c r="O14" s="115">
        <v>5.05700854E8</v>
      </c>
      <c r="P14" s="64" t="s">
        <v>875</v>
      </c>
      <c r="Q14" s="113">
        <v>46146.0</v>
      </c>
      <c r="R14" s="109"/>
      <c r="S14" s="4"/>
      <c r="T14" s="4"/>
      <c r="U14" s="4"/>
      <c r="V14" s="4"/>
      <c r="W14" s="4"/>
      <c r="X14" s="4"/>
      <c r="Y14" s="4"/>
      <c r="Z14" s="4"/>
      <c r="AA14" s="4"/>
      <c r="AB14" s="4"/>
      <c r="AC14" s="4"/>
      <c r="AD14" s="4"/>
      <c r="AE14" s="4"/>
      <c r="AF14" s="4"/>
    </row>
    <row r="15">
      <c r="A15" s="64" t="s">
        <v>912</v>
      </c>
      <c r="B15" s="73"/>
      <c r="C15" s="31">
        <v>7.7000238977E10</v>
      </c>
      <c r="D15" s="103" t="str">
        <f t="array" ref="D15">XLOOKUP(C15,'Master Data'!C:C,'Master Data'!D:D)</f>
        <v>Wakad</v>
      </c>
      <c r="E15" s="117">
        <v>46116.0</v>
      </c>
      <c r="F15" s="105" t="str">
        <f t="array" ref="F15">XLOOKUP(C15,'Master Data'!C:C,'Master Data'!D:D)</f>
        <v>Wakad</v>
      </c>
      <c r="G15" s="90" t="str">
        <f t="array" ref="G15">XLOOKUP(C15,'Master Data'!C:C,'Master Data'!E:E)</f>
        <v>Sharad Sonawale( flat no A 601)</v>
      </c>
      <c r="H15" s="88">
        <f t="array" ref="H15">XLOOKUP(C15,'Master Data'!C:C,'Master Data'!F:F)</f>
        <v>9</v>
      </c>
      <c r="I15" s="72" t="str">
        <f t="array" ref="I15">XLOOKUP(C15,'Master Data'!C:C,'Master Data'!G:G)</f>
        <v/>
      </c>
      <c r="J15" s="72" t="str">
        <f t="array" ref="J15">XLOOKUP(C15,'Master Data'!C:C,'Master Data'!H:H)</f>
        <v>All that piece and parcel of property bearing Flat No. A 601, having an area admeasuring of 26.49 sq. mtrs., along with open balcony area admeasuring of 1.56 sq. mtrs., situated on the 6th Floor, along with covered car parking area bearing No. A-26, in Building No. “A”, out of the project known as “Happy City Talegaon”, constructed on the entire land property bearing Survey No. 542, Hissa No. 2, (Old S. No. 725), having corresponding CTS No. 4645, situated at Village – Talegaon Dabhade (Shahari), Taluka – Mawal, District – Pune.</v>
      </c>
      <c r="K15" s="106" t="s">
        <v>913</v>
      </c>
      <c r="L15" s="114" t="s">
        <v>914</v>
      </c>
      <c r="M15" s="23" t="s">
        <v>890</v>
      </c>
      <c r="N15" s="108">
        <v>2000.0</v>
      </c>
      <c r="O15" s="115">
        <v>5.05700854E8</v>
      </c>
      <c r="P15" s="64" t="s">
        <v>875</v>
      </c>
      <c r="Q15" s="113">
        <v>46146.0</v>
      </c>
      <c r="R15" s="109"/>
      <c r="S15" s="4"/>
      <c r="T15" s="4"/>
      <c r="U15" s="4"/>
      <c r="V15" s="4"/>
      <c r="W15" s="4"/>
      <c r="X15" s="4"/>
      <c r="Y15" s="4"/>
      <c r="Z15" s="4"/>
      <c r="AA15" s="4"/>
      <c r="AB15" s="4"/>
      <c r="AC15" s="4"/>
      <c r="AD15" s="4"/>
      <c r="AE15" s="4"/>
      <c r="AF15" s="4"/>
    </row>
    <row r="16">
      <c r="A16" s="64" t="s">
        <v>915</v>
      </c>
      <c r="B16" s="73"/>
      <c r="C16" s="31">
        <v>7.7000228807E10</v>
      </c>
      <c r="D16" s="103" t="str">
        <f t="array" ref="D16">XLOOKUP(C16,'Master Data'!C:C,'Master Data'!D:D)</f>
        <v>Wakad</v>
      </c>
      <c r="E16" s="117">
        <v>46116.0</v>
      </c>
      <c r="F16" s="105" t="str">
        <f t="array" ref="F16">XLOOKUP(C16,'Master Data'!C:C,'Master Data'!D:D)</f>
        <v>Wakad</v>
      </c>
      <c r="G16" s="90" t="str">
        <f t="array" ref="G16">XLOOKUP(C16,'Master Data'!C:C,'Master Data'!E:E)</f>
        <v>Sharad Sonawale( flat no A 614)</v>
      </c>
      <c r="H16" s="88">
        <f t="array" ref="H16">XLOOKUP(C16,'Master Data'!C:C,'Master Data'!F:F)</f>
        <v>10</v>
      </c>
      <c r="I16" s="72" t="str">
        <f t="array" ref="I16">XLOOKUP(C16,'Master Data'!C:C,'Master Data'!G:G)</f>
        <v/>
      </c>
      <c r="J16" s="72" t="str">
        <f t="array" ref="J16">XLOOKUP(C16,'Master Data'!C:C,'Master Data'!H:H)</f>
        <v>Hereinafter, referred to as the “Subject Flat Property”. All that piece and parcel of property bearing Flat No. 614, having a carpet area admeasuring 26.49 Sq. Mtrs., along with open balcony admeasuring 1.56 Sq. Mtrs., situated on the Sixth Floor, in Building No. “A”, in the project known as “Happy City Talegaon”, constructed on the entire land property bearing Survey No. 542, Hissa No. 2 (Old Survey No. 725), corresponding to CTS No. 4645, admeasuring 8700 Sq. Mtrs., situated at Village – Talegaon Dabhade, Taluka – Mawal, District – Pune.</v>
      </c>
      <c r="K16" s="106" t="s">
        <v>916</v>
      </c>
      <c r="L16" s="114" t="s">
        <v>917</v>
      </c>
      <c r="M16" s="23" t="s">
        <v>890</v>
      </c>
      <c r="N16" s="108">
        <v>2000.0</v>
      </c>
      <c r="O16" s="115">
        <v>5.05700854E8</v>
      </c>
      <c r="P16" s="64" t="s">
        <v>875</v>
      </c>
      <c r="Q16" s="113">
        <v>46146.0</v>
      </c>
      <c r="R16" s="109"/>
      <c r="S16" s="4"/>
      <c r="T16" s="4"/>
      <c r="U16" s="4"/>
      <c r="V16" s="4"/>
      <c r="W16" s="4"/>
      <c r="X16" s="4"/>
      <c r="Y16" s="4"/>
      <c r="Z16" s="4"/>
      <c r="AA16" s="4"/>
      <c r="AB16" s="4"/>
      <c r="AC16" s="4"/>
      <c r="AD16" s="4"/>
      <c r="AE16" s="4"/>
      <c r="AF16" s="4"/>
    </row>
    <row r="17">
      <c r="A17" s="64" t="s">
        <v>918</v>
      </c>
      <c r="B17" s="73"/>
      <c r="C17" s="31" t="s">
        <v>256</v>
      </c>
      <c r="D17" s="103" t="str">
        <f t="array" ref="D17">XLOOKUP(C17,'Master Data'!C:C,'Master Data'!D:D)</f>
        <v>Chinchwad</v>
      </c>
      <c r="E17" s="117">
        <v>46116.0</v>
      </c>
      <c r="F17" s="105" t="str">
        <f t="array" ref="F17">XLOOKUP(C17,'Master Data'!C:C,'Master Data'!D:D)</f>
        <v>Chinchwad</v>
      </c>
      <c r="G17" s="90" t="str">
        <f t="array" ref="G17">XLOOKUP(C17,'Master Data'!C:C,'Master Data'!E:E)</f>
        <v>Akshada kisan Watekar</v>
      </c>
      <c r="H17" s="88">
        <f t="array" ref="H17">XLOOKUP(C17,'Master Data'!C:C,'Master Data'!F:F)</f>
        <v>11</v>
      </c>
      <c r="I17" s="72" t="str">
        <f t="array" ref="I17">XLOOKUP(C17,'Master Data'!C:C,'Master Data'!G:G)</f>
        <v/>
      </c>
      <c r="J17" s="72" t="str">
        <f t="array" ref="J17">XLOOKUP(C17,'Master Data'!C:C,'Master Data'!H:H)</f>
        <v>All that piece and parcel of property bearing Flat No. 407 on Fourth Floor admeasuring Carpet Area 47.50 Sq. Mtrs., along with Open/Normal Balcony admeasuring 5.42 Sq. Mtrs. (total net usable area admeasuring 52.92 Sq. Mtrs.), in Wing “A” of the project known as “7 SAGAR PLAZA”, constructed on the land bearing CTS No. 1212 and 1213, situated at Rajgurunagar (CT), Taluka Khed, District Pune, within the limits of Rajgurunagar Municipal Council.</v>
      </c>
      <c r="K17" s="106" t="s">
        <v>919</v>
      </c>
      <c r="L17" s="114" t="s">
        <v>920</v>
      </c>
      <c r="M17" s="23" t="s">
        <v>890</v>
      </c>
      <c r="N17" s="108">
        <v>2000.0</v>
      </c>
      <c r="O17" s="115">
        <v>5.05700854E8</v>
      </c>
      <c r="P17" s="64" t="s">
        <v>875</v>
      </c>
      <c r="Q17" s="113">
        <v>46177.0</v>
      </c>
      <c r="R17" s="109"/>
      <c r="S17" s="4"/>
      <c r="T17" s="4"/>
      <c r="U17" s="4"/>
      <c r="V17" s="4"/>
      <c r="W17" s="4"/>
      <c r="X17" s="4"/>
      <c r="Y17" s="4"/>
      <c r="Z17" s="4"/>
      <c r="AA17" s="4"/>
      <c r="AB17" s="4"/>
      <c r="AC17" s="4"/>
      <c r="AD17" s="4"/>
      <c r="AE17" s="4"/>
      <c r="AF17" s="4"/>
    </row>
    <row r="18">
      <c r="A18" s="64" t="s">
        <v>921</v>
      </c>
      <c r="B18" s="73"/>
      <c r="C18" s="31">
        <v>7.7000233154E10</v>
      </c>
      <c r="D18" s="103" t="str">
        <f t="array" ref="D18">XLOOKUP(C18,'Master Data'!C:C,'Master Data'!D:D)</f>
        <v>Main</v>
      </c>
      <c r="E18" s="117">
        <v>46177.0</v>
      </c>
      <c r="F18" s="105" t="str">
        <f t="array" ref="F18">XLOOKUP(C18,'Master Data'!C:C,'Master Data'!D:D)</f>
        <v>Main</v>
      </c>
      <c r="G18" s="90" t="str">
        <f t="array" ref="G18">XLOOKUP(C18,'Master Data'!C:C,'Master Data'!E:E)</f>
        <v>Avinash Pandurang Jadhav</v>
      </c>
      <c r="H18" s="88">
        <f t="array" ref="H18">XLOOKUP(C18,'Master Data'!C:C,'Master Data'!F:F)</f>
        <v>12</v>
      </c>
      <c r="I18" s="72" t="str">
        <f t="array" ref="I18">XLOOKUP(C18,'Master Data'!C:C,'Master Data'!G:G)</f>
        <v/>
      </c>
      <c r="J18" s="72" t="str">
        <f t="array" ref="J18">XLOOKUP(C18,'Master Data'!C:C,'Master Data'!H:H)</f>
        <v>All that Row House No. 08 situated on the Ground Floor in the residential project known as “Ganga Village” constructed on land bearing Survey No. 46, Hissa No. 1/1 to 1/8, situated at Village Hadapsar, Taluka Haveli, District Pune, having built-up area admeasuring 1360 Sq. Ft. (126.39 Sq. Mtrs.) together with terrace admeasuring 160 Sq. Ft. (14.68 Sq. Mtrs.), garden admeasuring 285 Sq. Ft. (26.48 Sq. Mtrs.) and car parking area admeasuring 180 Sq. Ft. (16.72 Sq. Mtrs.), along with all rights, easements and appurtenances attached thereto.</v>
      </c>
      <c r="K18" s="106" t="s">
        <v>922</v>
      </c>
      <c r="L18" s="114" t="s">
        <v>923</v>
      </c>
      <c r="M18" s="23" t="s">
        <v>890</v>
      </c>
      <c r="N18" s="108">
        <v>2000.0</v>
      </c>
      <c r="O18" s="115">
        <v>5.05700854E8</v>
      </c>
      <c r="P18" s="64" t="s">
        <v>875</v>
      </c>
      <c r="Q18" s="113">
        <v>46177.0</v>
      </c>
      <c r="R18" s="109"/>
      <c r="S18" s="4"/>
      <c r="T18" s="4"/>
      <c r="U18" s="4"/>
      <c r="V18" s="4"/>
      <c r="W18" s="4"/>
      <c r="X18" s="4"/>
      <c r="Y18" s="4"/>
      <c r="Z18" s="4"/>
      <c r="AA18" s="4"/>
      <c r="AB18" s="4"/>
      <c r="AC18" s="4"/>
      <c r="AD18" s="4"/>
      <c r="AE18" s="4"/>
      <c r="AF18" s="4"/>
    </row>
    <row r="19">
      <c r="A19" s="73"/>
      <c r="B19" s="73"/>
      <c r="C19" s="118">
        <v>7.7000224568E10</v>
      </c>
      <c r="D19" s="103" t="str">
        <f t="array" ref="D19">XLOOKUP(C19,'Master Data'!C:C,'Master Data'!D:D)</f>
        <v>Kharadi</v>
      </c>
      <c r="E19" s="117">
        <v>46207.0</v>
      </c>
      <c r="F19" s="105" t="str">
        <f t="array" ref="F19">XLOOKUP(C19,'Master Data'!C:C,'Master Data'!D:D)</f>
        <v>Kharadi</v>
      </c>
      <c r="G19" s="90" t="str">
        <f t="array" ref="G19">XLOOKUP(C19,'Master Data'!C:C,'Master Data'!E:E)</f>
        <v>Jayshree Brahme</v>
      </c>
      <c r="H19" s="88">
        <f t="array" ref="H19">XLOOKUP(C19,'Master Data'!C:C,'Master Data'!F:F)</f>
        <v>13</v>
      </c>
      <c r="I19" s="72" t="str">
        <f t="array" ref="I19">XLOOKUP(C19,'Master Data'!C:C,'Master Data'!G:G)</f>
        <v/>
      </c>
      <c r="J19" s="72" t="str">
        <f t="array" ref="J19">XLOOKUP(C19,'Master Data'!C:C,'Master Data'!H:H)</f>
        <v>All that piece and parcel of property bearing Apartment No. 612, having carpet area admeasuring 27.02 sq. mtrs., along with enclosed balcony area admeasuring 7.33 sq. mtrs. and exclusive open terrace area admeasuring 3.57 sq. mtrs., situated on the Sixth Floor, in Building “B” of the project known as “Aishwaryam Hamara Gaurav (Aishwaryam Gaurav)”, together with Single Covered Car Parking bearing No. B2-82 admeasuring 10.12 sq. mtrs., to be constructed upon the land more particularly described in Schedule II, forming part of Gat No. 94 situated at Village Chikhali, Taluka Haveli, District Pune and within the local limits of Pimpri Chinchwad Municipal Corporation.</v>
      </c>
      <c r="K19" s="106" t="s">
        <v>924</v>
      </c>
      <c r="L19" s="114" t="s">
        <v>925</v>
      </c>
      <c r="M19" s="23" t="s">
        <v>890</v>
      </c>
      <c r="N19" s="108">
        <v>2000.0</v>
      </c>
      <c r="O19" s="115">
        <v>5.05700854E8</v>
      </c>
      <c r="P19" s="64" t="s">
        <v>875</v>
      </c>
      <c r="Q19" s="113">
        <v>46238.0</v>
      </c>
      <c r="R19" s="109"/>
      <c r="S19" s="4"/>
      <c r="T19" s="4"/>
      <c r="U19" s="4"/>
      <c r="V19" s="4"/>
      <c r="W19" s="4"/>
      <c r="X19" s="4"/>
      <c r="Y19" s="4"/>
      <c r="Z19" s="4"/>
      <c r="AA19" s="4"/>
      <c r="AB19" s="4"/>
      <c r="AC19" s="4"/>
      <c r="AD19" s="4"/>
      <c r="AE19" s="4"/>
      <c r="AF19" s="4"/>
    </row>
    <row r="20">
      <c r="A20" s="64" t="s">
        <v>926</v>
      </c>
      <c r="B20" s="73"/>
      <c r="C20" s="31">
        <v>7.7000220475E10</v>
      </c>
      <c r="D20" s="103" t="str">
        <f t="array" ref="D20">XLOOKUP(C20,'Master Data'!C:C,'Master Data'!D:D)</f>
        <v>Baner</v>
      </c>
      <c r="E20" s="117">
        <v>46207.0</v>
      </c>
      <c r="F20" s="105" t="str">
        <f t="array" ref="F20">XLOOKUP(C20,'Master Data'!C:C,'Master Data'!D:D)</f>
        <v>Baner</v>
      </c>
      <c r="G20" s="90" t="str">
        <f t="array" ref="G20">XLOOKUP(C20,'Master Data'!C:C,'Master Data'!E:E)</f>
        <v>Arjun Rajendra Kudale</v>
      </c>
      <c r="H20" s="88">
        <f t="array" ref="H20">XLOOKUP(C20,'Master Data'!C:C,'Master Data'!F:F)</f>
        <v>14</v>
      </c>
      <c r="I20" s="72" t="str">
        <f t="array" ref="I20">XLOOKUP(C20,'Master Data'!C:C,'Master Data'!G:G)</f>
        <v/>
      </c>
      <c r="J20" s="72" t="str">
        <f t="array" ref="J20">XLOOKUP(C20,'Master Data'!C:C,'Master Data'!H:H)</f>
        <v>All that piece and parcel of property bearing Shop No. 2, having an area admeasuring of 19.14 sq. mtrs., i.e. 206 sq. feets., situated on the First Floor, out of the building known as "Naushad Cold Drinks", constructed on the land bearing CTS No. 1448/B, having an area admeasuring of 118.1 sq. mtrs., situated at Village – Akluj, Taluka – Malshiras, District – Solapur.</v>
      </c>
      <c r="K20" s="106" t="s">
        <v>927</v>
      </c>
      <c r="L20" s="114" t="s">
        <v>928</v>
      </c>
      <c r="M20" s="23" t="s">
        <v>890</v>
      </c>
      <c r="N20" s="108">
        <v>2000.0</v>
      </c>
      <c r="O20" s="115">
        <v>5.05700854E8</v>
      </c>
      <c r="P20" s="64" t="s">
        <v>875</v>
      </c>
      <c r="Q20" s="113">
        <v>46269.0</v>
      </c>
      <c r="R20" s="109"/>
      <c r="S20" s="4"/>
      <c r="T20" s="4"/>
      <c r="U20" s="4"/>
      <c r="V20" s="4"/>
      <c r="W20" s="4"/>
      <c r="X20" s="4"/>
      <c r="Y20" s="4"/>
      <c r="Z20" s="4"/>
      <c r="AA20" s="4"/>
      <c r="AB20" s="4"/>
      <c r="AC20" s="4"/>
      <c r="AD20" s="4"/>
      <c r="AE20" s="4"/>
      <c r="AF20" s="4"/>
    </row>
    <row r="21">
      <c r="A21" s="64" t="s">
        <v>929</v>
      </c>
      <c r="B21" s="73"/>
      <c r="C21" s="31">
        <v>7.7000204915E10</v>
      </c>
      <c r="D21" s="103" t="str">
        <f t="array" ref="D21">XLOOKUP(C21,'Master Data'!C:C,'Master Data'!D:D)</f>
        <v>Hadapsar</v>
      </c>
      <c r="E21" s="117">
        <v>46207.0</v>
      </c>
      <c r="F21" s="105" t="str">
        <f t="array" ref="F21">XLOOKUP(C21,'Master Data'!C:C,'Master Data'!D:D)</f>
        <v>Hadapsar</v>
      </c>
      <c r="G21" s="90" t="str">
        <f t="array" ref="G21">XLOOKUP(C21,'Master Data'!C:C,'Master Data'!E:E)</f>
        <v>Abhijit Vitthal Jadhav</v>
      </c>
      <c r="H21" s="88">
        <f t="array" ref="H21">XLOOKUP(C21,'Master Data'!C:C,'Master Data'!F:F)</f>
        <v>15</v>
      </c>
      <c r="I21" s="72" t="str">
        <f t="array" ref="I21">XLOOKUP(C21,'Master Data'!C:C,'Master Data'!G:G)</f>
        <v/>
      </c>
      <c r="J21" s="72" t="str">
        <f t="array" ref="J21">XLOOKUP(C21,'Master Data'!C:C,'Master Data'!H:H)</f>
        <v>All that piece and parcel of property bearing Shop No. 2, having an area admeasuring of 19.14 sq. mtrs., i.e. 206 sq. feets., situated on the First Floor, out of the building known as "Naushad Cold Drinks", constructed on the land bearing CTS No. 1448/B, having an area admeasuring of 118.1 sq. mtrs., situated at Village – Akluj, Taluka – Malshiras, District – Solapur.</v>
      </c>
      <c r="K21" s="106" t="s">
        <v>930</v>
      </c>
      <c r="L21" s="114" t="s">
        <v>931</v>
      </c>
      <c r="M21" s="23" t="s">
        <v>890</v>
      </c>
      <c r="N21" s="108">
        <v>2000.0</v>
      </c>
      <c r="O21" s="115">
        <v>5.05700854E8</v>
      </c>
      <c r="P21" s="64" t="s">
        <v>875</v>
      </c>
      <c r="Q21" s="113">
        <v>46207.0</v>
      </c>
      <c r="R21" s="109"/>
      <c r="S21" s="4"/>
      <c r="T21" s="4"/>
      <c r="U21" s="4"/>
      <c r="V21" s="4"/>
      <c r="W21" s="4"/>
      <c r="X21" s="4"/>
      <c r="Y21" s="4"/>
      <c r="Z21" s="4"/>
      <c r="AA21" s="4"/>
      <c r="AB21" s="4"/>
      <c r="AC21" s="4"/>
      <c r="AD21" s="4"/>
      <c r="AE21" s="4"/>
      <c r="AF21" s="4"/>
    </row>
    <row r="22">
      <c r="A22" s="64" t="s">
        <v>932</v>
      </c>
      <c r="B22" s="73"/>
      <c r="C22" s="31">
        <v>7.792147843E9</v>
      </c>
      <c r="D22" s="103" t="str">
        <f t="array" ref="D22">XLOOKUP(C22,'Master Data'!C:C,'Master Data'!D:D)</f>
        <v>Wakad</v>
      </c>
      <c r="E22" s="117">
        <v>46207.0</v>
      </c>
      <c r="F22" s="105" t="str">
        <f t="array" ref="F22">XLOOKUP(C22,'Master Data'!C:C,'Master Data'!D:D)</f>
        <v>Wakad</v>
      </c>
      <c r="G22" s="90" t="str">
        <f t="array" ref="G22">XLOOKUP(C22,'Master Data'!C:C,'Master Data'!E:E)</f>
        <v>Bagdaram Sakaji Prajapati</v>
      </c>
      <c r="H22" s="88">
        <f t="array" ref="H22">XLOOKUP(C22,'Master Data'!C:C,'Master Data'!F:F)</f>
        <v>16</v>
      </c>
      <c r="I22" s="72" t="str">
        <f t="array" ref="I22">XLOOKUP(C22,'Master Data'!C:C,'Master Data'!G:G)</f>
        <v/>
      </c>
      <c r="J22" s="72" t="str">
        <f t="array" ref="J22">XLOOKUP(C22,'Master Data'!C:C,'Master Data'!H:H)</f>
        <v>All that piece and parcel of the Plot bearing No. 46 (Type “D”), admeasuring 4932 Sq. Ft. (i.e. 458.20 Sq. Mtrs.), along with adjoining open space admeasuring 7240 Sq. Ft. (i.e. 672.61 Sq. Mtrs.), forming part of the scheme known as “Emirates Hills”, as per the sanctioned layout plan, constructed on the land bearing Gat Nos. 326, 337, 338, 339, 341, 344, 349, 350, 351, 354 to 369, 371, 372, 373, 380, 381 and 382 (Old Survey Nos. 13/2/1/1, 17 and 18), admeasuring in aggregate 11 Hectares 15.12 Ares (i.e. 1,11,512 Sq. Mtrs.), situated at Village Somatne, Taluka Maval, District Pune, within the jurisdiction of Sub-Registrar, Maval.</v>
      </c>
      <c r="K22" s="106" t="s">
        <v>933</v>
      </c>
      <c r="L22" s="114" t="s">
        <v>934</v>
      </c>
      <c r="M22" s="23" t="s">
        <v>890</v>
      </c>
      <c r="N22" s="108">
        <v>2000.0</v>
      </c>
      <c r="O22" s="115">
        <v>5.05700854E8</v>
      </c>
      <c r="P22" s="64" t="s">
        <v>875</v>
      </c>
      <c r="Q22" s="113">
        <v>46207.0</v>
      </c>
      <c r="R22" s="109"/>
      <c r="S22" s="4"/>
      <c r="T22" s="4"/>
      <c r="U22" s="4"/>
      <c r="V22" s="4"/>
      <c r="W22" s="4"/>
      <c r="X22" s="4"/>
      <c r="Y22" s="4"/>
      <c r="Z22" s="4"/>
      <c r="AA22" s="4"/>
      <c r="AB22" s="4"/>
      <c r="AC22" s="4"/>
      <c r="AD22" s="4"/>
      <c r="AE22" s="4"/>
      <c r="AF22" s="4"/>
    </row>
    <row r="23">
      <c r="A23" s="64" t="s">
        <v>935</v>
      </c>
      <c r="B23" s="73"/>
      <c r="C23" s="31">
        <v>7.792138311E9</v>
      </c>
      <c r="D23" s="103" t="str">
        <f t="array" ref="D23">XLOOKUP(C23,'Master Data'!C:C,'Master Data'!D:D)</f>
        <v>Wakad</v>
      </c>
      <c r="E23" s="117">
        <v>46207.0</v>
      </c>
      <c r="F23" s="105" t="str">
        <f t="array" ref="F23">XLOOKUP(C23,'Master Data'!C:C,'Master Data'!D:D)</f>
        <v>Wakad</v>
      </c>
      <c r="G23" s="90" t="str">
        <f t="array" ref="G23">XLOOKUP(C23,'Master Data'!C:C,'Master Data'!E:E)</f>
        <v>Hemant Ugale</v>
      </c>
      <c r="H23" s="88">
        <f t="array" ref="H23">XLOOKUP(C23,'Master Data'!C:C,'Master Data'!F:F)</f>
        <v>17</v>
      </c>
      <c r="I23" s="72" t="str">
        <f t="array" ref="I23">XLOOKUP(C23,'Master Data'!C:C,'Master Data'!G:G)</f>
        <v/>
      </c>
      <c r="J23" s="72" t="str">
        <f t="array" ref="J23">XLOOKUP(C23,'Master Data'!C:C,'Master Data'!H:H)</f>
        <v>All the piece and parcel of flat property bearing Flat No. 701, admeasuring 663 sq.fts; i.e. 61.593 sq. mtrs; built-up along with attached terrace admeasuring 104 sq.fts; i.e. 9.662 sq. mtrs; which flat is located on the Seventh Floor in the Building ‘B’, of the project known as Suman Shilp Phase-II along with one covered car parking admeasuring 89 sq.fts; i.e. 8.27 sq. mtrs; constructed on the entire land property, i.e. Surve No. 85/1/2, situated at Village – Dighi, Taluka – Haveli, District – Pune and within local limits of Pimpri Chinchwad Municipal Corporation, Pimpri</v>
      </c>
      <c r="K23" s="106" t="s">
        <v>936</v>
      </c>
      <c r="L23" s="114" t="s">
        <v>937</v>
      </c>
      <c r="M23" s="23" t="s">
        <v>890</v>
      </c>
      <c r="N23" s="108">
        <v>2000.0</v>
      </c>
      <c r="O23" s="115">
        <v>5.05700854E8</v>
      </c>
      <c r="P23" s="64" t="s">
        <v>875</v>
      </c>
      <c r="Q23" s="113">
        <v>46238.0</v>
      </c>
      <c r="R23" s="109"/>
      <c r="S23" s="4"/>
      <c r="T23" s="4"/>
      <c r="U23" s="4"/>
      <c r="V23" s="4"/>
      <c r="W23" s="4"/>
      <c r="X23" s="4"/>
      <c r="Y23" s="4"/>
      <c r="Z23" s="4"/>
      <c r="AA23" s="4"/>
      <c r="AB23" s="4"/>
      <c r="AC23" s="4"/>
      <c r="AD23" s="4"/>
      <c r="AE23" s="4"/>
      <c r="AF23" s="4"/>
    </row>
    <row r="24">
      <c r="A24" s="64" t="s">
        <v>938</v>
      </c>
      <c r="B24" s="73"/>
      <c r="C24" s="31">
        <v>7.7000237697E10</v>
      </c>
      <c r="D24" s="103" t="str">
        <f t="array" ref="D24">XLOOKUP(C24,'Master Data'!C:C,'Master Data'!D:D)</f>
        <v>Wakad</v>
      </c>
      <c r="E24" s="117">
        <v>46207.0</v>
      </c>
      <c r="F24" s="105" t="str">
        <f t="array" ref="F24">XLOOKUP(C24,'Master Data'!C:C,'Master Data'!D:D)</f>
        <v>Wakad</v>
      </c>
      <c r="G24" s="90" t="str">
        <f t="array" ref="G24">XLOOKUP(C24,'Master Data'!C:C,'Master Data'!E:E)</f>
        <v>Kishore Chunge</v>
      </c>
      <c r="H24" s="88">
        <f t="array" ref="H24">XLOOKUP(C24,'Master Data'!C:C,'Master Data'!F:F)</f>
        <v>18</v>
      </c>
      <c r="I24" s="72" t="str">
        <f t="array" ref="I24">XLOOKUP(C24,'Master Data'!C:C,'Master Data'!G:G)</f>
        <v/>
      </c>
      <c r="J24" s="72" t="str">
        <f t="array" ref="J24">XLOOKUP(C24,'Master Data'!C:C,'Master Data'!H:H)</f>
        <v>All that piece and parcel of Office Premises admeasuring 48.52 sq. mtrs. carpet area (equivalent to 522.08 sq. ft.) bearing No. “EMPORIUS OFFICE – 410”, situated on the 4th Floor of the building known as “NYATI EMPORIUS”, constructed on the said entire land property more particularly described above, together with the exclusive right of use of: (i) enclosed balcony/ies admeasuring 8.32 sq. mtrs. (89.52 sq. ft.), (ii) open terrace/s at eye level admeasuring 11.60 sq. mtrs. (124.82 sq. ft.), (iii) pantry admeasuring 2.81 sq. mtrs. (30.24 sq. ft.), (iv) toilet admeasuring 3.90 sq. mtrs. (41.96 sq. ft.), and (v) lobby/passage admeasuring 5.25 sq. mtrs. (56.49 sq. ft.), appurtenant thereto; along with exclusive right of use of open/covered parking space/s bearing Nos. “EMPORIUS – BP-18 &amp; 18 A (First Basement Floor)” situated in the First Basement Floor of the said building, together with all easements, rights and appurtenances attached thereto.</v>
      </c>
      <c r="K24" s="106" t="s">
        <v>939</v>
      </c>
      <c r="L24" s="114" t="s">
        <v>940</v>
      </c>
      <c r="M24" s="23" t="s">
        <v>890</v>
      </c>
      <c r="N24" s="108">
        <v>2000.0</v>
      </c>
      <c r="O24" s="115">
        <v>5.05700854E8</v>
      </c>
      <c r="P24" s="64" t="s">
        <v>875</v>
      </c>
      <c r="Q24" s="119">
        <v>46238.0</v>
      </c>
      <c r="R24" s="109"/>
      <c r="S24" s="4"/>
      <c r="T24" s="4"/>
      <c r="U24" s="4"/>
      <c r="V24" s="4"/>
      <c r="W24" s="4"/>
      <c r="X24" s="4"/>
      <c r="Y24" s="4"/>
      <c r="Z24" s="4"/>
      <c r="AA24" s="4"/>
      <c r="AB24" s="4"/>
      <c r="AC24" s="4"/>
      <c r="AD24" s="4"/>
      <c r="AE24" s="4"/>
      <c r="AF24" s="4"/>
    </row>
    <row r="25">
      <c r="A25" s="64" t="s">
        <v>941</v>
      </c>
      <c r="B25" s="73"/>
      <c r="C25" s="31">
        <v>7.700023934E10</v>
      </c>
      <c r="D25" s="103" t="str">
        <f t="array" ref="D25">XLOOKUP(C25,'Master Data'!C:C,'Master Data'!D:D)</f>
        <v>Chinchwad</v>
      </c>
      <c r="E25" s="117">
        <v>46207.0</v>
      </c>
      <c r="F25" s="105" t="str">
        <f t="array" ref="F25">XLOOKUP(C25,'Master Data'!C:C,'Master Data'!D:D)</f>
        <v>Chinchwad</v>
      </c>
      <c r="G25" s="90" t="str">
        <f t="array" ref="G25">XLOOKUP(C25,'Master Data'!C:C,'Master Data'!E:E)</f>
        <v>Santosh Shankar Pawar</v>
      </c>
      <c r="H25" s="88">
        <f t="array" ref="H25">XLOOKUP(C25,'Master Data'!C:C,'Master Data'!F:F)</f>
        <v>19</v>
      </c>
      <c r="I25" s="72" t="str">
        <f t="array" ref="I25">XLOOKUP(C25,'Master Data'!C:C,'Master Data'!G:G)</f>
        <v/>
      </c>
      <c r="J25" s="72" t="str">
        <f t="array" ref="J25">XLOOKUP(C25,'Master Data'!C:C,'Master Data'!H:H)</f>
        <v>All that piece and parcel of property bearing Flat No. 71, having an area admeasuring of 350 sq. feets., i.e. 32.53 sq. mtrs., situated on the Third Floor, out of the society known as "Amar Baug Co-Operative Housing Society Limited", constructed on the land bearing Survey No. 11/1, 11/2A, having corresponding CTS No. 4200 (Part), situated at Village – Hadapsar, Taluka – Haveli, District – Pune and within local limits of Pune Municipal Corporaiton, Pune.</v>
      </c>
      <c r="K25" s="106" t="s">
        <v>942</v>
      </c>
      <c r="L25" s="114" t="s">
        <v>943</v>
      </c>
      <c r="M25" s="23" t="s">
        <v>890</v>
      </c>
      <c r="N25" s="108">
        <v>2000.0</v>
      </c>
      <c r="O25" s="115">
        <v>5.05700854E8</v>
      </c>
      <c r="P25" s="64" t="s">
        <v>875</v>
      </c>
      <c r="Q25" s="104" t="s">
        <v>944</v>
      </c>
      <c r="R25" s="109"/>
      <c r="S25" s="4"/>
      <c r="T25" s="4"/>
      <c r="U25" s="4"/>
      <c r="V25" s="4"/>
      <c r="W25" s="4"/>
      <c r="X25" s="4"/>
      <c r="Y25" s="4"/>
      <c r="Z25" s="4"/>
      <c r="AA25" s="4"/>
      <c r="AB25" s="4"/>
      <c r="AC25" s="4"/>
      <c r="AD25" s="4"/>
      <c r="AE25" s="4"/>
      <c r="AF25" s="4"/>
    </row>
    <row r="26">
      <c r="A26" s="64" t="s">
        <v>945</v>
      </c>
      <c r="B26" s="73"/>
      <c r="C26" s="118">
        <v>7.7000193216E10</v>
      </c>
      <c r="D26" s="103" t="str">
        <f t="array" ref="D26">XLOOKUP(C26,'Master Data'!C:C,'Master Data'!D:D)</f>
        <v>Chinchwad</v>
      </c>
      <c r="E26" s="117">
        <v>46207.0</v>
      </c>
      <c r="F26" s="105" t="str">
        <f t="array" ref="F26">XLOOKUP(C26,'Master Data'!C:C,'Master Data'!D:D)</f>
        <v>Chinchwad</v>
      </c>
      <c r="G26" s="90" t="str">
        <f t="array" ref="G26">XLOOKUP(C26,'Master Data'!C:C,'Master Data'!E:E)</f>
        <v>Rahees Ansari</v>
      </c>
      <c r="H26" s="88">
        <f t="array" ref="H26">XLOOKUP(C26,'Master Data'!C:C,'Master Data'!F:F)</f>
        <v>20</v>
      </c>
      <c r="I26" s="72" t="str">
        <f t="array" ref="I26">XLOOKUP(C26,'Master Data'!C:C,'Master Data'!G:G)</f>
        <v/>
      </c>
      <c r="J26" s="72" t="str">
        <f t="array" ref="J26">XLOOKUP(C26,'Master Data'!C:C,'Master Data'!H:H)</f>
        <v>All that piece and parcel of property bearing CTS No. 3947, having an area admeasuring of 29.50 sq. mtrs., and the construction of residential building constructed thereon, situated at Village – Akurdi, Taluka – Haveli, District – Pune and within local limits of Pimpri Chinchwad Municipal Corporation, Pimpri and which is bounded as under.- On or towards the East : By the building known as Parvati Nandan, On or towards the West : By Road, On or towards the North : By the property of Mr. Shaikh, On or towards the South : By the property of Mr. Nagarkar.</v>
      </c>
      <c r="K26" s="106" t="s">
        <v>946</v>
      </c>
      <c r="L26" s="114" t="s">
        <v>947</v>
      </c>
      <c r="M26" s="23" t="s">
        <v>890</v>
      </c>
      <c r="N26" s="108">
        <v>2000.0</v>
      </c>
      <c r="O26" s="115">
        <v>5.05700854E8</v>
      </c>
      <c r="P26" s="64" t="s">
        <v>875</v>
      </c>
      <c r="Q26" s="104" t="s">
        <v>944</v>
      </c>
      <c r="R26" s="109"/>
      <c r="S26" s="4"/>
      <c r="T26" s="4"/>
      <c r="U26" s="4"/>
      <c r="V26" s="4"/>
      <c r="W26" s="4"/>
      <c r="X26" s="4"/>
      <c r="Y26" s="4"/>
      <c r="Z26" s="4"/>
      <c r="AA26" s="4"/>
      <c r="AB26" s="4"/>
      <c r="AC26" s="4"/>
      <c r="AD26" s="4"/>
      <c r="AE26" s="4"/>
      <c r="AF26" s="4"/>
    </row>
    <row r="27">
      <c r="A27" s="64" t="s">
        <v>948</v>
      </c>
      <c r="B27" s="73"/>
      <c r="C27" s="118">
        <v>7.7000232708E10</v>
      </c>
      <c r="D27" s="103" t="str">
        <f t="array" ref="D27">XLOOKUP(C27,'Master Data'!C:C,'Master Data'!D:D)</f>
        <v>Main</v>
      </c>
      <c r="E27" s="117">
        <v>46207.0</v>
      </c>
      <c r="F27" s="105" t="str">
        <f t="array" ref="F27">XLOOKUP(C27,'Master Data'!C:C,'Master Data'!D:D)</f>
        <v>Main</v>
      </c>
      <c r="G27" s="90" t="str">
        <f t="array" ref="G27">XLOOKUP(C27,'Master Data'!C:C,'Master Data'!E:E)</f>
        <v>Dhanraj Naval Patil</v>
      </c>
      <c r="H27" s="88">
        <f t="array" ref="H27">XLOOKUP(C27,'Master Data'!C:C,'Master Data'!F:F)</f>
        <v>21</v>
      </c>
      <c r="I27" s="72" t="str">
        <f t="array" ref="I27">XLOOKUP(C27,'Master Data'!C:C,'Master Data'!G:G)</f>
        <v/>
      </c>
      <c r="J27" s="72" t="str">
        <f t="array" ref="J27">XLOOKUP(C27,'Master Data'!C:C,'Master Data'!H:H)</f>
        <v>All that piece and parcel of property bearing Flat No. 302 on Third floor admeasuring about 490 Sq.fts. i.e. 45.53 Sq. mtrs. (Built-up) (Inclusive area of Balconies), along with Covered Car parking 100 Sq.fts. i.e. 9.29 Sq.mtrs. in building known as “ ROYAL RESIDENCY” which has been constructed on the entire land proeprty, i.e. Survey No. 76, Hissa No. 4/2, having Plot No. 16 &amp; 17 Village Ravet Taluka Haveli Dist. Pune, within the limits of Pimpri Chinchwad Municipal Corporation, Pimpri.</v>
      </c>
      <c r="K27" s="106" t="s">
        <v>949</v>
      </c>
      <c r="L27" s="114" t="s">
        <v>950</v>
      </c>
      <c r="M27" s="23" t="s">
        <v>890</v>
      </c>
      <c r="N27" s="108">
        <v>2000.0</v>
      </c>
      <c r="O27" s="115">
        <v>5.05700854E8</v>
      </c>
      <c r="P27" s="64" t="s">
        <v>875</v>
      </c>
      <c r="Q27" s="113">
        <v>46238.0</v>
      </c>
      <c r="R27" s="109"/>
      <c r="S27" s="4"/>
      <c r="T27" s="4"/>
      <c r="U27" s="4"/>
      <c r="V27" s="4"/>
      <c r="W27" s="4"/>
      <c r="X27" s="4"/>
      <c r="Y27" s="4"/>
      <c r="Z27" s="4"/>
      <c r="AA27" s="4"/>
      <c r="AB27" s="4"/>
      <c r="AC27" s="4"/>
      <c r="AD27" s="4"/>
      <c r="AE27" s="4"/>
      <c r="AF27" s="4"/>
    </row>
    <row r="28">
      <c r="A28" s="73"/>
      <c r="B28" s="73"/>
      <c r="C28" s="31">
        <v>7.7000209073E10</v>
      </c>
      <c r="D28" s="103" t="str">
        <f t="array" ref="D28">XLOOKUP(C28,'Master Data'!C:C,'Master Data'!D:D)</f>
        <v>Main</v>
      </c>
      <c r="E28" s="117">
        <v>46207.0</v>
      </c>
      <c r="F28" s="105" t="str">
        <f t="array" ref="F28">XLOOKUP(C28,'Master Data'!C:C,'Master Data'!D:D)</f>
        <v>Main</v>
      </c>
      <c r="G28" s="90" t="str">
        <f t="array" ref="G28">XLOOKUP(C28,'Master Data'!C:C,'Master Data'!E:E)</f>
        <v>Chaitanya Netke</v>
      </c>
      <c r="H28" s="88">
        <f t="array" ref="H28">XLOOKUP(C28,'Master Data'!C:C,'Master Data'!F:F)</f>
        <v>22</v>
      </c>
      <c r="I28" s="72" t="str">
        <f t="array" ref="I28">XLOOKUP(C28,'Master Data'!C:C,'Master Data'!G:G)</f>
        <v/>
      </c>
      <c r="J28" s="72" t="str">
        <f t="array" ref="J28">XLOOKUP(C28,'Master Data'!C:C,'Master Data'!H:H)</f>
        <v>All that piece and parcel of property bearing Flat No. 9, having an area admeasuring of 766 sq. feets., i.e. 71.18 sq. mtrs., (built-up), Third Floor, out of the project known as “Santkrupa Plaza”, constructed on the entire land property, i.e. Plot No. 8, carved out of Survey No. 71, Hissa No. 1+2/207, situated at Village – Sangavi, Taluka – Haveli, District – Pune and within local limits of Pimpri Chinchwad Municipal Corporation, Pimpri.</v>
      </c>
      <c r="K28" s="106" t="s">
        <v>951</v>
      </c>
      <c r="L28" s="114" t="s">
        <v>952</v>
      </c>
      <c r="M28" s="23" t="s">
        <v>890</v>
      </c>
      <c r="N28" s="108">
        <v>2000.0</v>
      </c>
      <c r="O28" s="115">
        <v>5.05700854E8</v>
      </c>
      <c r="P28" s="64" t="s">
        <v>875</v>
      </c>
      <c r="Q28" s="113">
        <v>46238.0</v>
      </c>
      <c r="R28" s="109"/>
      <c r="S28" s="4"/>
      <c r="T28" s="4"/>
      <c r="U28" s="4"/>
      <c r="V28" s="4"/>
      <c r="W28" s="4"/>
      <c r="X28" s="4"/>
      <c r="Y28" s="4"/>
      <c r="Z28" s="4"/>
      <c r="AA28" s="4"/>
      <c r="AB28" s="4"/>
      <c r="AC28" s="4"/>
      <c r="AD28" s="4"/>
      <c r="AE28" s="4"/>
      <c r="AF28" s="4"/>
    </row>
    <row r="29">
      <c r="A29" s="64" t="s">
        <v>953</v>
      </c>
      <c r="B29" s="73"/>
      <c r="C29" s="118">
        <v>7.7000225368E10</v>
      </c>
      <c r="D29" s="103" t="str">
        <f t="array" ref="D29">XLOOKUP(C29,'Master Data'!C:C,'Master Data'!D:D)</f>
        <v>kolahpur</v>
      </c>
      <c r="E29" s="117">
        <v>46238.0</v>
      </c>
      <c r="F29" s="105" t="str">
        <f t="array" ref="F29">XLOOKUP(C29,'Master Data'!C:C,'Master Data'!D:D)</f>
        <v>kolahpur</v>
      </c>
      <c r="G29" s="90" t="str">
        <f t="array" ref="G29">XLOOKUP(C29,'Master Data'!C:C,'Master Data'!E:E)</f>
        <v>Sunil Maruti Patil</v>
      </c>
      <c r="H29" s="88">
        <f t="array" ref="H29">XLOOKUP(C29,'Master Data'!C:C,'Master Data'!F:F)</f>
        <v>23</v>
      </c>
      <c r="I29" s="72" t="str">
        <f t="array" ref="I29">XLOOKUP(C29,'Master Data'!C:C,'Master Data'!G:G)</f>
        <v/>
      </c>
      <c r="J29" s="72" t="str">
        <f t="array" ref="J29">XLOOKUP(C29,'Master Data'!C:C,'Master Data'!H:H)</f>
        <v>All that piece and parcel of property bearing Flat No. S-206, having carpet area admeasuring of 47.96 sq. mtrs., together with common area admeasuring of 1.39 sq. mtrs., i.e. total carpet area admeasuring of 49.35 sq. mtrs., i.e. total salabe area admeasuring of 64.16 sq. mtrs., situated on the Second Floor, out of the project known as "Naik Kharude Heights", constructed on the entire land property bearing Gat No. 32, situated at Village – Ajara, Taluka – Ajara, District – Kolhapur</v>
      </c>
      <c r="K29" s="106" t="s">
        <v>954</v>
      </c>
      <c r="L29" s="114" t="s">
        <v>955</v>
      </c>
      <c r="M29" s="23" t="s">
        <v>890</v>
      </c>
      <c r="N29" s="108">
        <v>2000.0</v>
      </c>
      <c r="O29" s="115">
        <v>5.05700854E8</v>
      </c>
      <c r="P29" s="64" t="s">
        <v>875</v>
      </c>
      <c r="Q29" s="104" t="s">
        <v>944</v>
      </c>
      <c r="R29" s="109"/>
      <c r="S29" s="4"/>
      <c r="T29" s="4"/>
      <c r="U29" s="4"/>
      <c r="V29" s="4"/>
      <c r="W29" s="4"/>
      <c r="X29" s="4"/>
      <c r="Y29" s="4"/>
      <c r="Z29" s="4"/>
      <c r="AA29" s="4"/>
      <c r="AB29" s="4"/>
      <c r="AC29" s="4"/>
      <c r="AD29" s="4"/>
      <c r="AE29" s="4"/>
      <c r="AF29" s="4"/>
    </row>
    <row r="30">
      <c r="A30" s="64" t="s">
        <v>956</v>
      </c>
      <c r="B30" s="73"/>
      <c r="C30" s="118">
        <v>7.7000216706E10</v>
      </c>
      <c r="D30" s="103" t="str">
        <f t="array" ref="D30">XLOOKUP(C30,'Master Data'!C:C,'Master Data'!D:D)</f>
        <v>KHARADI</v>
      </c>
      <c r="E30" s="117">
        <v>46238.0</v>
      </c>
      <c r="F30" s="105" t="str">
        <f t="array" ref="F30">XLOOKUP(C30,'Master Data'!C:C,'Master Data'!D:D)</f>
        <v>KHARADI</v>
      </c>
      <c r="G30" s="90" t="str">
        <f t="array" ref="G30">XLOOKUP(C30,'Master Data'!C:C,'Master Data'!E:E)</f>
        <v>Monika Bhosle( only VET)</v>
      </c>
      <c r="H30" s="88">
        <f t="array" ref="H30">XLOOKUP(C30,'Master Data'!C:C,'Master Data'!F:F)</f>
        <v>24</v>
      </c>
      <c r="I30" s="72" t="str">
        <f t="array" ref="I30">XLOOKUP(C30,'Master Data'!C:C,'Master Data'!G:G)</f>
        <v/>
      </c>
      <c r="J30" s="72" t="str">
        <f t="array" ref="J30">XLOOKUP(C30,'Master Data'!C:C,'Master Data'!H:H)</f>
        <v>All that piece and parcel of property bearing Flat No. B-2/102, having carpet area admeasuring of 415 sq. Feet i.e. 38.55 sq. Mtrs., i.e. built-up area admeasuring of 540 sq. Feets., i.e. 50.16 sq. Mtrs., situated on the First Floor, out of the in building known as "Nirzar" and Wing No. "B-2", out of the project known as "Eco Gram", and out of the society known as "Eco Gram Nirzar B1, B2, B3 Co-Operative Housing Society Limited", constructed on the land bearing Gat No. 1123, 1124, and 1240/1, situated at Village – Shikrapur, Taluka – Shirur, District – Pune2. All that piece and parcel of property bearing Flat No. B-2/101, having carpet area admeasuring of 415 sq. Feet i.e. 38.55 sq. Mtrs., i.e. built-up area admeasuring of 540 sq. Feets., i.e. 50.16 sq. Mtrs., situated on the First Floor, out of the in building known as "Nirzar" and Wing No. "B-2", out of the project known as "Eco Gram", and out of the society known as "Eco Gram Nirzar B1, B2, B3 Co-Operative Housing Society Limited", constructed on the land bearing Gat No. 1123, 1124, and 1240/1, situated at Village – Shikrapur, Taluka – Shirur, District – Pune..</v>
      </c>
      <c r="K30" s="106" t="s">
        <v>957</v>
      </c>
      <c r="L30" s="114" t="s">
        <v>958</v>
      </c>
      <c r="M30" s="92"/>
      <c r="N30" s="92"/>
      <c r="O30" s="120"/>
      <c r="P30" s="64" t="s">
        <v>875</v>
      </c>
      <c r="Q30" s="113">
        <v>46269.0</v>
      </c>
      <c r="R30" s="109"/>
      <c r="S30" s="4"/>
      <c r="T30" s="4"/>
      <c r="U30" s="4"/>
      <c r="V30" s="4"/>
      <c r="W30" s="4"/>
      <c r="X30" s="4"/>
      <c r="Y30" s="4"/>
      <c r="Z30" s="4"/>
      <c r="AA30" s="4"/>
      <c r="AB30" s="4"/>
      <c r="AC30" s="4"/>
      <c r="AD30" s="4"/>
      <c r="AE30" s="4"/>
      <c r="AF30" s="4"/>
    </row>
    <row r="31">
      <c r="A31" s="73"/>
      <c r="B31" s="73"/>
      <c r="C31" s="118">
        <v>7.700023527E10</v>
      </c>
      <c r="D31" s="103" t="str">
        <f t="array" ref="D31">XLOOKUP(C31,'Master Data'!C:C,'Master Data'!D:D)</f>
        <v>KHARADI</v>
      </c>
      <c r="E31" s="117">
        <v>46238.0</v>
      </c>
      <c r="F31" s="105" t="str">
        <f t="array" ref="F31">XLOOKUP(C31,'Master Data'!C:C,'Master Data'!D:D)</f>
        <v>KHARADI</v>
      </c>
      <c r="G31" s="90" t="str">
        <f t="array" ref="G31">XLOOKUP(C31,'Master Data'!C:C,'Master Data'!E:E)</f>
        <v>Bharat Wable( only VET)</v>
      </c>
      <c r="H31" s="88">
        <f t="array" ref="H31">XLOOKUP(C31,'Master Data'!C:C,'Master Data'!F:F)</f>
        <v>25</v>
      </c>
      <c r="I31" s="72" t="str">
        <f t="array" ref="I31">XLOOKUP(C31,'Master Data'!C:C,'Master Data'!G:G)</f>
        <v/>
      </c>
      <c r="J31" s="72" t="str">
        <f t="array" ref="J31">XLOOKUP(C31,'Master Data'!C:C,'Master Data'!H:H)</f>
        <v>All that piece and parcel of the residential tenement bearing Flat No. EWS-3-9-907, situated on the 9th Floor in Building No. EWS-3, admeasuring 29.04 Sq. Mtrs. carpet area along with balcony admeasuring 2.22 Sq. Mtrs., constructed in the housing project known as “648 EWS (Pradhan Mantri Awas Yojana) Phase-02”, developed by Maharashtra Housing and Area Development Authority (MHADA), Pune Housing and Area Development Board, on the land bearing Gat No. 44 (Part), 49 (Part), 129 (Part), 130/1/A (Part), 130/1/B, 130/2, 130/3 (Part) and 130/4 (Part), situated at Village Mhalunge (Ingale), Taluka Khed, District Pune.</v>
      </c>
      <c r="K31" s="106" t="s">
        <v>959</v>
      </c>
      <c r="L31" s="121"/>
      <c r="M31" s="122"/>
      <c r="N31" s="122"/>
      <c r="O31" s="120"/>
      <c r="P31" s="64" t="s">
        <v>875</v>
      </c>
      <c r="Q31" s="113">
        <v>46238.0</v>
      </c>
      <c r="R31" s="109"/>
      <c r="S31" s="4"/>
      <c r="T31" s="4"/>
      <c r="U31" s="4"/>
      <c r="V31" s="4"/>
      <c r="W31" s="4"/>
      <c r="X31" s="4"/>
      <c r="Y31" s="4"/>
      <c r="Z31" s="4"/>
      <c r="AA31" s="4"/>
      <c r="AB31" s="4"/>
      <c r="AC31" s="4"/>
      <c r="AD31" s="4"/>
      <c r="AE31" s="4"/>
      <c r="AF31" s="4"/>
    </row>
    <row r="32">
      <c r="A32" s="64" t="s">
        <v>960</v>
      </c>
      <c r="B32" s="73"/>
      <c r="C32" s="31">
        <v>7.7000218336E10</v>
      </c>
      <c r="D32" s="103" t="str">
        <f t="array" ref="D32">XLOOKUP(C32,'Master Data'!C:C,'Master Data'!D:D)</f>
        <v>Vishrantwadi</v>
      </c>
      <c r="E32" s="117">
        <v>46238.0</v>
      </c>
      <c r="F32" s="105" t="str">
        <f t="array" ref="F32">XLOOKUP(C32,'Master Data'!C:C,'Master Data'!D:D)</f>
        <v>Vishrantwadi</v>
      </c>
      <c r="G32" s="90" t="str">
        <f t="array" ref="G32">XLOOKUP(C32,'Master Data'!C:C,'Master Data'!E:E)</f>
        <v>Ripusudan Sharma</v>
      </c>
      <c r="H32" s="88">
        <f t="array" ref="H32">XLOOKUP(C32,'Master Data'!C:C,'Master Data'!F:F)</f>
        <v>26</v>
      </c>
      <c r="I32" s="72" t="str">
        <f t="array" ref="I32">XLOOKUP(C32,'Master Data'!C:C,'Master Data'!G:G)</f>
        <v/>
      </c>
      <c r="J32" s="72" t="str">
        <f t="array" ref="J32">XLOOKUP(C32,'Master Data'!C:C,'Master Data'!H:H)</f>
        <v>All that piece and parcel of Flat No. 807, having a carpet area admeasuring 376.31 Sq. Ft. (34.96 Sq.Mtrs.) along with balcony and open terrace carpet area admeasuring 39.72 Sq. Ft. (3.69 Sq. Mtrs.), together with car parking, situated on the Eighth Floor, in Wing/Building No. “A”, out of the project known as “Abhiman Homes”, constructed on land bearing Gat No. 8 admeasuring 05 H 47 R (out of which 05 H 43.5 R), Gat No. 12 admeasuring 00 H 62 R, Gat No. 16 admeasuring 00 H 13 R, Gat No. 18 admeasuring 00 H 27 R, Gat No. 19 admeasuring 00 H 42 R and Gat No. 20 admeasuring 00 H 86 R, aggregating to a total area of 07 H 73.5 R, situated at Village Shirgaon, Taluka – Maval, District – Pune.</v>
      </c>
      <c r="K32" s="106"/>
      <c r="L32" s="121"/>
      <c r="M32" s="122"/>
      <c r="N32" s="122"/>
      <c r="O32" s="120"/>
      <c r="P32" s="64" t="s">
        <v>875</v>
      </c>
      <c r="Q32" s="113">
        <v>46238.0</v>
      </c>
      <c r="R32" s="109"/>
      <c r="S32" s="4"/>
      <c r="T32" s="4"/>
      <c r="U32" s="4"/>
      <c r="V32" s="4"/>
      <c r="W32" s="4"/>
      <c r="X32" s="4"/>
      <c r="Y32" s="4"/>
      <c r="Z32" s="4"/>
      <c r="AA32" s="4"/>
      <c r="AB32" s="4"/>
      <c r="AC32" s="4"/>
      <c r="AD32" s="4"/>
      <c r="AE32" s="4"/>
      <c r="AF32" s="4"/>
    </row>
    <row r="33">
      <c r="A33" s="64" t="s">
        <v>961</v>
      </c>
      <c r="B33" s="73"/>
      <c r="C33" s="31">
        <v>7.792144895E9</v>
      </c>
      <c r="D33" s="103" t="str">
        <f t="array" ref="D33">XLOOKUP(C33,'Master Data'!C:C,'Master Data'!D:D)</f>
        <v>Wakad</v>
      </c>
      <c r="E33" s="117">
        <v>46238.0</v>
      </c>
      <c r="F33" s="105" t="str">
        <f t="array" ref="F33">XLOOKUP(C33,'Master Data'!C:C,'Master Data'!D:D)</f>
        <v>Wakad</v>
      </c>
      <c r="G33" s="90" t="str">
        <f t="array" ref="G33">XLOOKUP(C33,'Master Data'!C:C,'Master Data'!E:E)</f>
        <v>Kiran Kondhalkar</v>
      </c>
      <c r="H33" s="88">
        <f t="array" ref="H33">XLOOKUP(C33,'Master Data'!C:C,'Master Data'!F:F)</f>
        <v>27</v>
      </c>
      <c r="I33" s="72" t="str">
        <f t="array" ref="I33">XLOOKUP(C33,'Master Data'!C:C,'Master Data'!G:G)</f>
        <v/>
      </c>
      <c r="J33" s="72" t="str">
        <f t="array" ref="J33">XLOOKUP(C33,'Master Data'!C:C,'Master Data'!H:H)</f>
        <v>All that piece and parcel of Flat No. 10 (2 BHK), admeasuring 52.53 Sq. Mtrs. carpet area + 2.79 Sq. Mtrs. terrace area aggregating to 69.17 Sq. Mtrs. along with proportionate common area, on the Second Floor, and one car parking, out of the project/builder known as “Muktai Building (C Building)” in the project Godavari Puram – Phase II constructed on Plot Nos. 27 &amp; 28, Sector No. 6 at Village Moshi Pradhikaran, Taluka Haveli, District Pune bearing PCMC Property No. 1120402528.00 and Electricity Consumer No. 170140485562, together with all common rights and amenities.</v>
      </c>
      <c r="K33" s="106" t="s">
        <v>962</v>
      </c>
      <c r="L33" s="114" t="s">
        <v>963</v>
      </c>
      <c r="M33" s="23" t="s">
        <v>964</v>
      </c>
      <c r="N33" s="108">
        <v>2000.0</v>
      </c>
      <c r="O33" s="123">
        <v>3.67620154E8</v>
      </c>
      <c r="P33" s="64" t="s">
        <v>875</v>
      </c>
      <c r="Q33" s="113">
        <v>46299.0</v>
      </c>
      <c r="R33" s="109"/>
      <c r="S33" s="4"/>
      <c r="T33" s="4"/>
      <c r="U33" s="4"/>
      <c r="V33" s="4"/>
      <c r="W33" s="4"/>
      <c r="X33" s="4"/>
      <c r="Y33" s="4"/>
      <c r="Z33" s="4"/>
      <c r="AA33" s="4"/>
      <c r="AB33" s="4"/>
      <c r="AC33" s="4"/>
      <c r="AD33" s="4"/>
      <c r="AE33" s="4"/>
      <c r="AF33" s="4"/>
    </row>
    <row r="34">
      <c r="A34" s="64" t="s">
        <v>965</v>
      </c>
      <c r="B34" s="73"/>
      <c r="C34" s="118">
        <v>7.7000238792E10</v>
      </c>
      <c r="D34" s="103" t="str">
        <f t="array" ref="D34">XLOOKUP(C34,'Master Data'!C:C,'Master Data'!D:D)</f>
        <v>kolahpur</v>
      </c>
      <c r="E34" s="117">
        <v>46238.0</v>
      </c>
      <c r="F34" s="105" t="str">
        <f t="array" ref="F34">XLOOKUP(C34,'Master Data'!C:C,'Master Data'!D:D)</f>
        <v>kolahpur</v>
      </c>
      <c r="G34" s="90" t="str">
        <f t="array" ref="G34">XLOOKUP(C34,'Master Data'!C:C,'Master Data'!E:E)</f>
        <v>Omkar Falke</v>
      </c>
      <c r="H34" s="88">
        <f t="array" ref="H34">XLOOKUP(C34,'Master Data'!C:C,'Master Data'!F:F)</f>
        <v>28</v>
      </c>
      <c r="I34" s="72" t="str">
        <f t="array" ref="I34">XLOOKUP(C34,'Master Data'!C:C,'Master Data'!G:G)</f>
        <v/>
      </c>
      <c r="J34" s="72" t="str">
        <f t="array" ref="J34">XLOOKUP(C34,'Master Data'!C:C,'Master Data'!H:H)</f>
        <v>All that piece and parcel of non-agricultural property bearing Plot No. 4, having an area admeasuring of H. 00-01.20 Ares, i.e. 120.35 sq. mtrs., i.e. 1295 sq. feets., carved out of Gat No. 439, situated at Village – Herale, Taluka – Hatkanangale, District – Kolhapur and which is bounded as under.-</v>
      </c>
      <c r="K34" s="106" t="s">
        <v>959</v>
      </c>
      <c r="L34" s="121"/>
      <c r="M34" s="122"/>
      <c r="N34" s="122"/>
      <c r="O34" s="120"/>
      <c r="P34" s="64" t="s">
        <v>875</v>
      </c>
      <c r="Q34" s="113">
        <v>46299.0</v>
      </c>
      <c r="R34" s="109"/>
      <c r="S34" s="4"/>
      <c r="T34" s="4"/>
      <c r="U34" s="4"/>
      <c r="V34" s="4"/>
      <c r="W34" s="4"/>
      <c r="X34" s="4"/>
      <c r="Y34" s="4"/>
      <c r="Z34" s="4"/>
      <c r="AA34" s="4"/>
      <c r="AB34" s="4"/>
      <c r="AC34" s="4"/>
      <c r="AD34" s="4"/>
      <c r="AE34" s="4"/>
      <c r="AF34" s="4"/>
    </row>
    <row r="35">
      <c r="A35" s="64" t="s">
        <v>966</v>
      </c>
      <c r="B35" s="73"/>
      <c r="C35" s="31">
        <v>7.7000235288E10</v>
      </c>
      <c r="D35" s="103" t="str">
        <f t="array" ref="D35">XLOOKUP(C35,'Master Data'!C:C,'Master Data'!D:D)</f>
        <v>Chinchvad</v>
      </c>
      <c r="E35" s="117">
        <v>46238.0</v>
      </c>
      <c r="F35" s="105" t="str">
        <f t="array" ref="F35">XLOOKUP(C35,'Master Data'!C:C,'Master Data'!D:D)</f>
        <v>Chinchvad</v>
      </c>
      <c r="G35" s="90" t="str">
        <f t="array" ref="G35">XLOOKUP(C35,'Master Data'!C:C,'Master Data'!E:E)</f>
        <v>Ramdas Jambhulkar</v>
      </c>
      <c r="H35" s="88">
        <f t="array" ref="H35">XLOOKUP(C35,'Master Data'!C:C,'Master Data'!F:F)</f>
        <v>29</v>
      </c>
      <c r="I35" s="72" t="str">
        <f t="array" ref="I35">XLOOKUP(C35,'Master Data'!C:C,'Master Data'!G:G)</f>
        <v/>
      </c>
      <c r="J35" s="72" t="str">
        <f t="array" ref="J35">XLOOKUP(C35,'Master Data'!C:C,'Master Data'!H:H)</f>
        <v>All that piece and parcel of Flat No. 501, having Carpet Area admeasuring 177.54 Sq. Mtrs. (i.e. 1911 Sq. Ft.), together with exclusive usage rights of 2 Car Parking Spaces admeasuring 11.00 Sq. Mtrs. each, situated on the Fifth Floor of Tower No. 10 in the project known as “Blue Ridge Township”, constructed on the land bearing Survey Nos. 124/1, 124/2, 125/1, 125/2, 156/1, 156/2, 156/3, 161/1, 161/2, 162, 163/1A, 163/1B, 163/1C, 164/1, 164/2, 165/1 and 165/2 falling under User Zone No. R- 2 (after amalgamation forming consolidated Survey Nos. 119 (Part) to 125 plus 154 (Part) to 160 plus 160/2 to 171 plus 173 Plot No. 1), admeasuring in aggregate 55,329 Sq. Mtrs., forming part of the approved Special Township Scheme known as “Blue Ridge Township”, out of which Residential Project “B Land” admeasuring 22,573.09 Sq. Mtrs., situated at Village Hinjawadi, Taluka Mulshi, District Pune</v>
      </c>
      <c r="K35" s="106" t="s">
        <v>967</v>
      </c>
      <c r="L35" s="114" t="s">
        <v>968</v>
      </c>
      <c r="M35" s="23" t="s">
        <v>964</v>
      </c>
      <c r="N35" s="108">
        <v>2000.0</v>
      </c>
      <c r="O35" s="123">
        <v>3.67620154E8</v>
      </c>
      <c r="P35" s="64" t="s">
        <v>875</v>
      </c>
      <c r="Q35" s="113">
        <v>46269.0</v>
      </c>
      <c r="R35" s="109"/>
      <c r="S35" s="4"/>
      <c r="T35" s="4"/>
      <c r="U35" s="4"/>
      <c r="V35" s="4"/>
      <c r="W35" s="4"/>
      <c r="X35" s="4"/>
      <c r="Y35" s="4"/>
      <c r="Z35" s="4"/>
      <c r="AA35" s="4"/>
      <c r="AB35" s="4"/>
      <c r="AC35" s="4"/>
      <c r="AD35" s="4"/>
      <c r="AE35" s="4"/>
      <c r="AF35" s="4"/>
    </row>
    <row r="36">
      <c r="A36" s="64" t="s">
        <v>969</v>
      </c>
      <c r="B36" s="73"/>
      <c r="C36" s="31" t="s">
        <v>297</v>
      </c>
      <c r="D36" s="103" t="str">
        <f t="array" ref="D36">XLOOKUP(C36,'Master Data'!C:C,'Master Data'!D:D)</f>
        <v>Chinchvad</v>
      </c>
      <c r="E36" s="117">
        <v>46238.0</v>
      </c>
      <c r="F36" s="105" t="str">
        <f t="array" ref="F36">XLOOKUP(C36,'Master Data'!C:C,'Master Data'!D:D)</f>
        <v>Chinchvad</v>
      </c>
      <c r="G36" s="90" t="str">
        <f t="array" ref="G36">XLOOKUP(C36,'Master Data'!C:C,'Master Data'!E:E)</f>
        <v>Aman Sayyad</v>
      </c>
      <c r="H36" s="88">
        <f t="array" ref="H36">XLOOKUP(C36,'Master Data'!C:C,'Master Data'!F:F)</f>
        <v>30</v>
      </c>
      <c r="I36" s="72" t="str">
        <f t="array" ref="I36">XLOOKUP(C36,'Master Data'!C:C,'Master Data'!G:G)</f>
        <v/>
      </c>
      <c r="J36" s="72" t="str">
        <f t="array" ref="J36">XLOOKUP(C36,'Master Data'!C:C,'Master Data'!H:H)</f>
        <v>All that piece and parcel of Flat No. PRF-416 admeasuring about 55.27 Sq.Mtrs. (Built-up) along with Terrace admeasuring about 55.27 Sq.Mtrs., situated on the 4th Floor in the Building 'P' (As per PMC record Flat No. 15 Building "B") along with one car park at stilt level, situated in PARMAR RESIDENCY CO-OPERATIVE HOUSING SOCIETY LTD., situated at Survey No.16A, Hissa No.4,CTS No. 669 (part) Kondhwa Khurd,Pune within the limits, of Pune Municipal Corporation</v>
      </c>
      <c r="K36" s="106" t="s">
        <v>970</v>
      </c>
      <c r="L36" s="114" t="s">
        <v>971</v>
      </c>
      <c r="M36" s="23" t="s">
        <v>964</v>
      </c>
      <c r="N36" s="108">
        <v>2000.0</v>
      </c>
      <c r="O36" s="123">
        <v>3.67620154E8</v>
      </c>
      <c r="P36" s="64" t="s">
        <v>875</v>
      </c>
      <c r="Q36" s="113">
        <v>46269.0</v>
      </c>
      <c r="R36" s="109"/>
      <c r="S36" s="4"/>
      <c r="T36" s="4"/>
      <c r="U36" s="4"/>
      <c r="V36" s="4"/>
      <c r="W36" s="4"/>
      <c r="X36" s="4"/>
      <c r="Y36" s="4"/>
      <c r="Z36" s="4"/>
      <c r="AA36" s="4"/>
      <c r="AB36" s="4"/>
      <c r="AC36" s="4"/>
      <c r="AD36" s="4"/>
      <c r="AE36" s="4"/>
      <c r="AF36" s="4"/>
    </row>
    <row r="37">
      <c r="A37" s="64" t="s">
        <v>972</v>
      </c>
      <c r="B37" s="73"/>
      <c r="C37" s="118">
        <v>7.7000232703E10</v>
      </c>
      <c r="D37" s="103" t="str">
        <f t="array" ref="D37">XLOOKUP(C37,'Master Data'!C:C,'Master Data'!D:D)</f>
        <v>Chinchwad</v>
      </c>
      <c r="E37" s="117">
        <v>46269.0</v>
      </c>
      <c r="F37" s="105" t="str">
        <f t="array" ref="F37">XLOOKUP(C37,'Master Data'!C:C,'Master Data'!D:D)</f>
        <v>Chinchwad</v>
      </c>
      <c r="G37" s="90" t="str">
        <f t="array" ref="G37">XLOOKUP(C37,'Master Data'!C:C,'Master Data'!E:E)</f>
        <v>Anesh Mahadev Bhokare</v>
      </c>
      <c r="H37" s="88">
        <f t="array" ref="H37">XLOOKUP(C37,'Master Data'!C:C,'Master Data'!F:F)</f>
        <v>31</v>
      </c>
      <c r="I37" s="72" t="str">
        <f t="array" ref="I37">XLOOKUP(C37,'Master Data'!C:C,'Master Data'!G:G)</f>
        <v/>
      </c>
      <c r="J37" s="72" t="str">
        <f t="array" ref="J37">XLOOKUP(C37,'Master Data'!C:C,'Master Data'!H:H)</f>
        <v>All that piece and parcel of property bearing Flat No. 305, having an area admeasuring of 558 sq.</v>
      </c>
      <c r="K37" s="121"/>
      <c r="L37" s="121"/>
      <c r="M37" s="122"/>
      <c r="N37" s="122"/>
      <c r="O37" s="120"/>
      <c r="P37" s="64" t="s">
        <v>875</v>
      </c>
      <c r="Q37" s="113">
        <v>46177.0</v>
      </c>
      <c r="R37" s="109"/>
      <c r="S37" s="4"/>
      <c r="T37" s="4"/>
      <c r="U37" s="4"/>
      <c r="V37" s="4"/>
      <c r="W37" s="4"/>
      <c r="X37" s="4"/>
      <c r="Y37" s="4"/>
      <c r="Z37" s="4"/>
      <c r="AA37" s="4"/>
      <c r="AB37" s="4"/>
      <c r="AC37" s="4"/>
      <c r="AD37" s="4"/>
      <c r="AE37" s="4"/>
      <c r="AF37" s="4"/>
    </row>
    <row r="38">
      <c r="A38" s="124" t="s">
        <v>973</v>
      </c>
      <c r="B38" s="112"/>
      <c r="C38" s="31">
        <v>7.7000222013E10</v>
      </c>
      <c r="D38" s="103" t="str">
        <f t="array" ref="D38">XLOOKUP(C38,'Master Data'!C:C,'Master Data'!D:D)</f>
        <v>Kharadi</v>
      </c>
      <c r="E38" s="117">
        <v>46269.0</v>
      </c>
      <c r="F38" s="105" t="str">
        <f t="array" ref="F38">XLOOKUP(C38,'Master Data'!C:C,'Master Data'!D:D)</f>
        <v>Kharadi</v>
      </c>
      <c r="G38" s="90" t="str">
        <f t="array" ref="G38">XLOOKUP(C38,'Master Data'!C:C,'Master Data'!E:E)</f>
        <v>Arjunsingh Dhaliwal</v>
      </c>
      <c r="H38" s="88">
        <f t="array" ref="H38">XLOOKUP(C38,'Master Data'!C:C,'Master Data'!F:F)</f>
        <v>32</v>
      </c>
      <c r="I38" s="72" t="str">
        <f t="array" ref="I38">XLOOKUP(C38,'Master Data'!C:C,'Master Data'!G:G)</f>
        <v/>
      </c>
      <c r="J38" s="72" t="str">
        <f t="array" ref="J38">XLOOKUP(C38,'Master Data'!C:C,'Master Data'!H:H)</f>
        <v>All that piece and parcel of property bearing Flat No. 305, having an area admeasuring of 558 sq.</v>
      </c>
      <c r="K38" s="106" t="s">
        <v>974</v>
      </c>
      <c r="L38" s="114" t="s">
        <v>975</v>
      </c>
      <c r="M38" s="23" t="s">
        <v>964</v>
      </c>
      <c r="N38" s="108">
        <v>2000.0</v>
      </c>
      <c r="O38" s="123">
        <v>3.67620154E8</v>
      </c>
      <c r="P38" s="64" t="s">
        <v>875</v>
      </c>
      <c r="Q38" s="113">
        <v>46269.0</v>
      </c>
      <c r="R38" s="109"/>
      <c r="S38" s="4"/>
      <c r="T38" s="4"/>
      <c r="U38" s="4"/>
      <c r="V38" s="4"/>
      <c r="W38" s="4"/>
      <c r="X38" s="4"/>
      <c r="Y38" s="4"/>
      <c r="Z38" s="4"/>
      <c r="AA38" s="4"/>
      <c r="AB38" s="4"/>
      <c r="AC38" s="4"/>
      <c r="AD38" s="4"/>
      <c r="AE38" s="4"/>
      <c r="AF38" s="4"/>
    </row>
    <row r="39">
      <c r="A39" s="124" t="s">
        <v>976</v>
      </c>
      <c r="B39" s="112"/>
      <c r="C39" s="31">
        <v>7.7000225251E10</v>
      </c>
      <c r="D39" s="103" t="str">
        <f t="array" ref="D39">XLOOKUP(C39,'Master Data'!C:C,'Master Data'!D:D)</f>
        <v>Hadapsar</v>
      </c>
      <c r="E39" s="117">
        <v>46269.0</v>
      </c>
      <c r="F39" s="105" t="str">
        <f t="array" ref="F39">XLOOKUP(C39,'Master Data'!C:C,'Master Data'!D:D)</f>
        <v>Hadapsar</v>
      </c>
      <c r="G39" s="90" t="str">
        <f t="array" ref="G39">XLOOKUP(C39,'Master Data'!C:C,'Master Data'!E:E)</f>
        <v>Bhagwat tukaram Satav</v>
      </c>
      <c r="H39" s="88">
        <f t="array" ref="H39">XLOOKUP(C39,'Master Data'!C:C,'Master Data'!F:F)</f>
        <v>33</v>
      </c>
      <c r="I39" s="72" t="str">
        <f t="array" ref="I39">XLOOKUP(C39,'Master Data'!C:C,'Master Data'!G:G)</f>
        <v/>
      </c>
      <c r="J39" s="72" t="str">
        <f t="array" ref="J39">XLOOKUP(C39,'Master Data'!C:C,'Master Data'!H:H)</f>
        <v>All that piece and parcel of property bearing Flat No. B-404, having an area admeasuring 559 sq. ft., i.e. 51.95 sq. mtrs., situated on the Fourth Floor, in B Wing, in the building known as “Samruddhi Residency”, constructed on the land bearing Plot No. 38A admeasuring 428 sq. mtrs. and Plot No. 38B admeasuring 200 sq. mtrs. + 316 sq. ft. i.e. 29.36 sq. mtrs., aggregating to total area 657.36 sq. mtrs., out of Gat No. 575/2, situated at Village – Kadamwakvasti, Taluka – Haveli</v>
      </c>
      <c r="K39" s="106" t="s">
        <v>977</v>
      </c>
      <c r="L39" s="114" t="s">
        <v>978</v>
      </c>
      <c r="M39" s="23" t="s">
        <v>964</v>
      </c>
      <c r="N39" s="108">
        <v>2000.0</v>
      </c>
      <c r="O39" s="123">
        <v>3.67620154E8</v>
      </c>
      <c r="P39" s="64" t="s">
        <v>875</v>
      </c>
      <c r="Q39" s="113">
        <v>46299.0</v>
      </c>
      <c r="R39" s="109"/>
      <c r="S39" s="4"/>
      <c r="T39" s="4"/>
      <c r="U39" s="4"/>
      <c r="V39" s="4"/>
      <c r="W39" s="4"/>
      <c r="X39" s="4"/>
      <c r="Y39" s="4"/>
      <c r="Z39" s="4"/>
      <c r="AA39" s="4"/>
      <c r="AB39" s="4"/>
      <c r="AC39" s="4"/>
      <c r="AD39" s="4"/>
      <c r="AE39" s="4"/>
      <c r="AF39" s="4"/>
    </row>
    <row r="40">
      <c r="A40" s="124" t="s">
        <v>979</v>
      </c>
      <c r="B40" s="112"/>
      <c r="C40" s="31">
        <v>7.7000186882E10</v>
      </c>
      <c r="D40" s="103" t="str">
        <f t="array" ref="D40">XLOOKUP(C40,'Master Data'!C:C,'Master Data'!D:D)</f>
        <v>Hadapsar</v>
      </c>
      <c r="E40" s="117">
        <v>46269.0</v>
      </c>
      <c r="F40" s="105" t="str">
        <f t="array" ref="F40">XLOOKUP(C40,'Master Data'!C:C,'Master Data'!D:D)</f>
        <v>Hadapsar</v>
      </c>
      <c r="G40" s="90" t="str">
        <f t="array" ref="G40">XLOOKUP(C40,'Master Data'!C:C,'Master Data'!E:E)</f>
        <v>Babasaheb Butkar</v>
      </c>
      <c r="H40" s="88">
        <f t="array" ref="H40">XLOOKUP(C40,'Master Data'!C:C,'Master Data'!F:F)</f>
        <v>34</v>
      </c>
      <c r="I40" s="72" t="str">
        <f t="array" ref="I40">XLOOKUP(C40,'Master Data'!C:C,'Master Data'!G:G)</f>
        <v/>
      </c>
      <c r="J40" s="72" t="str">
        <f t="array" ref="J40">XLOOKUP(C40,'Master Data'!C:C,'Master Data'!H:H)</f>
        <v>All that piece and parcel of property admeasuring of H. 00-00.50 Ares i.e. 500 sq. Feets out of the land bearing Survey No. 260, Hissa No. 167, situated at Village – Phursungi, Taluka – Haveli, District – Pune and within local limits of Phursungi-Uruli Devachi Nagar Parishad.</v>
      </c>
      <c r="K40" s="106" t="s">
        <v>980</v>
      </c>
      <c r="L40" s="114" t="s">
        <v>981</v>
      </c>
      <c r="M40" s="23" t="s">
        <v>964</v>
      </c>
      <c r="N40" s="108">
        <v>2000.0</v>
      </c>
      <c r="O40" s="123">
        <v>3.67620154E8</v>
      </c>
      <c r="P40" s="64" t="s">
        <v>875</v>
      </c>
      <c r="Q40" s="113">
        <v>46299.0</v>
      </c>
      <c r="R40" s="109"/>
      <c r="S40" s="4"/>
      <c r="T40" s="4"/>
      <c r="U40" s="4"/>
      <c r="V40" s="4"/>
      <c r="W40" s="4"/>
      <c r="X40" s="4"/>
      <c r="Y40" s="4"/>
      <c r="Z40" s="4"/>
      <c r="AA40" s="4"/>
      <c r="AB40" s="4"/>
      <c r="AC40" s="4"/>
      <c r="AD40" s="4"/>
      <c r="AE40" s="4"/>
      <c r="AF40" s="4"/>
    </row>
    <row r="41">
      <c r="A41" s="124" t="s">
        <v>982</v>
      </c>
      <c r="B41" s="112"/>
      <c r="C41" s="31">
        <v>7.7000241623E10</v>
      </c>
      <c r="D41" s="103" t="str">
        <f t="array" ref="D41">XLOOKUP(C41,'Master Data'!C:C,'Master Data'!D:D)</f>
        <v>Hadapsar</v>
      </c>
      <c r="E41" s="117">
        <v>46269.0</v>
      </c>
      <c r="F41" s="105" t="str">
        <f t="array" ref="F41">XLOOKUP(C41,'Master Data'!C:C,'Master Data'!D:D)</f>
        <v>Hadapsar</v>
      </c>
      <c r="G41" s="90" t="str">
        <f t="array" ref="G41">XLOOKUP(C41,'Master Data'!C:C,'Master Data'!E:E)</f>
        <v>Indrabhan Shinde</v>
      </c>
      <c r="H41" s="88">
        <f t="array" ref="H41">XLOOKUP(C41,'Master Data'!C:C,'Master Data'!F:F)</f>
        <v>35</v>
      </c>
      <c r="I41" s="72" t="str">
        <f t="array" ref="I41">XLOOKUP(C41,'Master Data'!C:C,'Master Data'!G:G)</f>
        <v/>
      </c>
      <c r="J41" s="72" t="str">
        <f t="array" ref="J41">XLOOKUP(C41,'Master Data'!C:C,'Master Data'!H:H)</f>
        <v>All that piece and parcel of the Flat No. 6, having an area admeasuring of 723 Sq. Ft. i.e. 67.19 Sq. Mtrs. (Built-up Area), situated on the First Floor, along with the right to use common parking space on the ground floor, out of the building known as “Dhaval Park Apartment”, constructed on land bearing Survey No. 20, Hissa No. 1/1/53, lying, being and situated at Mouje Dighi, Taluka Haveli, District Pune and within local limits of Pimpri Chinchwad Municipal Corporation, Pimpri.</v>
      </c>
      <c r="K41" s="106" t="s">
        <v>983</v>
      </c>
      <c r="L41" s="114" t="s">
        <v>984</v>
      </c>
      <c r="M41" s="23" t="s">
        <v>964</v>
      </c>
      <c r="N41" s="108">
        <v>2000.0</v>
      </c>
      <c r="O41" s="123">
        <v>3.67620154E8</v>
      </c>
      <c r="P41" s="64" t="s">
        <v>875</v>
      </c>
      <c r="Q41" s="113">
        <v>46299.0</v>
      </c>
      <c r="R41" s="109"/>
      <c r="S41" s="4"/>
      <c r="T41" s="4"/>
      <c r="U41" s="4"/>
      <c r="V41" s="4"/>
      <c r="W41" s="4"/>
      <c r="X41" s="4"/>
      <c r="Y41" s="4"/>
      <c r="Z41" s="4"/>
      <c r="AA41" s="4"/>
      <c r="AB41" s="4"/>
      <c r="AC41" s="4"/>
      <c r="AD41" s="4"/>
      <c r="AE41" s="4"/>
      <c r="AF41" s="4"/>
    </row>
    <row r="42">
      <c r="A42" s="124" t="s">
        <v>985</v>
      </c>
      <c r="B42" s="112"/>
      <c r="C42" s="118">
        <v>7.7000181692E10</v>
      </c>
      <c r="D42" s="103" t="str">
        <f t="array" ref="D42">XLOOKUP(C42,'Master Data'!C:C,'Master Data'!D:D)</f>
        <v>Vishrantwadi</v>
      </c>
      <c r="E42" s="117">
        <v>46269.0</v>
      </c>
      <c r="F42" s="105" t="str">
        <f t="array" ref="F42">XLOOKUP(C42,'Master Data'!C:C,'Master Data'!D:D)</f>
        <v>Vishrantwadi</v>
      </c>
      <c r="G42" s="90" t="str">
        <f t="array" ref="G42">XLOOKUP(C42,'Master Data'!C:C,'Master Data'!E:E)</f>
        <v>Shankar Rambhau Margale</v>
      </c>
      <c r="H42" s="88">
        <f t="array" ref="H42">XLOOKUP(C42,'Master Data'!C:C,'Master Data'!F:F)</f>
        <v>36</v>
      </c>
      <c r="I42" s="72" t="str">
        <f t="array" ref="I42">XLOOKUP(C42,'Master Data'!C:C,'Master Data'!G:G)</f>
        <v/>
      </c>
      <c r="J42" s="72" t="str">
        <f t="array" ref="J42">XLOOKUP(C42,'Master Data'!C:C,'Master Data'!H:H)</f>
        <v>All that piece and parcel of property bearing Flat No. 802, admeasuring 68.20 Sq. Mtrs. (734 Sq. Ft.) carpet area, along with enclosed balcony, if any, and one covered car parking space admeasuring 5.50 Sq. Mtrs. (59 Sq. Ft.), being Car Parking No. 10 in the upper basement, situated on the Eighth Floor, in the building known as “Sarthk Highrich", constructed on the land bearing Survey No. 132/1/13/2/1, Plot Nos. 1 and 3, admeasuring in aggregate 00 H 29.75 Are, situated at Village – Dhayari, Taluka – Haveli, District – Pune and within the local limits of Pune Municipal Corporation.</v>
      </c>
      <c r="K42" s="106" t="s">
        <v>986</v>
      </c>
      <c r="L42" s="114" t="s">
        <v>987</v>
      </c>
      <c r="M42" s="23" t="s">
        <v>964</v>
      </c>
      <c r="N42" s="108">
        <v>2000.0</v>
      </c>
      <c r="O42" s="123">
        <v>3.67620154E8</v>
      </c>
      <c r="P42" s="64" t="s">
        <v>875</v>
      </c>
      <c r="Q42" s="113">
        <v>46299.0</v>
      </c>
      <c r="R42" s="109"/>
      <c r="S42" s="4"/>
      <c r="T42" s="4"/>
      <c r="U42" s="4"/>
      <c r="V42" s="4"/>
      <c r="W42" s="4"/>
      <c r="X42" s="4"/>
      <c r="Y42" s="4"/>
      <c r="Z42" s="4"/>
      <c r="AA42" s="4"/>
      <c r="AB42" s="4"/>
      <c r="AC42" s="4"/>
      <c r="AD42" s="4"/>
      <c r="AE42" s="4"/>
      <c r="AF42" s="4"/>
    </row>
    <row r="43">
      <c r="A43" s="124" t="s">
        <v>988</v>
      </c>
      <c r="B43" s="112"/>
      <c r="C43" s="31">
        <v>7.7000249105E10</v>
      </c>
      <c r="D43" s="103" t="str">
        <f t="array" ref="D43">XLOOKUP(C43,'Master Data'!C:C,'Master Data'!D:D)</f>
        <v>Main</v>
      </c>
      <c r="E43" s="117">
        <v>46269.0</v>
      </c>
      <c r="F43" s="105" t="str">
        <f t="array" ref="F43">XLOOKUP(C43,'Master Data'!C:C,'Master Data'!D:D)</f>
        <v>Main</v>
      </c>
      <c r="G43" s="90" t="str">
        <f t="array" ref="G43">XLOOKUP(C43,'Master Data'!C:C,'Master Data'!E:E)</f>
        <v>Mansanna Ramanna Nangi</v>
      </c>
      <c r="H43" s="88" t="s">
        <v>989</v>
      </c>
      <c r="I43" s="72" t="str">
        <f t="array" ref="I43">XLOOKUP(C43,'Master Data'!C:C,'Master Data'!G:G)</f>
        <v/>
      </c>
      <c r="J43" s="72" t="str">
        <f t="array" ref="J43">XLOOKUP(C43,'Master Data'!C:C,'Master Data'!H:H)</f>
        <v>All that piece and parcel of the residential flat bearing Flat No. 501, admeasuring carpet area 43 Sq. Mtrs., along with enclosed balcony admeasuring 13.57 Sq. Mtrs. and terrace area admeasuring 5.67 Sq. Mtrs., together with parking, situated on the Fifth Floor in the building known as “Vitthal Residency”, constructed on the land bearing Survey No. 73/1/1/2/2 and Survey No. 73/1/1/2/2/1, situated at Village Mouje Kiwale, Taluka Haveli, District Pune, and within the limits of Pimpri Chinchwad Municipal Corporation, Pimpri.</v>
      </c>
      <c r="K43" s="106" t="s">
        <v>990</v>
      </c>
      <c r="L43" s="114" t="s">
        <v>991</v>
      </c>
      <c r="M43" s="23" t="s">
        <v>964</v>
      </c>
      <c r="N43" s="108">
        <v>2000.0</v>
      </c>
      <c r="O43" s="123">
        <v>3.67620154E8</v>
      </c>
      <c r="P43" s="64" t="s">
        <v>875</v>
      </c>
      <c r="Q43" s="104" t="s">
        <v>944</v>
      </c>
      <c r="R43" s="109"/>
      <c r="S43" s="4"/>
      <c r="T43" s="4"/>
      <c r="U43" s="4"/>
      <c r="V43" s="4"/>
      <c r="W43" s="4"/>
      <c r="X43" s="4"/>
      <c r="Y43" s="4"/>
      <c r="Z43" s="4"/>
      <c r="AA43" s="4"/>
      <c r="AB43" s="4"/>
      <c r="AC43" s="4"/>
      <c r="AD43" s="4"/>
      <c r="AE43" s="4"/>
      <c r="AF43" s="4"/>
    </row>
    <row r="44" ht="18.75" customHeight="1">
      <c r="A44" s="125" t="s">
        <v>992</v>
      </c>
      <c r="B44" s="126"/>
      <c r="C44" s="31">
        <v>7.7000237872E10</v>
      </c>
      <c r="D44" s="103" t="s">
        <v>43</v>
      </c>
      <c r="E44" s="117">
        <v>46269.0</v>
      </c>
      <c r="F44" s="103" t="s">
        <v>43</v>
      </c>
      <c r="G44" s="90" t="str">
        <f t="array" ref="G44">XLOOKUP(C44,'Master Data'!C:C,'Master Data'!E:E)</f>
        <v>ARNAV VIJAY THITE</v>
      </c>
      <c r="H44" s="88">
        <f t="array" ref="H44">XLOOKUP(C44,'Master Data'!C:C,'Master Data'!F:F)</f>
        <v>38</v>
      </c>
      <c r="I44" s="72" t="str">
        <f t="array" ref="I44">XLOOKUP(C44,'Master Data'!C:C,'Master Data'!G:G)</f>
        <v/>
      </c>
      <c r="J44" s="72" t="str">
        <f t="array" ref="J44">XLOOKUP(C44,'Master Data'!C:C,'Master Data'!H:H)</f>
        <v>All that piece and parcel of property bearing Survey No. 33, Hissa No. 87 (having corresponding Old Survey No. 30), having an area admeasuring of H. 00-02 Ares, assessed at Rs. 00 – 05 Paise, together the with the construction of building having built-up area admeasurig of 179 sq. mtrs., situated at Village – Katraj, Taluka – Haveli, District – Pune and within local limits of Pune Municipal Corporation, Pune and which is bounded as under. -</v>
      </c>
      <c r="K44" s="106" t="s">
        <v>993</v>
      </c>
      <c r="L44" s="114" t="s">
        <v>994</v>
      </c>
      <c r="M44" s="23" t="s">
        <v>964</v>
      </c>
      <c r="N44" s="108">
        <v>2000.0</v>
      </c>
      <c r="O44" s="123">
        <v>3.67620154E8</v>
      </c>
      <c r="P44" s="64" t="s">
        <v>875</v>
      </c>
      <c r="Q44" s="113">
        <v>46330.0</v>
      </c>
      <c r="R44" s="127"/>
      <c r="S44" s="128"/>
      <c r="T44" s="128"/>
      <c r="U44" s="128"/>
      <c r="V44" s="128"/>
      <c r="W44" s="128"/>
      <c r="X44" s="128"/>
      <c r="Y44" s="128"/>
      <c r="Z44" s="128"/>
      <c r="AA44" s="128"/>
      <c r="AB44" s="128"/>
      <c r="AC44" s="128"/>
      <c r="AD44" s="128"/>
      <c r="AE44" s="128"/>
      <c r="AF44" s="128"/>
    </row>
    <row r="45" ht="29.25" customHeight="1">
      <c r="A45" s="126"/>
      <c r="B45" s="126"/>
      <c r="C45" s="31">
        <v>7.7000215721E10</v>
      </c>
      <c r="D45" s="103" t="str">
        <f t="array" ref="D45">XLOOKUP(C45,'Master Data'!C:C,'Master Data'!D:D)</f>
        <v>Baner</v>
      </c>
      <c r="E45" s="117">
        <v>46269.0</v>
      </c>
      <c r="F45" s="105" t="str">
        <f t="array" ref="F45">XLOOKUP(C45,'Master Data'!C:C,'Master Data'!D:D)</f>
        <v>Baner</v>
      </c>
      <c r="G45" s="90" t="str">
        <f t="array" ref="G45">XLOOKUP(C45,'Master Data'!C:C,'Master Data'!E:E)</f>
        <v>Devaram Chaudhary</v>
      </c>
      <c r="H45" s="88">
        <f t="array" ref="H45">XLOOKUP(C45,'Master Data'!C:C,'Master Data'!F:F)</f>
        <v>39</v>
      </c>
      <c r="I45" s="72" t="str">
        <f t="array" ref="I45">XLOOKUP(C45,'Master Data'!C:C,'Master Data'!G:G)</f>
        <v/>
      </c>
      <c r="J45" s="72" t="str">
        <f t="array" ref="J45">XLOOKUP(C45,'Master Data'!C:C,'Master Data'!H:H)</f>
        <v>All that piece and parcel of property bearing Flat No. 10 (As per Agreement Flat No. 9/B), having an area admeasuring of 41.15 sq. mtrs., i.e. 443 sq. feets., situated on the Ground Floor, out of the apartment constructed on the entire land property, i.e. Survey No. 9B/11 and 9B/12, situated at Village – Sangavi, Taluka – Haveli, District – Pune.</v>
      </c>
      <c r="K45" s="106" t="s">
        <v>995</v>
      </c>
      <c r="L45" s="114" t="s">
        <v>996</v>
      </c>
      <c r="M45" s="23" t="s">
        <v>964</v>
      </c>
      <c r="N45" s="108">
        <v>2000.0</v>
      </c>
      <c r="O45" s="123">
        <v>3.67620154E8</v>
      </c>
      <c r="P45" s="64" t="s">
        <v>875</v>
      </c>
      <c r="Q45" s="113">
        <v>46299.0</v>
      </c>
      <c r="R45" s="127"/>
      <c r="S45" s="128"/>
      <c r="T45" s="128"/>
      <c r="U45" s="128"/>
      <c r="V45" s="128"/>
      <c r="W45" s="128"/>
      <c r="X45" s="128"/>
      <c r="Y45" s="128"/>
      <c r="Z45" s="128"/>
      <c r="AA45" s="128"/>
      <c r="AB45" s="128"/>
      <c r="AC45" s="128"/>
      <c r="AD45" s="128"/>
      <c r="AE45" s="128"/>
      <c r="AF45" s="128"/>
    </row>
    <row r="46">
      <c r="A46" s="64" t="s">
        <v>997</v>
      </c>
      <c r="B46" s="73"/>
      <c r="C46" s="118">
        <v>7.7000237982E10</v>
      </c>
      <c r="D46" s="103" t="str">
        <f t="array" ref="D46">XLOOKUP(C46,'Master Data'!C:C,'Master Data'!D:D)</f>
        <v>Main</v>
      </c>
      <c r="E46" s="117">
        <v>46269.0</v>
      </c>
      <c r="F46" s="105" t="str">
        <f t="array" ref="F46">XLOOKUP(C46,'Master Data'!C:C,'Master Data'!D:D)</f>
        <v>Main</v>
      </c>
      <c r="G46" s="90" t="str">
        <f t="array" ref="G46">XLOOKUP(C46,'Master Data'!C:C,'Master Data'!E:E)</f>
        <v>Madhav shinde</v>
      </c>
      <c r="H46" s="88">
        <f t="array" ref="H46">XLOOKUP(C46,'Master Data'!C:C,'Master Data'!F:F)</f>
        <v>40</v>
      </c>
      <c r="I46" s="72" t="str">
        <f t="array" ref="I46">XLOOKUP(C46,'Master Data'!C:C,'Master Data'!G:G)</f>
        <v/>
      </c>
      <c r="J46" s="72" t="str">
        <f t="array" ref="J46">XLOOKUP(C46,'Master Data'!C:C,'Master Data'!H:H)</f>
        <v>All that piece and parcel of Flat No. 405, admeasuring Carpet Area 78 Sq. Mtrs., situated on the Fourth Floor in Building “A” of the project known as “Mauli Park”, constructed on the above said land bearing Gat No. 8, situated at Village – Mauje (Shindewadi), Taluka – Bhor, District – Pune.</v>
      </c>
      <c r="K46" s="106" t="s">
        <v>998</v>
      </c>
      <c r="L46" s="114" t="s">
        <v>999</v>
      </c>
      <c r="M46" s="23" t="s">
        <v>964</v>
      </c>
      <c r="N46" s="108">
        <v>2000.0</v>
      </c>
      <c r="O46" s="123">
        <v>3.67620154E8</v>
      </c>
      <c r="P46" s="64" t="s">
        <v>875</v>
      </c>
      <c r="Q46" s="113">
        <v>46330.0</v>
      </c>
      <c r="R46" s="109"/>
      <c r="S46" s="4"/>
      <c r="T46" s="4"/>
      <c r="U46" s="4"/>
      <c r="V46" s="4"/>
      <c r="W46" s="4"/>
      <c r="X46" s="4"/>
      <c r="Y46" s="4"/>
      <c r="Z46" s="4"/>
      <c r="AA46" s="4"/>
      <c r="AB46" s="4"/>
      <c r="AC46" s="4"/>
      <c r="AD46" s="4"/>
      <c r="AE46" s="4"/>
      <c r="AF46" s="4"/>
    </row>
    <row r="47">
      <c r="A47" s="73"/>
      <c r="B47" s="73"/>
      <c r="C47" s="31">
        <v>7.7000232368E10</v>
      </c>
      <c r="D47" s="103" t="str">
        <f t="array" ref="D47">XLOOKUP(C47,'Master Data'!C:C,'Master Data'!D:D)</f>
        <v>Main</v>
      </c>
      <c r="E47" s="117">
        <v>46269.0</v>
      </c>
      <c r="F47" s="105" t="str">
        <f t="array" ref="F47">XLOOKUP(C47,'Master Data'!C:C,'Master Data'!D:D)</f>
        <v>Main</v>
      </c>
      <c r="G47" s="90" t="str">
        <f t="array" ref="G47">XLOOKUP(C47,'Master Data'!C:C,'Master Data'!E:E)</f>
        <v>Manda Umesh Gujar(Prashant Makhurne)</v>
      </c>
      <c r="H47" s="88">
        <f t="array" ref="H47">XLOOKUP(C47,'Master Data'!C:C,'Master Data'!F:F)</f>
        <v>41</v>
      </c>
      <c r="I47" s="72" t="str">
        <f t="array" ref="I47">XLOOKUP(C47,'Master Data'!C:C,'Master Data'!G:G)</f>
        <v/>
      </c>
      <c r="J47" s="72" t="str">
        <f t="array" ref="J47">XLOOKUP(C47,'Master Data'!C:C,'Master Data'!H:H)</f>
        <v>Loahagaon S.No 68</v>
      </c>
      <c r="K47" s="106" t="s">
        <v>1000</v>
      </c>
      <c r="L47" s="114" t="s">
        <v>1001</v>
      </c>
      <c r="M47" s="23" t="s">
        <v>964</v>
      </c>
      <c r="N47" s="108">
        <v>2000.0</v>
      </c>
      <c r="O47" s="123">
        <v>3.67620154E8</v>
      </c>
      <c r="P47" s="64" t="s">
        <v>875</v>
      </c>
      <c r="Q47" s="113">
        <v>46330.0</v>
      </c>
      <c r="R47" s="109"/>
      <c r="S47" s="4"/>
      <c r="T47" s="4"/>
      <c r="U47" s="4"/>
      <c r="V47" s="4"/>
      <c r="W47" s="4"/>
      <c r="X47" s="4"/>
      <c r="Y47" s="4"/>
      <c r="Z47" s="4"/>
      <c r="AA47" s="4"/>
      <c r="AB47" s="4"/>
      <c r="AC47" s="4"/>
      <c r="AD47" s="4"/>
      <c r="AE47" s="4"/>
      <c r="AF47" s="4"/>
    </row>
    <row r="48">
      <c r="A48" s="73"/>
      <c r="B48" s="73"/>
      <c r="C48" s="31">
        <v>7.792150913E9</v>
      </c>
      <c r="D48" s="103" t="str">
        <f t="array" ref="D48">XLOOKUP(C48,'Master Data'!C:C,'Master Data'!D:D)</f>
        <v>Hadapsar</v>
      </c>
      <c r="E48" s="117">
        <v>46299.0</v>
      </c>
      <c r="F48" s="105" t="str">
        <f t="array" ref="F48">XLOOKUP(C48,'Master Data'!C:C,'Master Data'!D:D)</f>
        <v>Hadapsar</v>
      </c>
      <c r="G48" s="90" t="str">
        <f t="array" ref="G48">XLOOKUP(C48,'Master Data'!C:C,'Master Data'!E:E)</f>
        <v>Tejas Sunil More</v>
      </c>
      <c r="H48" s="88" t="s">
        <v>1002</v>
      </c>
      <c r="I48" s="72" t="str">
        <f t="array" ref="I48">XLOOKUP(C48,'Master Data'!C:C,'Master Data'!G:G)</f>
        <v/>
      </c>
      <c r="J48" s="72" t="str">
        <f t="array" ref="J48">XLOOKUP(C48,'Master Data'!C:C,'Master Data'!H:H)</f>
        <v>Kanishka Grand Plazza Wing A S.No.125 Hissa No.1/1 Saswad Purandar</v>
      </c>
      <c r="K48" s="106" t="s">
        <v>1003</v>
      </c>
      <c r="L48" s="114" t="s">
        <v>1004</v>
      </c>
      <c r="M48" s="23" t="s">
        <v>964</v>
      </c>
      <c r="N48" s="108">
        <v>2000.0</v>
      </c>
      <c r="O48" s="123">
        <v>3.67620154E8</v>
      </c>
      <c r="P48" s="64" t="s">
        <v>875</v>
      </c>
      <c r="Q48" s="104" t="s">
        <v>819</v>
      </c>
      <c r="R48" s="109"/>
      <c r="S48" s="4"/>
      <c r="T48" s="4"/>
      <c r="U48" s="4"/>
      <c r="V48" s="4"/>
      <c r="W48" s="4"/>
      <c r="X48" s="4"/>
      <c r="Y48" s="4"/>
      <c r="Z48" s="4"/>
      <c r="AA48" s="4"/>
      <c r="AB48" s="4"/>
      <c r="AC48" s="4"/>
      <c r="AD48" s="4"/>
      <c r="AE48" s="4"/>
      <c r="AF48" s="4"/>
    </row>
    <row r="49">
      <c r="A49" s="64" t="s">
        <v>1005</v>
      </c>
      <c r="B49" s="73"/>
      <c r="C49" s="31">
        <v>7.7000223024E10</v>
      </c>
      <c r="D49" s="103" t="str">
        <f t="array" ref="D49">XLOOKUP(C49,'Master Data'!C:C,'Master Data'!D:D)</f>
        <v>Main</v>
      </c>
      <c r="E49" s="117">
        <v>46299.0</v>
      </c>
      <c r="F49" s="105" t="str">
        <f t="array" ref="F49">XLOOKUP(C49,'Master Data'!C:C,'Master Data'!D:D)</f>
        <v>Main</v>
      </c>
      <c r="G49" s="90" t="str">
        <f t="array" ref="G49">XLOOKUP(C49,'Master Data'!C:C,'Master Data'!E:E)</f>
        <v>Pratiksha Sapkal</v>
      </c>
      <c r="H49" s="88">
        <f t="array" ref="H49">XLOOKUP(C49,'Master Data'!C:C,'Master Data'!F:F)</f>
        <v>43</v>
      </c>
      <c r="I49" s="72" t="str">
        <f t="array" ref="I49">XLOOKUP(C49,'Master Data'!C:C,'Master Data'!G:G)</f>
        <v/>
      </c>
      <c r="J49" s="72" t="str">
        <f t="array" ref="J49">XLOOKUP(C49,'Master Data'!C:C,'Master Data'!H:H)</f>
        <v>All that piece and parcel of property bearing Flat No. 4, having an area admeasuring 770 sq. feet, i.e. 71.53 sq. mtrs. built-up area, along with attached terrace area admeasuring 215 sq. feet, i.e. 19.97 sq. mtrs., and covered car parking bearing No. 4 admeasuring 130 sq. feet, i.e. 12.07 sq. mtrs., situated on the Second Floor, in the building known as “Nilkanth Apartment”, constructed on land bearing Survey No. 31/2/19, situated at Village – Pimple Gurav, Taluka – Haveli, District – Pune.</v>
      </c>
      <c r="K49" s="106" t="s">
        <v>1006</v>
      </c>
      <c r="L49" s="114" t="s">
        <v>1007</v>
      </c>
      <c r="M49" s="23" t="s">
        <v>964</v>
      </c>
      <c r="N49" s="108">
        <v>2000.0</v>
      </c>
      <c r="O49" s="123">
        <v>3.67620154E8</v>
      </c>
      <c r="P49" s="64" t="s">
        <v>875</v>
      </c>
      <c r="Q49" s="104" t="s">
        <v>944</v>
      </c>
      <c r="R49" s="109"/>
      <c r="S49" s="4"/>
      <c r="T49" s="4"/>
      <c r="U49" s="4"/>
      <c r="V49" s="4"/>
      <c r="W49" s="4"/>
      <c r="X49" s="4"/>
      <c r="Y49" s="4"/>
      <c r="Z49" s="4"/>
      <c r="AA49" s="4"/>
      <c r="AB49" s="4"/>
      <c r="AC49" s="4"/>
      <c r="AD49" s="4"/>
      <c r="AE49" s="4"/>
      <c r="AF49" s="4"/>
    </row>
    <row r="50">
      <c r="A50" s="64" t="s">
        <v>1008</v>
      </c>
      <c r="B50" s="73"/>
      <c r="C50" s="31">
        <v>7.700019168E10</v>
      </c>
      <c r="D50" s="103" t="str">
        <f t="array" ref="D50">XLOOKUP(C50,'Master Data'!C:C,'Master Data'!D:D)</f>
        <v>Chinchwad</v>
      </c>
      <c r="E50" s="117">
        <v>46299.0</v>
      </c>
      <c r="F50" s="105" t="str">
        <f t="array" ref="F50">XLOOKUP(C50,'Master Data'!C:C,'Master Data'!D:D)</f>
        <v>Chinchwad</v>
      </c>
      <c r="G50" s="90" t="str">
        <f t="array" ref="G50">XLOOKUP(C50,'Master Data'!C:C,'Master Data'!E:E)</f>
        <v>Yogesh Adhav</v>
      </c>
      <c r="H50" s="88">
        <f t="array" ref="H50">XLOOKUP(C50,'Master Data'!C:C,'Master Data'!F:F)</f>
        <v>44</v>
      </c>
      <c r="I50" s="72" t="str">
        <f t="array" ref="I50">XLOOKUP(C50,'Master Data'!C:C,'Master Data'!G:G)</f>
        <v/>
      </c>
      <c r="J50" s="72" t="str">
        <f t="array" ref="J50">XLOOKUP(C50,'Master Data'!C:C,'Master Data'!H:H)</f>
        <v>All that piece and parcel of residential unit bearing Unit No. 8, having carpet area admeasuring of</v>
      </c>
      <c r="K50" s="106" t="s">
        <v>1009</v>
      </c>
      <c r="L50" s="114" t="s">
        <v>1010</v>
      </c>
      <c r="M50" s="23" t="s">
        <v>964</v>
      </c>
      <c r="N50" s="108">
        <v>2000.0</v>
      </c>
      <c r="O50" s="123">
        <v>3.67620154E8</v>
      </c>
      <c r="P50" s="64" t="s">
        <v>875</v>
      </c>
      <c r="Q50" s="104" t="s">
        <v>944</v>
      </c>
      <c r="R50" s="109"/>
      <c r="S50" s="4"/>
      <c r="T50" s="4"/>
      <c r="U50" s="4"/>
      <c r="V50" s="4"/>
      <c r="W50" s="4"/>
      <c r="X50" s="4"/>
      <c r="Y50" s="4"/>
      <c r="Z50" s="4"/>
      <c r="AA50" s="4"/>
      <c r="AB50" s="4"/>
      <c r="AC50" s="4"/>
      <c r="AD50" s="4"/>
      <c r="AE50" s="4"/>
      <c r="AF50" s="4"/>
    </row>
    <row r="51">
      <c r="A51" s="64" t="s">
        <v>871</v>
      </c>
      <c r="B51" s="73"/>
      <c r="C51" s="31">
        <v>7.7000216379E10</v>
      </c>
      <c r="D51" s="103" t="str">
        <f t="array" ref="D51">XLOOKUP(C51,'Master Data'!C:C,'Master Data'!D:D)</f>
        <v>Baner</v>
      </c>
      <c r="E51" s="64" t="s">
        <v>944</v>
      </c>
      <c r="F51" s="105" t="str">
        <f t="array" ref="F51">XLOOKUP(C51,'Master Data'!C:C,'Master Data'!D:D)</f>
        <v>Baner</v>
      </c>
      <c r="G51" s="90" t="str">
        <f t="array" ref="G51">XLOOKUP(C51,'Master Data'!C:C,'Master Data'!E:E)</f>
        <v>Eknath Govind Pardeshi</v>
      </c>
      <c r="H51" s="88" t="str">
        <f t="array" ref="H51">XLOOKUP(C51,'Master Data'!C:C,'Master Data'!F:F)</f>
        <v>Gayatri Eknath Pardeshi</v>
      </c>
      <c r="I51" s="72" t="str">
        <f t="array" ref="I51">XLOOKUP(C51,'Master Data'!C:C,'Master Data'!G:G)</f>
        <v>Resale</v>
      </c>
      <c r="J51" s="72" t="str">
        <f t="array" ref="J51">XLOOKUP(C51,'Master Data'!C:C,'Master Data'!H:H)</f>
        <v>All that piece and parcel of proeprty bearing Flat No. A-7, having an area admeasuring of 500 sq. feets, situated ont eh Stilt Floor, out of the society known as "Gokul Park Co-Operative Housing Society Limited", constructed on the land bearing Plot No. RH-91/2, G-Block, MIDC, situated at Village - Akurdi, Taluka - Haveli, District - Pune and within local limits of Pimpri Chinchwad Municipal Corporation, Pimpri and wihtin jurisdiction of MIDC, Pimpri. </v>
      </c>
      <c r="K51" s="106" t="s">
        <v>1011</v>
      </c>
      <c r="L51" s="114" t="s">
        <v>1012</v>
      </c>
      <c r="M51" s="23" t="s">
        <v>964</v>
      </c>
      <c r="N51" s="108">
        <v>2000.0</v>
      </c>
      <c r="O51" s="123">
        <v>3.67620154E8</v>
      </c>
      <c r="P51" s="64" t="s">
        <v>875</v>
      </c>
      <c r="Q51" s="104"/>
      <c r="R51" s="109"/>
      <c r="S51" s="4"/>
      <c r="T51" s="4"/>
      <c r="U51" s="4"/>
      <c r="V51" s="4"/>
      <c r="W51" s="4"/>
      <c r="X51" s="4"/>
      <c r="Y51" s="4"/>
      <c r="Z51" s="4"/>
      <c r="AA51" s="4"/>
      <c r="AB51" s="4"/>
      <c r="AC51" s="4"/>
      <c r="AD51" s="4"/>
      <c r="AE51" s="4"/>
      <c r="AF51" s="4"/>
    </row>
    <row r="52">
      <c r="A52" s="64" t="s">
        <v>1013</v>
      </c>
      <c r="B52" s="73"/>
      <c r="C52" s="31">
        <v>7.7000241047E10</v>
      </c>
      <c r="D52" s="103" t="str">
        <f t="array" ref="D52">XLOOKUP(C52,'Master Data'!C:C,'Master Data'!D:D)</f>
        <v>Wakad</v>
      </c>
      <c r="E52" s="64" t="s">
        <v>944</v>
      </c>
      <c r="F52" s="105" t="str">
        <f t="array" ref="F52">XLOOKUP(C52,'Master Data'!C:C,'Master Data'!D:D)</f>
        <v>Wakad</v>
      </c>
      <c r="G52" s="90" t="str">
        <f t="array" ref="G52">XLOOKUP(C52,'Master Data'!C:C,'Master Data'!E:E)</f>
        <v>Ujwala Suryawanshi</v>
      </c>
      <c r="H52" s="88">
        <f t="array" ref="H52">XLOOKUP(C52,'Master Data'!C:C,'Master Data'!F:F)</f>
        <v>46</v>
      </c>
      <c r="I52" s="72" t="str">
        <f t="array" ref="I52">XLOOKUP(C52,'Master Data'!C:C,'Master Data'!G:G)</f>
        <v/>
      </c>
      <c r="J52" s="72" t="str">
        <f t="array" ref="J52">XLOOKUP(C52,'Master Data'!C:C,'Master Data'!H:H)</f>
        <v>.</v>
      </c>
      <c r="K52" s="106" t="s">
        <v>1014</v>
      </c>
      <c r="L52" s="114" t="s">
        <v>1015</v>
      </c>
      <c r="M52" s="23" t="s">
        <v>964</v>
      </c>
      <c r="N52" s="108">
        <v>2000.0</v>
      </c>
      <c r="O52" s="123">
        <v>3.67620154E8</v>
      </c>
      <c r="P52" s="64" t="s">
        <v>875</v>
      </c>
      <c r="Q52" s="104" t="s">
        <v>1016</v>
      </c>
      <c r="R52" s="109"/>
      <c r="S52" s="4"/>
      <c r="T52" s="4"/>
      <c r="U52" s="4"/>
      <c r="V52" s="4"/>
      <c r="W52" s="4"/>
      <c r="X52" s="4"/>
      <c r="Y52" s="4"/>
      <c r="Z52" s="4"/>
      <c r="AA52" s="4"/>
      <c r="AB52" s="4"/>
      <c r="AC52" s="4"/>
      <c r="AD52" s="4"/>
      <c r="AE52" s="4"/>
      <c r="AF52" s="4"/>
    </row>
    <row r="53">
      <c r="A53" s="64" t="s">
        <v>1017</v>
      </c>
      <c r="B53" s="73"/>
      <c r="C53" s="31">
        <v>7.7000232192E10</v>
      </c>
      <c r="D53" s="103" t="str">
        <f t="array" ref="D53">XLOOKUP(C53,'Master Data'!C:C,'Master Data'!D:D)</f>
        <v>Wakad</v>
      </c>
      <c r="E53" s="64" t="s">
        <v>944</v>
      </c>
      <c r="F53" s="105" t="str">
        <f t="array" ref="F53">XLOOKUP(C53,'Master Data'!C:C,'Master Data'!D:D)</f>
        <v>Wakad</v>
      </c>
      <c r="G53" s="90" t="str">
        <f t="array" ref="G53">XLOOKUP(C53,'Master Data'!C:C,'Master Data'!E:E)</f>
        <v>Nilesh Jejurkar</v>
      </c>
      <c r="H53" s="88">
        <f t="array" ref="H53">XLOOKUP(C53,'Master Data'!C:C,'Master Data'!F:F)</f>
        <v>47</v>
      </c>
      <c r="I53" s="72" t="str">
        <f t="array" ref="I53">XLOOKUP(C53,'Master Data'!C:C,'Master Data'!G:G)</f>
        <v/>
      </c>
      <c r="J53" s="72" t="str">
        <f t="array" ref="J53">XLOOKUP(C53,'Master Data'!C:C,'Master Data'!H:H)</f>
        <v>All that piece and parcel of property there upon FLAT No. 201 on Second Floor, admeasuring Carpet area 345 Sq. ft. + Attached Terrace 100 Sq.ft Together 445 Sq.ft i.e. 41.35 Sq. mtrs. in the building named “ASHWAMEDH DIGNITY”, constructed on the land bearing Survey No. 216/7, situated at Village – Baner, Taluka – Haveli, District – Pune and within local limits of Pune Municipal Corporation, Pune</v>
      </c>
      <c r="K53" s="106" t="s">
        <v>1018</v>
      </c>
      <c r="L53" s="114" t="s">
        <v>1019</v>
      </c>
      <c r="M53" s="23" t="s">
        <v>964</v>
      </c>
      <c r="N53" s="108">
        <v>2000.0</v>
      </c>
      <c r="O53" s="123">
        <v>3.67620154E8</v>
      </c>
      <c r="P53" s="64" t="s">
        <v>875</v>
      </c>
      <c r="Q53" s="104" t="s">
        <v>1016</v>
      </c>
      <c r="R53" s="109"/>
      <c r="S53" s="4"/>
      <c r="T53" s="4"/>
      <c r="U53" s="4"/>
      <c r="V53" s="4"/>
      <c r="W53" s="4"/>
      <c r="X53" s="4"/>
      <c r="Y53" s="4"/>
      <c r="Z53" s="4"/>
      <c r="AA53" s="4"/>
      <c r="AB53" s="4"/>
      <c r="AC53" s="4"/>
      <c r="AD53" s="4"/>
      <c r="AE53" s="4"/>
      <c r="AF53" s="4"/>
    </row>
    <row r="54">
      <c r="A54" s="64" t="s">
        <v>1020</v>
      </c>
      <c r="B54" s="73"/>
      <c r="C54" s="31">
        <v>7.7000241574E10</v>
      </c>
      <c r="D54" s="103" t="str">
        <f t="array" ref="D54">XLOOKUP(C54,'Master Data'!C:C,'Master Data'!D:D)</f>
        <v>Kolahpur</v>
      </c>
      <c r="E54" s="64" t="s">
        <v>1021</v>
      </c>
      <c r="F54" s="105" t="str">
        <f t="array" ref="F54">XLOOKUP(C54,'Master Data'!C:C,'Master Data'!D:D)</f>
        <v>Kolahpur</v>
      </c>
      <c r="G54" s="90" t="str">
        <f t="array" ref="G54">XLOOKUP(C54,'Master Data'!C:C,'Master Data'!E:E)</f>
        <v>Dhananjay Amrut Patil</v>
      </c>
      <c r="H54" s="88">
        <f t="array" ref="H54">XLOOKUP(C54,'Master Data'!C:C,'Master Data'!F:F)</f>
        <v>48</v>
      </c>
      <c r="I54" s="72" t="str">
        <f t="array" ref="I54">XLOOKUP(C54,'Master Data'!C:C,'Master Data'!G:G)</f>
        <v/>
      </c>
      <c r="J54" s="72" t="str">
        <f t="array" ref="J54">XLOOKUP(C54,'Master Data'!C:C,'Master Data'!H:H)</f>
        <v>All that piece and parcel of non-agricultural property bearing CTS No. 63, having an area admeasuring of 132.94 sq. mtrs., together with an existing semi-pucca structure constructed of stone, bricks and mud admeasuring approximately 1430 sq. ft., standing thereon, situated at Village – Galagale, Taluka -Kagal, District – Kolhapur and which is bounded as under.-</v>
      </c>
      <c r="K54" s="106" t="s">
        <v>1022</v>
      </c>
      <c r="L54" s="114" t="s">
        <v>1023</v>
      </c>
      <c r="M54" s="23" t="s">
        <v>964</v>
      </c>
      <c r="N54" s="108">
        <v>2000.0</v>
      </c>
      <c r="O54" s="123">
        <v>3.67620154E8</v>
      </c>
      <c r="P54" s="64" t="s">
        <v>875</v>
      </c>
      <c r="Q54" s="104"/>
      <c r="R54" s="109"/>
      <c r="S54" s="4"/>
      <c r="T54" s="4"/>
      <c r="U54" s="4"/>
      <c r="V54" s="4"/>
      <c r="W54" s="4"/>
      <c r="X54" s="4"/>
      <c r="Y54" s="4"/>
      <c r="Z54" s="4"/>
      <c r="AA54" s="4"/>
      <c r="AB54" s="4"/>
      <c r="AC54" s="4"/>
      <c r="AD54" s="4"/>
      <c r="AE54" s="4"/>
      <c r="AF54" s="4"/>
    </row>
    <row r="55">
      <c r="A55" s="64" t="s">
        <v>879</v>
      </c>
      <c r="B55" s="73"/>
      <c r="C55" s="129">
        <v>7.700024484E10</v>
      </c>
      <c r="D55" s="103" t="str">
        <f t="array" ref="D55">XLOOKUP(C55,'Master Data'!C:C,'Master Data'!D:D)</f>
        <v>Hadapsar</v>
      </c>
      <c r="E55" s="64" t="s">
        <v>1016</v>
      </c>
      <c r="F55" s="105" t="str">
        <f t="array" ref="F55">XLOOKUP(C55,'Master Data'!C:C,'Master Data'!D:D)</f>
        <v>Hadapsar</v>
      </c>
      <c r="G55" s="90" t="str">
        <f t="array" ref="G55">XLOOKUP(C55,'Master Data'!C:C,'Master Data'!E:E)</f>
        <v>Jyoti Mahadev Sandur</v>
      </c>
      <c r="H55" s="88" t="str">
        <f t="array" ref="H55">XLOOKUP(C55,'Master Data'!C:C,'Master Data'!F:F)</f>
        <v/>
      </c>
      <c r="I55" s="72" t="str">
        <f t="array" ref="I55">XLOOKUP(C55,'Master Data'!C:C,'Master Data'!G:G)</f>
        <v>Resale</v>
      </c>
      <c r="J55" s="72" t="str">
        <f t="array" ref="J55">XLOOKUP(C55,'Master Data'!C:C,'Master Data'!H:H)</f>
        <v>All that piece and parcel of the residential flat bearing Flat No. 1, admeasuring Built-up Area 530 Sq. Ft. (i.e. 49.25 Sq. Mtrs.), situated on the Ground Floor, in Wing “A” of the building known as “Shivtirth Apartment”, constructed on the entire land property bearing Survey No. 37, Hissa No. 4, situated at Village - Dhanakwadi, Taluka Haveli, District Pune, and within local limits of Pune Municipal Corporation, Pune.</v>
      </c>
      <c r="K55" s="106" t="s">
        <v>1024</v>
      </c>
      <c r="L55" s="23" t="s">
        <v>1025</v>
      </c>
      <c r="M55" s="23" t="s">
        <v>964</v>
      </c>
      <c r="N55" s="108">
        <v>2000.0</v>
      </c>
      <c r="O55" s="123">
        <v>3.67620154E8</v>
      </c>
      <c r="P55" s="64" t="s">
        <v>875</v>
      </c>
      <c r="Q55" s="104"/>
      <c r="R55" s="109"/>
      <c r="S55" s="4"/>
      <c r="T55" s="4"/>
      <c r="U55" s="4"/>
      <c r="V55" s="4"/>
      <c r="W55" s="4"/>
      <c r="X55" s="4"/>
      <c r="Y55" s="4"/>
      <c r="Z55" s="4"/>
      <c r="AA55" s="4"/>
      <c r="AB55" s="4"/>
      <c r="AC55" s="4"/>
      <c r="AD55" s="4"/>
      <c r="AE55" s="4"/>
      <c r="AF55" s="4"/>
    </row>
    <row r="56">
      <c r="A56" s="64" t="s">
        <v>882</v>
      </c>
      <c r="B56" s="73"/>
      <c r="C56" s="129">
        <v>7.792144896E9</v>
      </c>
      <c r="D56" s="103" t="str">
        <f t="array" ref="D56">XLOOKUP(C56,'Master Data'!C:C,'Master Data'!D:D)</f>
        <v>Wakad</v>
      </c>
      <c r="E56" s="64" t="s">
        <v>1026</v>
      </c>
      <c r="F56" s="105" t="str">
        <f t="array" ref="F56">XLOOKUP(C56,'Master Data'!C:C,'Master Data'!D:D)</f>
        <v>Wakad</v>
      </c>
      <c r="G56" s="90" t="str">
        <f t="array" ref="G56">XLOOKUP(C56,'Master Data'!C:C,'Master Data'!E:E)</f>
        <v>Dattatray Suresh Kalbhor</v>
      </c>
      <c r="H56" s="88" t="str">
        <f t="array" ref="H56">XLOOKUP(C56,'Master Data'!C:C,'Master Data'!F:F)</f>
        <v>Mrs. Deepali Dattatray Kalbhor</v>
      </c>
      <c r="I56" s="72" t="str">
        <f t="array" ref="I56">XLOOKUP(C56,'Master Data'!C:C,'Master Data'!G:G)</f>
        <v>Builder Purchase</v>
      </c>
      <c r="J56" s="72" t="str">
        <f t="array" ref="J56">XLOOKUP(C56,'Master Data'!C:C,'Master Data'!H:H)</f>
        <v>All that residential Apartment No. 2405 on the 24th Floor, admeasuring 55.76 Sq. Mtrs. carpet area, along with appurtenant area of 9.14 Sq. Mtrs., including attached balcony admeasuring 2.60 Sq. Mtrs., in the Building No. G, known as “Giardino” in the project known as “Puraniks Abitante Fiore, Phase 2B”, to be constructed on the aforesaid entire land property, i.e. Survey No. 233/1 to 7/235/1/235/2A/235/2B/244/2 and others, situated at Village – Bavdhan Budruk, Taluka – Mulshi, District – Pune.</v>
      </c>
      <c r="K56" s="106" t="s">
        <v>1027</v>
      </c>
      <c r="L56" s="130"/>
      <c r="M56" s="23" t="s">
        <v>964</v>
      </c>
      <c r="N56" s="108">
        <v>2000.0</v>
      </c>
      <c r="O56" s="123">
        <v>3.67620154E8</v>
      </c>
      <c r="P56" s="64" t="s">
        <v>875</v>
      </c>
      <c r="Q56" s="104"/>
      <c r="R56" s="109"/>
      <c r="S56" s="4"/>
      <c r="T56" s="4"/>
      <c r="U56" s="4"/>
      <c r="V56" s="4"/>
      <c r="W56" s="4"/>
      <c r="X56" s="4"/>
      <c r="Y56" s="4"/>
      <c r="Z56" s="4"/>
      <c r="AA56" s="4"/>
      <c r="AB56" s="4"/>
      <c r="AC56" s="4"/>
      <c r="AD56" s="4"/>
      <c r="AE56" s="4"/>
      <c r="AF56" s="4"/>
    </row>
    <row r="57">
      <c r="A57" s="64" t="s">
        <v>885</v>
      </c>
      <c r="B57" s="73"/>
      <c r="C57" s="129">
        <v>7.7000244887E10</v>
      </c>
      <c r="D57" s="103" t="str">
        <f t="array" ref="D57">XLOOKUP(C57,'Master Data'!C:C,'Master Data'!D:D)</f>
        <v>Chinchwad</v>
      </c>
      <c r="E57" s="64" t="s">
        <v>1026</v>
      </c>
      <c r="F57" s="105" t="str">
        <f t="array" ref="F57">XLOOKUP(C57,'Master Data'!C:C,'Master Data'!D:D)</f>
        <v>Chinchwad</v>
      </c>
      <c r="G57" s="90" t="str">
        <f t="array" ref="G57">XLOOKUP(C57,'Master Data'!C:C,'Master Data'!E:E)</f>
        <v>Satish Kumar Pandey</v>
      </c>
      <c r="H57" s="88" t="str">
        <f t="array" ref="H57">XLOOKUP(C57,'Master Data'!C:C,'Master Data'!F:F)</f>
        <v>Mamata Satishkumar Pandey</v>
      </c>
      <c r="I57" s="72" t="str">
        <f t="array" ref="I57">XLOOKUP(C57,'Master Data'!C:C,'Master Data'!G:G)</f>
        <v>Builder Purshases</v>
      </c>
      <c r="J57" s="72" t="str">
        <f t="array" ref="J57">XLOOKUP(C57,'Master Data'!C:C,'Master Data'!H:H)</f>
        <v>All that piece and parcel of property bearing Office No. 450, having an area admeasuring of 30.65 sq. mtrs. Situated on the 4th Floor, out of the project known as “Shakuntal Commercia”, being constructed on the entire land property, i.e. Gat No. 68, situated at Village – Chikhali, Taluka – Haveli, District – Pune and within local limits of Pimpri Chinchwad Municipal Corporation, Pimpri.</v>
      </c>
      <c r="K57" s="106" t="s">
        <v>1028</v>
      </c>
      <c r="L57" s="130"/>
      <c r="M57" s="23" t="s">
        <v>964</v>
      </c>
      <c r="N57" s="108">
        <v>2000.0</v>
      </c>
      <c r="O57" s="123">
        <v>3.67620154E8</v>
      </c>
      <c r="P57" s="64" t="s">
        <v>875</v>
      </c>
      <c r="Q57" s="104"/>
      <c r="R57" s="109"/>
      <c r="S57" s="4"/>
      <c r="T57" s="4"/>
      <c r="U57" s="4"/>
      <c r="V57" s="4"/>
      <c r="W57" s="4"/>
      <c r="X57" s="4"/>
      <c r="Y57" s="4"/>
      <c r="Z57" s="4"/>
      <c r="AA57" s="4"/>
      <c r="AB57" s="4"/>
      <c r="AC57" s="4"/>
      <c r="AD57" s="4"/>
      <c r="AE57" s="4"/>
      <c r="AF57" s="4"/>
    </row>
    <row r="58">
      <c r="A58" s="73"/>
      <c r="B58" s="73"/>
      <c r="C58" s="31">
        <v>7.7000241574E10</v>
      </c>
      <c r="D58" s="103" t="str">
        <f t="array" ref="D58">XLOOKUP(C58,'Master Data'!C:C,'Master Data'!D:D)</f>
        <v>Kolahpur</v>
      </c>
      <c r="E58" s="64" t="s">
        <v>944</v>
      </c>
      <c r="F58" s="105" t="str">
        <f t="array" ref="F58">XLOOKUP(C58,'Master Data'!C:C,'Master Data'!D:D)</f>
        <v>Kolahpur</v>
      </c>
      <c r="G58" s="90" t="str">
        <f t="array" ref="G58">XLOOKUP(C58,'Master Data'!C:C,'Master Data'!E:E)</f>
        <v>Dhananjay Amrut Patil</v>
      </c>
      <c r="H58" s="88">
        <f t="array" ref="H58">XLOOKUP(C58,'Master Data'!C:C,'Master Data'!F:F)</f>
        <v>48</v>
      </c>
      <c r="I58" s="72" t="str">
        <f t="array" ref="I58">XLOOKUP(C58,'Master Data'!C:C,'Master Data'!G:G)</f>
        <v/>
      </c>
      <c r="J58" s="72" t="str">
        <f t="array" ref="J58">XLOOKUP(C58,'Master Data'!C:C,'Master Data'!H:H)</f>
        <v>All that piece and parcel of non-agricultural property bearing CTS No. 63, having an area admeasuring of 132.94 sq. mtrs., together with an existing semi-pucca structure constructed of stone, bricks and mud admeasuring approximately 1430 sq. ft., standing thereon, situated at Village – Galagale, Taluka -Kagal, District – Kolhapur and which is bounded as under.-</v>
      </c>
      <c r="K58" s="106" t="s">
        <v>1029</v>
      </c>
      <c r="L58" s="23" t="s">
        <v>1030</v>
      </c>
      <c r="M58" s="23" t="s">
        <v>964</v>
      </c>
      <c r="N58" s="108">
        <v>2000.0</v>
      </c>
      <c r="O58" s="123">
        <v>3.67620154E8</v>
      </c>
      <c r="P58" s="64" t="s">
        <v>875</v>
      </c>
      <c r="Q58" s="104"/>
      <c r="R58" s="109"/>
      <c r="S58" s="4"/>
      <c r="T58" s="4"/>
      <c r="U58" s="4"/>
      <c r="V58" s="4"/>
      <c r="W58" s="4"/>
      <c r="X58" s="4"/>
      <c r="Y58" s="4"/>
      <c r="Z58" s="4"/>
      <c r="AA58" s="4"/>
      <c r="AB58" s="4"/>
      <c r="AC58" s="4"/>
      <c r="AD58" s="4"/>
      <c r="AE58" s="4"/>
      <c r="AF58" s="4"/>
    </row>
    <row r="59">
      <c r="A59" s="64" t="s">
        <v>1031</v>
      </c>
      <c r="B59" s="73"/>
      <c r="C59" s="31">
        <v>7.700023901E10</v>
      </c>
      <c r="D59" s="103" t="str">
        <f t="array" ref="D59">XLOOKUP(C59,'Master Data'!C:C,'Master Data'!D:D)</f>
        <v>Main</v>
      </c>
      <c r="E59" s="64" t="s">
        <v>1026</v>
      </c>
      <c r="F59" s="105" t="str">
        <f t="array" ref="F59">XLOOKUP(C59,'Master Data'!C:C,'Master Data'!D:D)</f>
        <v>Main</v>
      </c>
      <c r="G59" s="90" t="str">
        <f t="array" ref="G59">XLOOKUP(C59,'Master Data'!C:C,'Master Data'!E:E)</f>
        <v>Hadmatsingh Chauhan</v>
      </c>
      <c r="H59" s="88">
        <f t="array" ref="H59">XLOOKUP(C59,'Master Data'!C:C,'Master Data'!F:F)</f>
        <v>53</v>
      </c>
      <c r="I59" s="72" t="str">
        <f t="array" ref="I59">XLOOKUP(C59,'Master Data'!C:C,'Master Data'!G:G)</f>
        <v/>
      </c>
      <c r="J59" s="72" t="str">
        <f t="array" ref="J59">XLOOKUP(C59,'Master Data'!C:C,'Master Data'!H:H)</f>
        <v>All that piece and parcel of the residential Flat bearing No. 205, having built-up area 530 Sq. Ft. (i.e. 49.25 Sq. Mtrs.), situated on the 2nd floor, in the building known as “Siddhi Plaza”, constructed on the land bearing C.S. No. 593 admeasuring 493.62 Sq. Mtrs. and C.S. No. 594 admeasuring 199.83 Sq. Mtrs., situated at Village Ganesh Peth, Taluka – Pune City, District – Pune and within the limits of Pune Municipal Corporation, Pune.</v>
      </c>
      <c r="K59" s="106" t="s">
        <v>1032</v>
      </c>
      <c r="L59" s="23" t="s">
        <v>1033</v>
      </c>
      <c r="M59" s="23" t="s">
        <v>964</v>
      </c>
      <c r="N59" s="108">
        <v>2000.0</v>
      </c>
      <c r="O59" s="123">
        <v>3.67620154E8</v>
      </c>
      <c r="P59" s="64" t="s">
        <v>875</v>
      </c>
      <c r="Q59" s="104" t="s">
        <v>1026</v>
      </c>
      <c r="R59" s="109"/>
      <c r="S59" s="4"/>
      <c r="T59" s="4"/>
      <c r="U59" s="4"/>
      <c r="V59" s="4"/>
      <c r="W59" s="4"/>
      <c r="X59" s="4"/>
      <c r="Y59" s="4"/>
      <c r="Z59" s="4"/>
      <c r="AA59" s="4"/>
      <c r="AB59" s="4"/>
      <c r="AC59" s="4"/>
      <c r="AD59" s="4"/>
      <c r="AE59" s="4"/>
      <c r="AF59" s="4"/>
    </row>
    <row r="60">
      <c r="A60" s="64" t="s">
        <v>1034</v>
      </c>
      <c r="B60" s="73"/>
      <c r="C60" s="31">
        <v>7.800239001E9</v>
      </c>
      <c r="D60" s="103" t="str">
        <f t="array" ref="D60">XLOOKUP(C60,'Master Data'!C:C,'Master Data'!D:D)</f>
        <v>Hadapsar</v>
      </c>
      <c r="E60" s="64" t="s">
        <v>1026</v>
      </c>
      <c r="F60" s="105" t="str">
        <f t="array" ref="F60">XLOOKUP(C60,'Master Data'!C:C,'Master Data'!D:D)</f>
        <v>Hadapsar</v>
      </c>
      <c r="G60" s="90" t="str">
        <f t="array" ref="G60">XLOOKUP(C60,'Master Data'!C:C,'Master Data'!E:E)</f>
        <v>Nibin Babu john</v>
      </c>
      <c r="H60" s="88">
        <f t="array" ref="H60">XLOOKUP(C60,'Master Data'!C:C,'Master Data'!F:F)</f>
        <v>54</v>
      </c>
      <c r="I60" s="72" t="str">
        <f t="array" ref="I60">XLOOKUP(C60,'Master Data'!C:C,'Master Data'!G:G)</f>
        <v/>
      </c>
      <c r="J60" s="72" t="str">
        <f t="array" ref="J60">XLOOKUP(C60,'Master Data'!C:C,'Master Data'!H:H)</f>
        <v>All that piece and parcel of property bearing Flat No. 4, having built-up area admeasuring 840 sq. feet, i.e. 78.03 sq. mtrs., along with adjoining terrace area admeasuring 40 sq. feet, i.e. 3.71 sq. mtrs., situated on the First Floor, in Building No. E-3, out of the project known as “Citadel Phase-I Co-operative Housing Society Ltd.”, constructed on the entire land property bearing Survey No. 51/1/6, 51/1/7, 51/1/8, 67A/3, 67A/10B, 68/7, 68/8 and 68/9, having corresponding C.S. No. 701 to 713, situated at Village – Ghorpadi, Taluka – Haveli, District – Pune and within the local limits of Pune Municipal Corporation.</v>
      </c>
      <c r="K60" s="106" t="s">
        <v>1035</v>
      </c>
      <c r="L60" s="23" t="s">
        <v>1036</v>
      </c>
      <c r="M60" s="23" t="s">
        <v>964</v>
      </c>
      <c r="N60" s="108">
        <v>2000.0</v>
      </c>
      <c r="O60" s="123">
        <v>3.67620154E8</v>
      </c>
      <c r="P60" s="64" t="s">
        <v>875</v>
      </c>
      <c r="Q60" s="104" t="s">
        <v>944</v>
      </c>
      <c r="R60" s="109"/>
      <c r="S60" s="4"/>
      <c r="T60" s="4"/>
      <c r="U60" s="4"/>
      <c r="V60" s="4"/>
      <c r="W60" s="4"/>
      <c r="X60" s="4"/>
      <c r="Y60" s="4"/>
      <c r="Z60" s="4"/>
      <c r="AA60" s="4"/>
      <c r="AB60" s="4"/>
      <c r="AC60" s="4"/>
      <c r="AD60" s="4"/>
      <c r="AE60" s="4"/>
      <c r="AF60" s="4"/>
    </row>
    <row r="61">
      <c r="A61" s="64" t="s">
        <v>1037</v>
      </c>
      <c r="B61" s="73"/>
      <c r="C61" s="31">
        <v>7.7000244529E10</v>
      </c>
      <c r="D61" s="103" t="str">
        <f t="array" ref="D61">XLOOKUP(C61,'Master Data'!C:C,'Master Data'!D:D)</f>
        <v>Wakad</v>
      </c>
      <c r="E61" s="64" t="s">
        <v>1026</v>
      </c>
      <c r="F61" s="105" t="str">
        <f t="array" ref="F61">XLOOKUP(C61,'Master Data'!C:C,'Master Data'!D:D)</f>
        <v>Wakad</v>
      </c>
      <c r="G61" s="90" t="str">
        <f t="array" ref="G61">XLOOKUP(C61,'Master Data'!C:C,'Master Data'!E:E)</f>
        <v>Vivek Dhore</v>
      </c>
      <c r="H61" s="88">
        <f t="array" ref="H61">XLOOKUP(C61,'Master Data'!C:C,'Master Data'!F:F)</f>
        <v>55</v>
      </c>
      <c r="I61" s="72" t="str">
        <f t="array" ref="I61">XLOOKUP(C61,'Master Data'!C:C,'Master Data'!G:G)</f>
        <v/>
      </c>
      <c r="J61" s="72" t="str">
        <f t="array" ref="J61">XLOOKUP(C61,'Master Data'!C:C,'Master Data'!H:H)</f>
        <v>All that piece and parcel of Flat No. 101 on the First Floor admeasuring 451 sq. ft. i.e. 41.98 sq. mtrs. built-up area, in the building known as “Gargee Classic Apartment Condominium”, constructed on the entire land property, i.e. Survey No. 25, Hissa No. 1/1B/1/11, situated at Village – Pimpale Nilakh, Taluka – Haveli, District – Pune and within local limits of Pimpri Chinchwad Municipal Corporation, Pimpri.</v>
      </c>
      <c r="K61" s="106" t="s">
        <v>1038</v>
      </c>
      <c r="L61" s="23" t="s">
        <v>1039</v>
      </c>
      <c r="M61" s="23" t="s">
        <v>964</v>
      </c>
      <c r="N61" s="108">
        <v>2000.0</v>
      </c>
      <c r="O61" s="123">
        <v>3.67620154E8</v>
      </c>
      <c r="P61" s="64" t="s">
        <v>875</v>
      </c>
      <c r="Q61" s="104" t="s">
        <v>1026</v>
      </c>
      <c r="R61" s="109"/>
      <c r="S61" s="4"/>
      <c r="T61" s="4"/>
      <c r="U61" s="4"/>
      <c r="V61" s="4"/>
      <c r="W61" s="4"/>
      <c r="X61" s="4"/>
      <c r="Y61" s="4"/>
      <c r="Z61" s="4"/>
      <c r="AA61" s="4"/>
      <c r="AB61" s="4"/>
      <c r="AC61" s="4"/>
      <c r="AD61" s="4"/>
      <c r="AE61" s="4"/>
      <c r="AF61" s="4"/>
    </row>
    <row r="62">
      <c r="A62" s="64" t="s">
        <v>1037</v>
      </c>
      <c r="B62" s="73"/>
      <c r="C62" s="31">
        <v>7.700025166E10</v>
      </c>
      <c r="D62" s="103" t="str">
        <f t="array" ref="D62">XLOOKUP(C62,'Master Data'!C:C,'Master Data'!D:D)</f>
        <v>Chinchwad</v>
      </c>
      <c r="E62" s="64" t="s">
        <v>1026</v>
      </c>
      <c r="F62" s="105" t="str">
        <f t="array" ref="F62">XLOOKUP(C62,'Master Data'!C:C,'Master Data'!D:D)</f>
        <v>Chinchwad</v>
      </c>
      <c r="G62" s="90" t="str">
        <f t="array" ref="G62">XLOOKUP(C62,'Master Data'!C:C,'Master Data'!E:E)</f>
        <v>Sushil chavan</v>
      </c>
      <c r="H62" s="88">
        <f t="array" ref="H62">XLOOKUP(C62,'Master Data'!C:C,'Master Data'!F:F)</f>
        <v>56</v>
      </c>
      <c r="I62" s="72" t="str">
        <f t="array" ref="I62">XLOOKUP(C62,'Master Data'!C:C,'Master Data'!G:G)</f>
        <v/>
      </c>
      <c r="J62" s="72" t="str">
        <f t="array" ref="J62">XLOOKUP(C62,'Master Data'!C:C,'Master Data'!H:H)</f>
        <v>All that piece and parcel of Flat bearing No. 104, on First Floor, admeasuring 56.20 sq. mtrs. Carpet + Terrace 15.19 sq. mtrs., in SAI BLESSINGS CO-OP. HOUSING SOCIETY LTD., together with membership rights of the society and proportionate share in the common amenities and facilities, constructed on Survey No. 95, admeasuring 1469.29 sq. mtrs., lying and situated at Village Ravet, Tal – Haveli, Dist - Pune, within the limits of Pimpri Chinchwad Municipal Corporation, Pimpri.</v>
      </c>
      <c r="K62" s="106" t="s">
        <v>1040</v>
      </c>
      <c r="L62" s="23" t="s">
        <v>1041</v>
      </c>
      <c r="M62" s="23" t="s">
        <v>1042</v>
      </c>
      <c r="N62" s="108">
        <v>2000.0</v>
      </c>
      <c r="O62" s="115">
        <v>2.2121464E7</v>
      </c>
      <c r="P62" s="64" t="s">
        <v>875</v>
      </c>
      <c r="Q62" s="104" t="s">
        <v>1026</v>
      </c>
      <c r="R62" s="109"/>
      <c r="S62" s="4"/>
      <c r="T62" s="4"/>
      <c r="U62" s="4"/>
      <c r="V62" s="4"/>
      <c r="W62" s="4"/>
      <c r="X62" s="4"/>
      <c r="Y62" s="4"/>
      <c r="Z62" s="4"/>
      <c r="AA62" s="4"/>
      <c r="AB62" s="4"/>
      <c r="AC62" s="4"/>
      <c r="AD62" s="4"/>
      <c r="AE62" s="4"/>
      <c r="AF62" s="4"/>
    </row>
    <row r="63">
      <c r="A63" s="64" t="s">
        <v>1043</v>
      </c>
      <c r="B63" s="73"/>
      <c r="C63" s="31">
        <v>7.700022911E10</v>
      </c>
      <c r="D63" s="103" t="str">
        <f t="array" ref="D63">XLOOKUP(C63,'Master Data'!C:C,'Master Data'!D:D)</f>
        <v>Main</v>
      </c>
      <c r="E63" s="64" t="s">
        <v>1026</v>
      </c>
      <c r="F63" s="105" t="str">
        <f t="array" ref="F63">XLOOKUP(C63,'Master Data'!C:C,'Master Data'!D:D)</f>
        <v>Main</v>
      </c>
      <c r="G63" s="90" t="str">
        <f t="array" ref="G63">XLOOKUP(C63,'Master Data'!C:C,'Master Data'!E:E)</f>
        <v>Shrikant mane</v>
      </c>
      <c r="H63" s="88" t="s">
        <v>1043</v>
      </c>
      <c r="I63" s="72" t="str">
        <f t="array" ref="I63">XLOOKUP(C63,'Master Data'!C:C,'Master Data'!G:G)</f>
        <v/>
      </c>
      <c r="J63" s="72" t="str">
        <f t="array" ref="J63">XLOOKUP(C63,'Master Data'!C:C,'Master Data'!H:H)</f>
        <v>All that piece and parcel of property bearing Flat No. 9 on the Second Floor, admeasuring saleable super built-up area of about 44.14 Sq. Mtrs. (475 Sq. Ft.) along with adjoining terrace admeasuring about 7.43 Sq. Mtrs. (80 Sq. Ft.), in ‘B Wing’ of the building known as “Suyog Sagar Co-operative Housing Society Ltd.” constructed on the land bearing Survey No. 56/3/51 admeasuring 0 Hectare 10 Ares out of C.T.S. No. 1618, situated at Village Pimple Gurav, Taluka Haveli, District Pune, within the limits of Pimpri-Chinchwad Municipal Corporation</v>
      </c>
      <c r="K63" s="106" t="s">
        <v>1044</v>
      </c>
      <c r="L63" s="23" t="s">
        <v>1045</v>
      </c>
      <c r="M63" s="23" t="s">
        <v>1042</v>
      </c>
      <c r="N63" s="108">
        <v>2000.0</v>
      </c>
      <c r="O63" s="115">
        <v>2.2121464E7</v>
      </c>
      <c r="P63" s="64" t="s">
        <v>875</v>
      </c>
      <c r="Q63" s="104"/>
      <c r="R63" s="109"/>
      <c r="S63" s="4"/>
      <c r="T63" s="4"/>
      <c r="U63" s="4"/>
      <c r="V63" s="4"/>
      <c r="W63" s="4"/>
      <c r="X63" s="4"/>
      <c r="Y63" s="4"/>
      <c r="Z63" s="4"/>
      <c r="AA63" s="4"/>
      <c r="AB63" s="4"/>
      <c r="AC63" s="4"/>
      <c r="AD63" s="4"/>
      <c r="AE63" s="4"/>
      <c r="AF63" s="4"/>
    </row>
    <row r="64">
      <c r="A64" s="64" t="s">
        <v>1046</v>
      </c>
      <c r="B64" s="73"/>
      <c r="C64" s="31">
        <v>7.792141827E9</v>
      </c>
      <c r="D64" s="103" t="str">
        <f t="array" ref="D64">XLOOKUP(C64,'Master Data'!C:C,'Master Data'!D:D)</f>
        <v>Chinchwad</v>
      </c>
      <c r="E64" s="64" t="s">
        <v>814</v>
      </c>
      <c r="F64" s="105" t="str">
        <f t="array" ref="F64">XLOOKUP(C64,'Master Data'!C:C,'Master Data'!D:D)</f>
        <v>Chinchwad</v>
      </c>
      <c r="G64" s="90" t="str">
        <f t="array" ref="G64">XLOOKUP(C64,'Master Data'!C:C,'Master Data'!E:E)</f>
        <v>Rahul Shinde</v>
      </c>
      <c r="H64" s="88" t="s">
        <v>1046</v>
      </c>
      <c r="I64" s="72" t="str">
        <f t="array" ref="I64">XLOOKUP(C64,'Master Data'!C:C,'Master Data'!G:G)</f>
        <v/>
      </c>
      <c r="J64" s="72" t="str">
        <f t="array" ref="J64">XLOOKUP(C64,'Master Data'!C:C,'Master Data'!H:H)</f>
        <v>All that piece and parcel of property bearing Shop No. 6, having an area admeasuring of 235.09 sq. feets., i.e. 21.84 sq.mtrs., along with Loft area admeasuring of 101.72 sq. feets i.e. 9.45 sq.mtrs., (Carpet Area), situated on the Ground Floor, in Wing No. “A”, out of the project known as “Ganesh Siddhi”, being constructed on the entire land property i.e. Gat No. 967 and others, situated at Village – Chikhali, Taluka – Haveli, District – Pune and within local limits of Pimpri Chinchwad Municipal Corporation, Pimpri.</v>
      </c>
      <c r="K64" s="106" t="s">
        <v>1047</v>
      </c>
      <c r="L64" s="23" t="s">
        <v>1048</v>
      </c>
      <c r="M64" s="23" t="s">
        <v>1042</v>
      </c>
      <c r="N64" s="108">
        <v>2000.0</v>
      </c>
      <c r="O64" s="115">
        <v>2.2121464E7</v>
      </c>
      <c r="P64" s="64" t="s">
        <v>875</v>
      </c>
      <c r="Q64" s="104" t="s">
        <v>819</v>
      </c>
      <c r="R64" s="109"/>
      <c r="S64" s="4"/>
      <c r="T64" s="4"/>
      <c r="U64" s="4"/>
      <c r="V64" s="4"/>
      <c r="W64" s="4"/>
      <c r="X64" s="4"/>
      <c r="Y64" s="4"/>
      <c r="Z64" s="4"/>
      <c r="AA64" s="4"/>
      <c r="AB64" s="4"/>
      <c r="AC64" s="4"/>
      <c r="AD64" s="4"/>
      <c r="AE64" s="4"/>
      <c r="AF64" s="4"/>
    </row>
    <row r="65">
      <c r="A65" s="73"/>
      <c r="B65" s="73"/>
      <c r="C65" s="31">
        <v>7.7000235992E10</v>
      </c>
      <c r="D65" s="103" t="str">
        <f t="array" ref="D65">XLOOKUP(C65,'Master Data'!C:C,'Master Data'!D:D)</f>
        <v>kolahpur</v>
      </c>
      <c r="E65" s="64" t="s">
        <v>814</v>
      </c>
      <c r="F65" s="105" t="str">
        <f t="array" ref="F65">XLOOKUP(C65,'Master Data'!C:C,'Master Data'!D:D)</f>
        <v>kolahpur</v>
      </c>
      <c r="G65" s="90" t="str">
        <f t="array" ref="G65">XLOOKUP(C65,'Master Data'!C:C,'Master Data'!E:E)</f>
        <v>Prashant Dilip Pawale</v>
      </c>
      <c r="H65" s="88" t="s">
        <v>1049</v>
      </c>
      <c r="I65" s="72" t="str">
        <f t="array" ref="I65">XLOOKUP(C65,'Master Data'!C:C,'Master Data'!G:G)</f>
        <v/>
      </c>
      <c r="J65" s="72" t="str">
        <f t="array" ref="J65">XLOOKUP(C65,'Master Data'!C:C,'Master Data'!H:H)</f>
        <v/>
      </c>
      <c r="K65" s="106" t="s">
        <v>1050</v>
      </c>
      <c r="L65" s="23" t="s">
        <v>1051</v>
      </c>
      <c r="M65" s="23" t="s">
        <v>1042</v>
      </c>
      <c r="N65" s="108">
        <v>2000.0</v>
      </c>
      <c r="O65" s="115">
        <v>2.2121464E7</v>
      </c>
      <c r="P65" s="64" t="s">
        <v>587</v>
      </c>
      <c r="Q65" s="104" t="s">
        <v>1052</v>
      </c>
      <c r="R65" s="109"/>
      <c r="S65" s="4"/>
      <c r="T65" s="4"/>
      <c r="U65" s="4"/>
      <c r="V65" s="4"/>
      <c r="W65" s="4"/>
      <c r="X65" s="4"/>
      <c r="Y65" s="4"/>
      <c r="Z65" s="4"/>
      <c r="AA65" s="4"/>
      <c r="AB65" s="4"/>
      <c r="AC65" s="4"/>
      <c r="AD65" s="4"/>
      <c r="AE65" s="4"/>
      <c r="AF65" s="4"/>
    </row>
    <row r="66">
      <c r="A66" s="64" t="s">
        <v>1053</v>
      </c>
      <c r="B66" s="73"/>
      <c r="C66" s="42">
        <v>7.700023672E10</v>
      </c>
      <c r="D66" s="103" t="str">
        <f t="array" ref="D66">XLOOKUP(C66,'Master Data'!C:C,'Master Data'!D:D)</f>
        <v>Kharadi</v>
      </c>
      <c r="E66" s="104" t="s">
        <v>1052</v>
      </c>
      <c r="F66" s="105" t="str">
        <f t="array" ref="F66">XLOOKUP(C66,'Master Data'!C:C,'Master Data'!D:D)</f>
        <v>Kharadi</v>
      </c>
      <c r="G66" s="90" t="str">
        <f t="array" ref="G66">XLOOKUP(C66,'Master Data'!C:C,'Master Data'!E:E)</f>
        <v>Sonu Panchal</v>
      </c>
      <c r="H66" s="88" t="s">
        <v>1002</v>
      </c>
      <c r="I66" s="72" t="str">
        <f t="array" ref="I66">XLOOKUP(C66,'Master Data'!C:C,'Master Data'!G:G)</f>
        <v/>
      </c>
      <c r="J66" s="72" t="str">
        <f t="array" ref="J66">XLOOKUP(C66,'Master Data'!C:C,'Master Data'!H:H)</f>
        <v/>
      </c>
      <c r="K66" s="106" t="s">
        <v>1054</v>
      </c>
      <c r="L66" s="23" t="s">
        <v>1055</v>
      </c>
      <c r="M66" s="23" t="s">
        <v>1042</v>
      </c>
      <c r="N66" s="108">
        <v>2000.0</v>
      </c>
      <c r="O66" s="115">
        <v>2.2121464E7</v>
      </c>
      <c r="P66" s="64" t="s">
        <v>1056</v>
      </c>
      <c r="Q66" s="64" t="s">
        <v>829</v>
      </c>
      <c r="R66" s="109"/>
      <c r="S66" s="4"/>
      <c r="T66" s="4"/>
      <c r="U66" s="4"/>
      <c r="V66" s="4"/>
      <c r="W66" s="4"/>
      <c r="X66" s="4"/>
      <c r="Y66" s="4"/>
      <c r="Z66" s="4"/>
      <c r="AA66" s="4"/>
      <c r="AB66" s="4"/>
      <c r="AC66" s="4"/>
      <c r="AD66" s="4"/>
      <c r="AE66" s="4"/>
      <c r="AF66" s="4"/>
    </row>
    <row r="67">
      <c r="A67" s="64" t="s">
        <v>1057</v>
      </c>
      <c r="B67" s="73"/>
      <c r="C67" s="42">
        <v>7.7000205097E10</v>
      </c>
      <c r="D67" s="103" t="str">
        <f t="array" ref="D67">XLOOKUP(C67,'Master Data'!C:C,'Master Data'!D:D)</f>
        <v>Vishrantwadi</v>
      </c>
      <c r="E67" s="104" t="s">
        <v>1052</v>
      </c>
      <c r="F67" s="105" t="str">
        <f t="array" ref="F67">XLOOKUP(C67,'Master Data'!C:C,'Master Data'!D:D)</f>
        <v>Vishrantwadi</v>
      </c>
      <c r="G67" s="90" t="str">
        <f t="array" ref="G67">XLOOKUP(C67,'Master Data'!C:C,'Master Data'!E:E)</f>
        <v>Abhijit bhanudas navale</v>
      </c>
      <c r="H67" s="88" t="s">
        <v>1058</v>
      </c>
      <c r="I67" s="72" t="str">
        <f t="array" ref="I67">XLOOKUP(C67,'Master Data'!C:C,'Master Data'!G:G)</f>
        <v/>
      </c>
      <c r="J67" s="72" t="str">
        <f t="array" ref="J67">XLOOKUP(C67,'Master Data'!C:C,'Master Data'!H:H)</f>
        <v>All that piece and parcel of Flat No. 703, on 7th Floor, in Wing/Building E admeasuring Carpet Area 35.62 Square Meters with Opening Balcony 5.23 Square Meters out of restrictive common area and proportionate share in the common passage in Building called as "OVI HOMES", situated at S. No. 40/2A and 40/2B situated at Village Dehugaon, Taluka - Haveli, District – Pune</v>
      </c>
      <c r="K67" s="106" t="s">
        <v>1059</v>
      </c>
      <c r="L67" s="23" t="s">
        <v>1060</v>
      </c>
      <c r="M67" s="23" t="s">
        <v>1042</v>
      </c>
      <c r="N67" s="108">
        <v>2000.0</v>
      </c>
      <c r="O67" s="115">
        <v>2.2121464E7</v>
      </c>
      <c r="P67" s="64" t="s">
        <v>875</v>
      </c>
      <c r="Q67" s="64" t="s">
        <v>829</v>
      </c>
      <c r="R67" s="109"/>
      <c r="S67" s="4"/>
      <c r="T67" s="4"/>
      <c r="U67" s="4"/>
      <c r="V67" s="4"/>
      <c r="W67" s="4"/>
      <c r="X67" s="4"/>
      <c r="Y67" s="4"/>
      <c r="Z67" s="4"/>
      <c r="AA67" s="4"/>
      <c r="AB67" s="4"/>
      <c r="AC67" s="4"/>
      <c r="AD67" s="4"/>
      <c r="AE67" s="4"/>
      <c r="AF67" s="4"/>
    </row>
    <row r="68">
      <c r="A68" s="64" t="s">
        <v>1061</v>
      </c>
      <c r="B68" s="73"/>
      <c r="C68" s="42" t="s">
        <v>355</v>
      </c>
      <c r="D68" s="103" t="str">
        <f t="array" ref="D68">XLOOKUP(C68,'Master Data'!C:C,'Master Data'!D:D)</f>
        <v>kolahpur</v>
      </c>
      <c r="E68" s="104" t="s">
        <v>1052</v>
      </c>
      <c r="F68" s="105" t="str">
        <f t="array" ref="F68">XLOOKUP(C68,'Master Data'!C:C,'Master Data'!D:D)</f>
        <v>kolahpur</v>
      </c>
      <c r="G68" s="90" t="str">
        <f t="array" ref="G68">XLOOKUP(C68,'Master Data'!C:C,'Master Data'!E:E)</f>
        <v>Krishnat Pandurang Patil</v>
      </c>
      <c r="H68" s="88" t="s">
        <v>1061</v>
      </c>
      <c r="I68" s="72" t="str">
        <f t="array" ref="I68">XLOOKUP(C68,'Master Data'!C:C,'Master Data'!G:G)</f>
        <v/>
      </c>
      <c r="J68" s="72" t="str">
        <f t="array" ref="J68">XLOOKUP(C68,'Master Data'!C:C,'Master Data'!H:H)</f>
        <v>All that piece and parcel of property admeasuring of H. 00-02.5 Ares, out of Gat No. 1127, having an area admeasuring of H. 00-23 Ares, together with Pot-Kharab area admeasuring of H. 00-01</v>
      </c>
      <c r="K68" s="106" t="s">
        <v>1062</v>
      </c>
      <c r="L68" s="23" t="s">
        <v>1063</v>
      </c>
      <c r="M68" s="23" t="s">
        <v>1042</v>
      </c>
      <c r="N68" s="64">
        <v>2000.0</v>
      </c>
      <c r="O68" s="115">
        <v>2.2121464E7</v>
      </c>
      <c r="P68" s="64" t="s">
        <v>875</v>
      </c>
      <c r="Q68" s="64" t="s">
        <v>821</v>
      </c>
      <c r="R68" s="109"/>
      <c r="S68" s="4"/>
      <c r="T68" s="4"/>
      <c r="U68" s="4"/>
      <c r="V68" s="4"/>
      <c r="W68" s="4"/>
      <c r="X68" s="4"/>
      <c r="Y68" s="4"/>
      <c r="Z68" s="4"/>
      <c r="AA68" s="4"/>
      <c r="AB68" s="4"/>
      <c r="AC68" s="4"/>
      <c r="AD68" s="4"/>
      <c r="AE68" s="4"/>
      <c r="AF68" s="4"/>
    </row>
    <row r="69">
      <c r="A69" s="73"/>
      <c r="B69" s="73"/>
      <c r="C69" s="42" t="s">
        <v>374</v>
      </c>
      <c r="D69" s="103" t="str">
        <f t="array" ref="D69">XLOOKUP(C69,'Master Data'!C:C,'Master Data'!D:D)</f>
        <v>Deepali</v>
      </c>
      <c r="E69" s="104" t="s">
        <v>1052</v>
      </c>
      <c r="F69" s="105" t="str">
        <f t="array" ref="F69">XLOOKUP(C69,'Master Data'!C:C,'Master Data'!D:D)</f>
        <v>Deepali</v>
      </c>
      <c r="G69" s="90" t="str">
        <f t="array" ref="G69">XLOOKUP(C69,'Master Data'!C:C,'Master Data'!E:E)</f>
        <v>Krishnat Pandurang Patil</v>
      </c>
      <c r="H69" s="88" t="s">
        <v>1061</v>
      </c>
      <c r="I69" s="72" t="str">
        <f t="array" ref="I69">XLOOKUP(C69,'Master Data'!C:C,'Master Data'!G:G)</f>
        <v/>
      </c>
      <c r="J69" s="72" t="str">
        <f t="array" ref="J69">XLOOKUP(C69,'Master Data'!C:C,'Master Data'!H:H)</f>
        <v/>
      </c>
      <c r="K69" s="110" t="s">
        <v>1064</v>
      </c>
      <c r="L69" s="124" t="s">
        <v>1065</v>
      </c>
      <c r="M69" s="23" t="s">
        <v>1042</v>
      </c>
      <c r="N69" s="64">
        <v>2000.0</v>
      </c>
      <c r="O69" s="115">
        <v>2.2121464E7</v>
      </c>
      <c r="P69" s="64" t="s">
        <v>587</v>
      </c>
      <c r="Q69" s="64" t="s">
        <v>821</v>
      </c>
      <c r="R69" s="109"/>
      <c r="S69" s="4"/>
      <c r="T69" s="4"/>
      <c r="U69" s="4"/>
      <c r="V69" s="4"/>
      <c r="W69" s="4"/>
      <c r="X69" s="4"/>
      <c r="Y69" s="4"/>
      <c r="Z69" s="4"/>
      <c r="AA69" s="4"/>
      <c r="AB69" s="4"/>
      <c r="AC69" s="4"/>
      <c r="AD69" s="4"/>
      <c r="AE69" s="4"/>
      <c r="AF69" s="4"/>
    </row>
    <row r="70">
      <c r="A70" s="73"/>
      <c r="B70" s="73"/>
      <c r="C70" s="42" t="s">
        <v>375</v>
      </c>
      <c r="D70" s="103" t="str">
        <f t="array" ref="D70">XLOOKUP(C70,'Master Data'!C:C,'Master Data'!D:D)</f>
        <v>Deepali</v>
      </c>
      <c r="E70" s="104" t="s">
        <v>1052</v>
      </c>
      <c r="F70" s="105" t="str">
        <f t="array" ref="F70">XLOOKUP(C70,'Master Data'!C:C,'Master Data'!D:D)</f>
        <v>Deepali</v>
      </c>
      <c r="G70" s="90" t="str">
        <f t="array" ref="G70">XLOOKUP(C70,'Master Data'!C:C,'Master Data'!E:E)</f>
        <v>Krishnat Pandurang Patil</v>
      </c>
      <c r="H70" s="88" t="s">
        <v>1061</v>
      </c>
      <c r="I70" s="72" t="str">
        <f t="array" ref="I70">XLOOKUP(C70,'Master Data'!C:C,'Master Data'!G:G)</f>
        <v/>
      </c>
      <c r="J70" s="72" t="str">
        <f t="array" ref="J70">XLOOKUP(C70,'Master Data'!C:C,'Master Data'!H:H)</f>
        <v/>
      </c>
      <c r="K70" s="110" t="s">
        <v>1066</v>
      </c>
      <c r="L70" s="124" t="s">
        <v>1067</v>
      </c>
      <c r="M70" s="23" t="s">
        <v>1042</v>
      </c>
      <c r="N70" s="64">
        <v>2000.0</v>
      </c>
      <c r="O70" s="115">
        <v>2.2121464E7</v>
      </c>
      <c r="P70" s="64" t="s">
        <v>587</v>
      </c>
      <c r="Q70" s="64" t="s">
        <v>821</v>
      </c>
      <c r="R70" s="109"/>
      <c r="S70" s="4"/>
      <c r="T70" s="4"/>
      <c r="U70" s="4"/>
      <c r="V70" s="4"/>
      <c r="W70" s="4"/>
      <c r="X70" s="4"/>
      <c r="Y70" s="4"/>
      <c r="Z70" s="4"/>
      <c r="AA70" s="4"/>
      <c r="AB70" s="4"/>
      <c r="AC70" s="4"/>
      <c r="AD70" s="4"/>
      <c r="AE70" s="4"/>
      <c r="AF70" s="4"/>
    </row>
    <row r="71">
      <c r="A71" s="64" t="s">
        <v>1068</v>
      </c>
      <c r="B71" s="73"/>
      <c r="C71" s="129">
        <v>7.7000227674E10</v>
      </c>
      <c r="D71" s="103" t="str">
        <f t="array" ref="D71">XLOOKUP(C71,'Master Data'!C:C,'Master Data'!D:D)</f>
        <v>wakad</v>
      </c>
      <c r="E71" s="108" t="s">
        <v>1069</v>
      </c>
      <c r="F71" s="105" t="str">
        <f t="array" ref="F71">XLOOKUP(C71,'Master Data'!C:C,'Master Data'!D:D)</f>
        <v>wakad</v>
      </c>
      <c r="G71" s="90" t="str">
        <f t="array" ref="G71">XLOOKUP(C71,'Master Data'!C:C,'Master Data'!E:E)</f>
        <v>Kumar Staywel Realtors LLP Flat no = 01</v>
      </c>
      <c r="H71" s="88" t="s">
        <v>1068</v>
      </c>
      <c r="I71" s="72" t="str">
        <f t="array" ref="I71">XLOOKUP(C71,'Master Data'!C:C,'Master Data'!G:G)</f>
        <v/>
      </c>
      <c r="J71" s="72" t="str">
        <f t="array" ref="J71">XLOOKUP(C71,'Master Data'!C:C,'Master Data'!H:H)</f>
        <v/>
      </c>
      <c r="K71" s="106" t="s">
        <v>1070</v>
      </c>
      <c r="L71" s="23" t="s">
        <v>1071</v>
      </c>
      <c r="M71" s="23" t="s">
        <v>1042</v>
      </c>
      <c r="N71" s="108">
        <v>2000.0</v>
      </c>
      <c r="O71" s="115">
        <v>2.2121464E7</v>
      </c>
      <c r="P71" s="64" t="s">
        <v>875</v>
      </c>
      <c r="Q71" s="64" t="s">
        <v>824</v>
      </c>
      <c r="R71" s="109"/>
      <c r="S71" s="4"/>
      <c r="T71" s="4"/>
      <c r="U71" s="4"/>
      <c r="V71" s="4"/>
      <c r="W71" s="4"/>
      <c r="X71" s="4"/>
      <c r="Y71" s="4"/>
      <c r="Z71" s="4"/>
      <c r="AA71" s="4"/>
      <c r="AB71" s="4"/>
      <c r="AC71" s="4"/>
      <c r="AD71" s="4"/>
      <c r="AE71" s="4"/>
      <c r="AF71" s="4"/>
    </row>
    <row r="72">
      <c r="A72" s="64" t="s">
        <v>1072</v>
      </c>
      <c r="B72" s="73"/>
      <c r="C72" s="129">
        <v>7.7000242443E10</v>
      </c>
      <c r="D72" s="103" t="str">
        <f t="array" ref="D72">XLOOKUP(C72,'Master Data'!C:C,'Master Data'!D:D)</f>
        <v>wakad</v>
      </c>
      <c r="E72" s="108" t="s">
        <v>1069</v>
      </c>
      <c r="F72" s="105" t="str">
        <f t="array" ref="F72">XLOOKUP(C72,'Master Data'!C:C,'Master Data'!D:D)</f>
        <v>wakad</v>
      </c>
      <c r="G72" s="90" t="str">
        <f t="array" ref="G72">XLOOKUP(C72,'Master Data'!C:C,'Master Data'!E:E)</f>
        <v>Kumar Staywel Realtors LLP Flat no = 02</v>
      </c>
      <c r="H72" s="88" t="s">
        <v>1072</v>
      </c>
      <c r="I72" s="72" t="str">
        <f t="array" ref="I72">XLOOKUP(C72,'Master Data'!C:C,'Master Data'!G:G)</f>
        <v/>
      </c>
      <c r="J72" s="72" t="str">
        <f t="array" ref="J72">XLOOKUP(C72,'Master Data'!C:C,'Master Data'!H:H)</f>
        <v/>
      </c>
      <c r="K72" s="106" t="s">
        <v>1073</v>
      </c>
      <c r="L72" s="23" t="s">
        <v>1074</v>
      </c>
      <c r="M72" s="23" t="s">
        <v>1042</v>
      </c>
      <c r="N72" s="108">
        <v>2000.0</v>
      </c>
      <c r="O72" s="108">
        <v>2.2121464E7</v>
      </c>
      <c r="P72" s="64" t="s">
        <v>875</v>
      </c>
      <c r="Q72" s="64" t="s">
        <v>824</v>
      </c>
      <c r="R72" s="109"/>
      <c r="S72" s="4"/>
      <c r="T72" s="4"/>
      <c r="U72" s="4"/>
      <c r="V72" s="4"/>
      <c r="W72" s="4"/>
      <c r="X72" s="4"/>
      <c r="Y72" s="4"/>
      <c r="Z72" s="4"/>
      <c r="AA72" s="4"/>
      <c r="AB72" s="4"/>
      <c r="AC72" s="4"/>
      <c r="AD72" s="4"/>
      <c r="AE72" s="4"/>
      <c r="AF72" s="4"/>
    </row>
    <row r="73">
      <c r="A73" s="64" t="s">
        <v>1075</v>
      </c>
      <c r="B73" s="73"/>
      <c r="C73" s="129">
        <v>7.7000233516E10</v>
      </c>
      <c r="D73" s="103" t="str">
        <f t="array" ref="D73">XLOOKUP(C73,'Master Data'!C:C,'Master Data'!D:D)</f>
        <v>wakad</v>
      </c>
      <c r="E73" s="108" t="s">
        <v>1069</v>
      </c>
      <c r="F73" s="105" t="str">
        <f t="array" ref="F73">XLOOKUP(C73,'Master Data'!C:C,'Master Data'!D:D)</f>
        <v>wakad</v>
      </c>
      <c r="G73" s="90" t="str">
        <f t="array" ref="G73">XLOOKUP(C73,'Master Data'!C:C,'Master Data'!E:E)</f>
        <v>Jitendra Manurkar</v>
      </c>
      <c r="H73" s="88" t="s">
        <v>1076</v>
      </c>
      <c r="I73" s="72" t="str">
        <f t="array" ref="I73">XLOOKUP(C73,'Master Data'!C:C,'Master Data'!G:G)</f>
        <v/>
      </c>
      <c r="J73" s="72" t="str">
        <f t="array" ref="J73">XLOOKUP(C73,'Master Data'!C:C,'Master Data'!H:H)</f>
        <v/>
      </c>
      <c r="K73" s="106" t="s">
        <v>1077</v>
      </c>
      <c r="L73" s="23" t="s">
        <v>1078</v>
      </c>
      <c r="M73" s="23" t="s">
        <v>1042</v>
      </c>
      <c r="N73" s="108">
        <v>2000.0</v>
      </c>
      <c r="O73" s="108">
        <v>2.2121464E7</v>
      </c>
      <c r="P73" s="64" t="s">
        <v>875</v>
      </c>
      <c r="Q73" s="64" t="s">
        <v>823</v>
      </c>
      <c r="R73" s="109"/>
      <c r="S73" s="4"/>
      <c r="T73" s="4"/>
      <c r="U73" s="4"/>
      <c r="V73" s="4"/>
      <c r="W73" s="4"/>
      <c r="X73" s="4"/>
      <c r="Y73" s="4"/>
      <c r="Z73" s="4"/>
      <c r="AA73" s="4"/>
      <c r="AB73" s="4"/>
      <c r="AC73" s="4"/>
      <c r="AD73" s="4"/>
      <c r="AE73" s="4"/>
      <c r="AF73" s="4"/>
    </row>
    <row r="74">
      <c r="A74" s="64" t="s">
        <v>1079</v>
      </c>
      <c r="B74" s="73"/>
      <c r="C74" s="129">
        <v>7.7000258379E10</v>
      </c>
      <c r="D74" s="103" t="str">
        <f t="array" ref="D74">XLOOKUP(C74,'Master Data'!C:C,'Master Data'!D:D)</f>
        <v>Baner</v>
      </c>
      <c r="E74" s="108" t="s">
        <v>1069</v>
      </c>
      <c r="F74" s="105" t="str">
        <f t="array" ref="F74">XLOOKUP(C74,'Master Data'!C:C,'Master Data'!D:D)</f>
        <v>Baner</v>
      </c>
      <c r="G74" s="90" t="str">
        <f t="array" ref="G74">XLOOKUP(C74,'Master Data'!C:C,'Master Data'!E:E)</f>
        <v>Mohammad Shoeb</v>
      </c>
      <c r="H74" s="88" t="s">
        <v>1079</v>
      </c>
      <c r="I74" s="72" t="str">
        <f t="array" ref="I74">XLOOKUP(C74,'Master Data'!C:C,'Master Data'!G:G)</f>
        <v>self contraction</v>
      </c>
      <c r="J74" s="72" t="str">
        <f t="array" ref="J74">XLOOKUP(C74,'Master Data'!C:C,'Master Data'!H:H)</f>
        <v>All that piece and parcel of property admeasuring of H. 00-01.39 Ares, i.e. 1500 sq. feets., out of Survey No. 7, Hissa No. 1, having total area admeasuring of H. 04-67 Ares, together with Pot-Kharab area admeasuring of H. 00-09 Ares, i.e. total area admeasuring of H. 04-76 Ares, assessed at Rs. 02-44 Paise, situated at Village – Marunji, Taluka – Mulshi, District – Pune</v>
      </c>
      <c r="K74" s="106" t="s">
        <v>1080</v>
      </c>
      <c r="L74" s="23" t="s">
        <v>1081</v>
      </c>
      <c r="M74" s="23" t="s">
        <v>1042</v>
      </c>
      <c r="N74" s="108">
        <v>2000.0</v>
      </c>
      <c r="O74" s="108">
        <v>2.2121464E7</v>
      </c>
      <c r="P74" s="64" t="s">
        <v>875</v>
      </c>
      <c r="Q74" s="64" t="s">
        <v>827</v>
      </c>
      <c r="R74" s="109"/>
      <c r="S74" s="4"/>
      <c r="T74" s="4"/>
      <c r="U74" s="4"/>
      <c r="V74" s="4"/>
      <c r="W74" s="4"/>
      <c r="X74" s="4"/>
      <c r="Y74" s="4"/>
      <c r="Z74" s="4"/>
      <c r="AA74" s="4"/>
      <c r="AB74" s="4"/>
      <c r="AC74" s="4"/>
      <c r="AD74" s="4"/>
      <c r="AE74" s="4"/>
      <c r="AF74" s="4"/>
    </row>
    <row r="75">
      <c r="A75" s="64" t="s">
        <v>1082</v>
      </c>
      <c r="B75" s="73"/>
      <c r="C75" s="25">
        <v>7.7000246049E10</v>
      </c>
      <c r="D75" s="103" t="str">
        <f t="array" ref="D75">XLOOKUP(C75,'Master Data'!C:C,'Master Data'!D:D)</f>
        <v>Wakad</v>
      </c>
      <c r="E75" s="104" t="s">
        <v>1083</v>
      </c>
      <c r="F75" s="105" t="str">
        <f t="array" ref="F75">XLOOKUP(C75,'Master Data'!C:C,'Master Data'!D:D)</f>
        <v>Wakad</v>
      </c>
      <c r="G75" s="90" t="str">
        <f t="array" ref="G75">XLOOKUP(C75,'Master Data'!C:C,'Master Data'!E:E)</f>
        <v>Devidas Gaikwad</v>
      </c>
      <c r="H75" s="88" t="s">
        <v>1082</v>
      </c>
      <c r="I75" s="72" t="str">
        <f t="array" ref="I75">XLOOKUP(C75,'Master Data'!C:C,'Master Data'!G:G)</f>
        <v/>
      </c>
      <c r="J75" s="72" t="str">
        <f t="array" ref="J75">XLOOKUP(C75,'Master Data'!C:C,'Master Data'!H:H)</f>
        <v/>
      </c>
      <c r="K75" s="64" t="s">
        <v>1084</v>
      </c>
      <c r="L75" s="124" t="s">
        <v>1085</v>
      </c>
      <c r="M75" s="23" t="s">
        <v>1042</v>
      </c>
      <c r="N75" s="108">
        <v>2000.0</v>
      </c>
      <c r="O75" s="108">
        <v>2.2121464E7</v>
      </c>
      <c r="P75" s="64" t="s">
        <v>875</v>
      </c>
      <c r="Q75" s="64" t="s">
        <v>823</v>
      </c>
      <c r="R75" s="109"/>
      <c r="S75" s="4"/>
      <c r="T75" s="4"/>
      <c r="U75" s="4"/>
      <c r="V75" s="4"/>
      <c r="W75" s="4"/>
      <c r="X75" s="4"/>
      <c r="Y75" s="4"/>
      <c r="Z75" s="4"/>
      <c r="AA75" s="4"/>
      <c r="AB75" s="4"/>
      <c r="AC75" s="4"/>
      <c r="AD75" s="4"/>
      <c r="AE75" s="4"/>
      <c r="AF75" s="4"/>
    </row>
    <row r="76">
      <c r="A76" s="64" t="s">
        <v>1057</v>
      </c>
      <c r="B76" s="73"/>
      <c r="C76" s="25">
        <v>7.792141839E9</v>
      </c>
      <c r="D76" s="103" t="str">
        <f t="array" ref="D76">XLOOKUP(C76,'Master Data'!C:C,'Master Data'!D:D)</f>
        <v>Wakad</v>
      </c>
      <c r="E76" s="104" t="s">
        <v>1083</v>
      </c>
      <c r="F76" s="105" t="str">
        <f t="array" ref="F76">XLOOKUP(C76,'Master Data'!C:C,'Master Data'!D:D)</f>
        <v>Wakad</v>
      </c>
      <c r="G76" s="90" t="str">
        <f t="array" ref="G76">XLOOKUP(C76,'Master Data'!C:C,'Master Data'!E:E)</f>
        <v>Parag Gupta</v>
      </c>
      <c r="H76" s="88" t="s">
        <v>1057</v>
      </c>
      <c r="I76" s="72" t="str">
        <f t="array" ref="I76">XLOOKUP(C76,'Master Data'!C:C,'Master Data'!G:G)</f>
        <v/>
      </c>
      <c r="J76" s="72" t="str">
        <f t="array" ref="J76">XLOOKUP(C76,'Master Data'!C:C,'Master Data'!H:H)</f>
        <v/>
      </c>
      <c r="K76" s="64" t="s">
        <v>1086</v>
      </c>
      <c r="L76" s="124" t="s">
        <v>1087</v>
      </c>
      <c r="M76" s="23" t="s">
        <v>1042</v>
      </c>
      <c r="N76" s="108">
        <v>2000.0</v>
      </c>
      <c r="O76" s="108">
        <v>2.2121464E7</v>
      </c>
      <c r="P76" s="64" t="s">
        <v>875</v>
      </c>
      <c r="Q76" s="64" t="s">
        <v>827</v>
      </c>
      <c r="R76" s="109"/>
      <c r="S76" s="4"/>
      <c r="T76" s="4"/>
      <c r="U76" s="4"/>
      <c r="V76" s="4"/>
      <c r="W76" s="4"/>
      <c r="X76" s="4"/>
      <c r="Y76" s="4"/>
      <c r="Z76" s="4"/>
      <c r="AA76" s="4"/>
      <c r="AB76" s="4"/>
      <c r="AC76" s="4"/>
      <c r="AD76" s="4"/>
      <c r="AE76" s="4"/>
      <c r="AF76" s="4"/>
    </row>
    <row r="77">
      <c r="A77" s="64" t="s">
        <v>1088</v>
      </c>
      <c r="B77" s="73"/>
      <c r="C77" s="129">
        <v>7.7000240215E10</v>
      </c>
      <c r="D77" s="103" t="str">
        <f t="array" ref="D77">XLOOKUP(C77,'Master Data'!C:C,'Master Data'!D:D)</f>
        <v>Wakad</v>
      </c>
      <c r="E77" s="104" t="s">
        <v>1083</v>
      </c>
      <c r="F77" s="105" t="str">
        <f t="array" ref="F77">XLOOKUP(C77,'Master Data'!C:C,'Master Data'!D:D)</f>
        <v>Wakad</v>
      </c>
      <c r="G77" s="90" t="str">
        <f t="array" ref="G77">XLOOKUP(C77,'Master Data'!C:C,'Master Data'!E:E)</f>
        <v>Chandrakant Raghwani</v>
      </c>
      <c r="H77" s="88" t="s">
        <v>1088</v>
      </c>
      <c r="I77" s="72" t="str">
        <f t="array" ref="I77">XLOOKUP(C77,'Master Data'!C:C,'Master Data'!G:G)</f>
        <v/>
      </c>
      <c r="J77" s="72" t="str">
        <f t="array" ref="J77">XLOOKUP(C77,'Master Data'!C:C,'Master Data'!H:H)</f>
        <v/>
      </c>
      <c r="K77" s="64" t="s">
        <v>1089</v>
      </c>
      <c r="L77" s="23" t="s">
        <v>1090</v>
      </c>
      <c r="M77" s="23" t="s">
        <v>1042</v>
      </c>
      <c r="N77" s="108">
        <v>2000.0</v>
      </c>
      <c r="O77" s="108">
        <v>2.2121464E7</v>
      </c>
      <c r="P77" s="64" t="s">
        <v>875</v>
      </c>
      <c r="Q77" s="64" t="s">
        <v>829</v>
      </c>
      <c r="R77" s="109"/>
      <c r="S77" s="4"/>
      <c r="T77" s="4"/>
      <c r="U77" s="4"/>
      <c r="V77" s="4"/>
      <c r="W77" s="4"/>
      <c r="X77" s="4"/>
      <c r="Y77" s="4"/>
      <c r="Z77" s="4"/>
      <c r="AA77" s="4"/>
      <c r="AB77" s="4"/>
      <c r="AC77" s="4"/>
      <c r="AD77" s="4"/>
      <c r="AE77" s="4"/>
      <c r="AF77" s="4"/>
    </row>
    <row r="78">
      <c r="A78" s="64" t="s">
        <v>1076</v>
      </c>
      <c r="B78" s="73"/>
      <c r="C78" s="25">
        <v>7.700021979E9</v>
      </c>
      <c r="D78" s="103" t="str">
        <f t="array" ref="D78">XLOOKUP(C78,'Master Data'!C:C,'Master Data'!D:D)</f>
        <v>MAIN</v>
      </c>
      <c r="E78" s="104" t="s">
        <v>1083</v>
      </c>
      <c r="F78" s="105" t="str">
        <f t="array" ref="F78">XLOOKUP(C78,'Master Data'!C:C,'Master Data'!D:D)</f>
        <v>MAIN</v>
      </c>
      <c r="G78" s="90" t="str">
        <f t="array" ref="G78">XLOOKUP(C78,'Master Data'!C:C,'Master Data'!E:E)</f>
        <v>Mohan Riswadkar</v>
      </c>
      <c r="H78" s="88" t="str">
        <f t="array" ref="H78">XLOOKUP(C78,'Master Data'!C:C,'Master Data'!F:F)</f>
        <v/>
      </c>
      <c r="I78" s="72" t="str">
        <f t="array" ref="I78">XLOOKUP(C78,'Master Data'!C:C,'Master Data'!G:G)</f>
        <v/>
      </c>
      <c r="J78" s="72" t="str">
        <f t="array" ref="J78">XLOOKUP(C78,'Master Data'!C:C,'Master Data'!H:H)</f>
        <v/>
      </c>
      <c r="K78" s="64" t="s">
        <v>1091</v>
      </c>
      <c r="L78" s="91" t="s">
        <v>1092</v>
      </c>
      <c r="M78" s="23" t="s">
        <v>1042</v>
      </c>
      <c r="N78" s="108">
        <v>2000.0</v>
      </c>
      <c r="O78" s="108">
        <v>2.2121464E7</v>
      </c>
      <c r="P78" s="64" t="s">
        <v>875</v>
      </c>
      <c r="Q78" s="64" t="s">
        <v>827</v>
      </c>
      <c r="R78" s="109"/>
      <c r="S78" s="4"/>
      <c r="T78" s="4"/>
      <c r="U78" s="4"/>
      <c r="V78" s="4"/>
      <c r="W78" s="4"/>
      <c r="X78" s="4"/>
      <c r="Y78" s="4"/>
      <c r="Z78" s="4"/>
      <c r="AA78" s="4"/>
      <c r="AB78" s="4"/>
      <c r="AC78" s="4"/>
      <c r="AD78" s="4"/>
      <c r="AE78" s="4"/>
      <c r="AF78" s="4"/>
    </row>
    <row r="79">
      <c r="A79" s="71" t="s">
        <v>1093</v>
      </c>
      <c r="B79" s="73"/>
      <c r="C79" s="25">
        <v>7.7000198904E10</v>
      </c>
      <c r="D79" s="103" t="str">
        <f t="array" ref="D79">XLOOKUP(C79,'Master Data'!C:C,'Master Data'!D:D)</f>
        <v>Main</v>
      </c>
      <c r="E79" s="104" t="s">
        <v>1094</v>
      </c>
      <c r="F79" s="105" t="str">
        <f t="array" ref="F79">XLOOKUP(C79,'Master Data'!C:C,'Master Data'!D:D)</f>
        <v>Main</v>
      </c>
      <c r="G79" s="90" t="str">
        <f t="array" ref="G79">XLOOKUP(C79,'Master Data'!C:C,'Master Data'!E:E)</f>
        <v>Akshay Ohol</v>
      </c>
      <c r="H79" s="88" t="s">
        <v>1093</v>
      </c>
      <c r="I79" s="72" t="str">
        <f t="array" ref="I79">XLOOKUP(C79,'Master Data'!C:C,'Master Data'!G:G)</f>
        <v/>
      </c>
      <c r="J79" s="72" t="str">
        <f t="array" ref="J79">XLOOKUP(C79,'Master Data'!C:C,'Master Data'!H:H)</f>
        <v/>
      </c>
      <c r="K79" s="73"/>
      <c r="L79" s="131"/>
      <c r="M79" s="73"/>
      <c r="N79" s="73"/>
      <c r="O79" s="73"/>
      <c r="P79" s="64" t="s">
        <v>875</v>
      </c>
      <c r="Q79" s="64" t="s">
        <v>827</v>
      </c>
      <c r="R79" s="109"/>
      <c r="S79" s="4"/>
      <c r="T79" s="4"/>
      <c r="U79" s="4"/>
      <c r="V79" s="4"/>
      <c r="W79" s="4"/>
      <c r="X79" s="4"/>
      <c r="Y79" s="4"/>
      <c r="Z79" s="4"/>
      <c r="AA79" s="4"/>
      <c r="AB79" s="4"/>
      <c r="AC79" s="4"/>
      <c r="AD79" s="4"/>
      <c r="AE79" s="4"/>
      <c r="AF79" s="4"/>
    </row>
    <row r="80">
      <c r="A80" s="64" t="s">
        <v>1095</v>
      </c>
      <c r="B80" s="73"/>
      <c r="C80" s="25">
        <v>7.7000245023E10</v>
      </c>
      <c r="D80" s="103" t="str">
        <f t="array" ref="D80">XLOOKUP(C80,'Master Data'!C:C,'Master Data'!D:D)</f>
        <v>Chinchwad </v>
      </c>
      <c r="E80" s="104" t="s">
        <v>1094</v>
      </c>
      <c r="F80" s="105" t="str">
        <f t="array" ref="F80">XLOOKUP(C80,'Master Data'!C:C,'Master Data'!D:D)</f>
        <v>Chinchwad </v>
      </c>
      <c r="G80" s="90" t="str">
        <f t="array" ref="G80">XLOOKUP(C80,'Master Data'!C:C,'Master Data'!E:E)</f>
        <v>Subhash  Chabukswar</v>
      </c>
      <c r="H80" s="88" t="str">
        <f t="array" ref="H80">XLOOKUP(C80,'Master Data'!C:C,'Master Data'!F:F)</f>
        <v/>
      </c>
      <c r="I80" s="72" t="str">
        <f t="array" ref="I80">XLOOKUP(C80,'Master Data'!C:C,'Master Data'!G:G)</f>
        <v/>
      </c>
      <c r="J80" s="72" t="str">
        <f t="array" ref="J80">XLOOKUP(C80,'Master Data'!C:C,'Master Data'!H:H)</f>
        <v/>
      </c>
      <c r="K80" s="64" t="s">
        <v>1096</v>
      </c>
      <c r="L80" s="124" t="s">
        <v>1097</v>
      </c>
      <c r="M80" s="23" t="s">
        <v>1042</v>
      </c>
      <c r="N80" s="108">
        <v>2000.0</v>
      </c>
      <c r="O80" s="108">
        <v>2.2121464E7</v>
      </c>
      <c r="P80" s="64" t="s">
        <v>875</v>
      </c>
      <c r="Q80" s="64" t="s">
        <v>826</v>
      </c>
      <c r="R80" s="109"/>
      <c r="S80" s="4"/>
      <c r="T80" s="4"/>
      <c r="U80" s="4"/>
      <c r="V80" s="4"/>
      <c r="W80" s="4"/>
      <c r="X80" s="4"/>
      <c r="Y80" s="4"/>
      <c r="Z80" s="4"/>
      <c r="AA80" s="4"/>
      <c r="AB80" s="4"/>
      <c r="AC80" s="4"/>
      <c r="AD80" s="4"/>
      <c r="AE80" s="4"/>
      <c r="AF80" s="4"/>
    </row>
    <row r="81">
      <c r="A81" s="64" t="s">
        <v>1098</v>
      </c>
      <c r="B81" s="73"/>
      <c r="C81" s="25">
        <v>7.792141984E9</v>
      </c>
      <c r="D81" s="103" t="str">
        <f t="array" ref="D81">XLOOKUP(C81,'Master Data'!C:C,'Master Data'!D:D)</f>
        <v> Chinchwad </v>
      </c>
      <c r="E81" s="104" t="s">
        <v>1094</v>
      </c>
      <c r="F81" s="105" t="str">
        <f t="array" ref="F81">XLOOKUP(C81,'Master Data'!C:C,'Master Data'!D:D)</f>
        <v> Chinchwad </v>
      </c>
      <c r="G81" s="90" t="str">
        <f t="array" ref="G81">XLOOKUP(C81,'Master Data'!C:C,'Master Data'!E:E)</f>
        <v>Sandip Kanpile </v>
      </c>
      <c r="H81" s="88" t="s">
        <v>1098</v>
      </c>
      <c r="I81" s="72" t="str">
        <f t="array" ref="I81">XLOOKUP(C81,'Master Data'!C:C,'Master Data'!G:G)</f>
        <v/>
      </c>
      <c r="J81" s="72" t="str">
        <f t="array" ref="J81">XLOOKUP(C81,'Master Data'!C:C,'Master Data'!H:H)</f>
        <v/>
      </c>
      <c r="K81" s="64" t="s">
        <v>1099</v>
      </c>
      <c r="L81" s="124" t="s">
        <v>1100</v>
      </c>
      <c r="M81" s="23" t="s">
        <v>1042</v>
      </c>
      <c r="N81" s="108">
        <v>2000.0</v>
      </c>
      <c r="O81" s="108">
        <v>2.2121464E7</v>
      </c>
      <c r="P81" s="64" t="s">
        <v>1101</v>
      </c>
      <c r="Q81" s="64" t="s">
        <v>829</v>
      </c>
      <c r="R81" s="109"/>
      <c r="S81" s="4"/>
      <c r="T81" s="4"/>
      <c r="U81" s="4"/>
      <c r="V81" s="4"/>
      <c r="W81" s="4"/>
      <c r="X81" s="4"/>
      <c r="Y81" s="4"/>
      <c r="Z81" s="4"/>
      <c r="AA81" s="4"/>
      <c r="AB81" s="4"/>
      <c r="AC81" s="4"/>
      <c r="AD81" s="4"/>
      <c r="AE81" s="4"/>
      <c r="AF81" s="4"/>
    </row>
    <row r="82">
      <c r="A82" s="64" t="s">
        <v>1102</v>
      </c>
      <c r="B82" s="73"/>
      <c r="C82" s="25">
        <v>7.7000213896E10</v>
      </c>
      <c r="D82" s="103" t="str">
        <f t="array" ref="D82">XLOOKUP(C82,'Master Data'!C:C,'Master Data'!D:D)</f>
        <v>Wakad</v>
      </c>
      <c r="E82" s="104" t="s">
        <v>1094</v>
      </c>
      <c r="F82" s="105" t="str">
        <f t="array" ref="F82">XLOOKUP(C82,'Master Data'!C:C,'Master Data'!D:D)</f>
        <v>Wakad</v>
      </c>
      <c r="G82" s="90" t="str">
        <f t="array" ref="G82">XLOOKUP(C82,'Master Data'!C:C,'Master Data'!E:E)</f>
        <v>Harsh Joglekar</v>
      </c>
      <c r="H82" s="88" t="s">
        <v>1102</v>
      </c>
      <c r="I82" s="72" t="str">
        <f t="array" ref="I82">XLOOKUP(C82,'Master Data'!C:C,'Master Data'!G:G)</f>
        <v/>
      </c>
      <c r="J82" s="72" t="str">
        <f t="array" ref="J82">XLOOKUP(C82,'Master Data'!C:C,'Master Data'!H:H)</f>
        <v/>
      </c>
      <c r="K82" s="64" t="s">
        <v>1103</v>
      </c>
      <c r="L82" s="124" t="s">
        <v>1104</v>
      </c>
      <c r="M82" s="23" t="s">
        <v>1042</v>
      </c>
      <c r="N82" s="108">
        <v>2000.0</v>
      </c>
      <c r="O82" s="108">
        <v>2.2121464E7</v>
      </c>
      <c r="P82" s="64" t="s">
        <v>875</v>
      </c>
      <c r="Q82" s="64" t="s">
        <v>829</v>
      </c>
      <c r="R82" s="109"/>
      <c r="S82" s="4"/>
      <c r="T82" s="4"/>
      <c r="U82" s="4"/>
      <c r="V82" s="4"/>
      <c r="W82" s="4"/>
      <c r="X82" s="4"/>
      <c r="Y82" s="4"/>
      <c r="Z82" s="4"/>
      <c r="AA82" s="4"/>
      <c r="AB82" s="4"/>
      <c r="AC82" s="4"/>
      <c r="AD82" s="4"/>
      <c r="AE82" s="4"/>
      <c r="AF82" s="4"/>
    </row>
    <row r="83">
      <c r="A83" s="73"/>
      <c r="B83" s="73"/>
      <c r="C83" s="25">
        <v>7.7000213356E10</v>
      </c>
      <c r="D83" s="103" t="str">
        <f t="array" ref="D83">XLOOKUP(C83,'Master Data'!C:C,'Master Data'!D:D)</f>
        <v>Baner </v>
      </c>
      <c r="E83" s="104" t="s">
        <v>1094</v>
      </c>
      <c r="F83" s="105" t="str">
        <f t="array" ref="F83">XLOOKUP(C83,'Master Data'!C:C,'Master Data'!D:D)</f>
        <v>Baner </v>
      </c>
      <c r="G83" s="90" t="str">
        <f t="array" ref="G83">XLOOKUP(C83,'Master Data'!C:C,'Master Data'!E:E)</f>
        <v>Ganesh salave Flat No. 301</v>
      </c>
      <c r="H83" s="88" t="str">
        <f t="array" ref="H83">XLOOKUP(C83,'Master Data'!C:C,'Master Data'!F:F)</f>
        <v/>
      </c>
      <c r="I83" s="72" t="str">
        <f t="array" ref="I83">XLOOKUP(C83,'Master Data'!C:C,'Master Data'!G:G)</f>
        <v/>
      </c>
      <c r="J83" s="72" t="str">
        <f t="array" ref="J83">XLOOKUP(C83,'Master Data'!C:C,'Master Data'!H:H)</f>
        <v/>
      </c>
      <c r="K83" s="64" t="s">
        <v>1105</v>
      </c>
      <c r="L83" s="124" t="s">
        <v>1106</v>
      </c>
      <c r="M83" s="23" t="s">
        <v>1042</v>
      </c>
      <c r="N83" s="108">
        <v>2000.0</v>
      </c>
      <c r="O83" s="108">
        <v>2.2121464E7</v>
      </c>
      <c r="P83" s="64" t="s">
        <v>875</v>
      </c>
      <c r="Q83" s="64" t="s">
        <v>826</v>
      </c>
      <c r="R83" s="109"/>
      <c r="S83" s="4"/>
      <c r="T83" s="4"/>
      <c r="U83" s="4"/>
      <c r="V83" s="4"/>
      <c r="W83" s="4"/>
      <c r="X83" s="4"/>
      <c r="Y83" s="4"/>
      <c r="Z83" s="4"/>
      <c r="AA83" s="4"/>
      <c r="AB83" s="4"/>
      <c r="AC83" s="4"/>
      <c r="AD83" s="4"/>
      <c r="AE83" s="4"/>
      <c r="AF83" s="4"/>
    </row>
    <row r="84">
      <c r="A84" s="73"/>
      <c r="B84" s="73"/>
      <c r="C84" s="25">
        <v>7.7000213356E10</v>
      </c>
      <c r="D84" s="103" t="str">
        <f t="array" ref="D84">XLOOKUP(C84,'Master Data'!C:C,'Master Data'!D:D)</f>
        <v>Baner </v>
      </c>
      <c r="E84" s="104" t="s">
        <v>1094</v>
      </c>
      <c r="F84" s="105" t="str">
        <f t="array" ref="F84">XLOOKUP(C84,'Master Data'!C:C,'Master Data'!D:D)</f>
        <v>Baner </v>
      </c>
      <c r="G84" s="6" t="s">
        <v>489</v>
      </c>
      <c r="H84" s="88" t="str">
        <f t="array" ref="H84">XLOOKUP(C84,'Master Data'!C:C,'Master Data'!F:F)</f>
        <v/>
      </c>
      <c r="I84" s="72" t="str">
        <f t="array" ref="I84">XLOOKUP(C84,'Master Data'!C:C,'Master Data'!G:G)</f>
        <v/>
      </c>
      <c r="J84" s="72" t="str">
        <f t="array" ref="J84">XLOOKUP(C84,'Master Data'!C:C,'Master Data'!H:H)</f>
        <v/>
      </c>
      <c r="K84" s="64" t="s">
        <v>1107</v>
      </c>
      <c r="L84" s="124" t="s">
        <v>1108</v>
      </c>
      <c r="M84" s="23" t="s">
        <v>1042</v>
      </c>
      <c r="N84" s="108">
        <v>2000.0</v>
      </c>
      <c r="O84" s="108">
        <v>2.2121464E7</v>
      </c>
      <c r="P84" s="64" t="s">
        <v>875</v>
      </c>
      <c r="Q84" s="64" t="s">
        <v>826</v>
      </c>
      <c r="R84" s="109"/>
      <c r="S84" s="4"/>
      <c r="T84" s="4"/>
      <c r="U84" s="4"/>
      <c r="V84" s="4"/>
      <c r="W84" s="4"/>
      <c r="X84" s="4"/>
      <c r="Y84" s="4"/>
      <c r="Z84" s="4"/>
      <c r="AA84" s="4"/>
      <c r="AB84" s="4"/>
      <c r="AC84" s="4"/>
      <c r="AD84" s="4"/>
      <c r="AE84" s="4"/>
      <c r="AF84" s="4"/>
    </row>
    <row r="85">
      <c r="A85" s="64" t="s">
        <v>1109</v>
      </c>
      <c r="B85" s="73"/>
      <c r="C85" s="25">
        <v>7.7000218336E10</v>
      </c>
      <c r="D85" s="103" t="str">
        <f t="array" ref="D85">XLOOKUP(C85,'Master Data'!C:C,'Master Data'!D:D)</f>
        <v>Vishrantwadi</v>
      </c>
      <c r="E85" s="104" t="s">
        <v>1110</v>
      </c>
      <c r="F85" s="105" t="str">
        <f t="array" ref="F85">XLOOKUP(C85,'Master Data'!C:C,'Master Data'!D:D)</f>
        <v>Vishrantwadi</v>
      </c>
      <c r="G85" s="90" t="str">
        <f t="array" ref="G85">XLOOKUP(C85,'Master Data'!C:C,'Master Data'!E:E)</f>
        <v>Ripusudan Sharma</v>
      </c>
      <c r="H85" s="88">
        <f t="array" ref="H85">XLOOKUP(C85,'Master Data'!C:C,'Master Data'!F:F)</f>
        <v>26</v>
      </c>
      <c r="I85" s="72" t="str">
        <f t="array" ref="I85">XLOOKUP(C85,'Master Data'!C:C,'Master Data'!G:G)</f>
        <v/>
      </c>
      <c r="J85" s="72" t="str">
        <f t="array" ref="J85">XLOOKUP(C85,'Master Data'!C:C,'Master Data'!H:H)</f>
        <v>All that piece and parcel of Flat No. 807, having a carpet area admeasuring 376.31 Sq. Ft. (34.96 Sq.Mtrs.) along with balcony and open terrace carpet area admeasuring 39.72 Sq. Ft. (3.69 Sq. Mtrs.), together with car parking, situated on the Eighth Floor, in Wing/Building No. “A”, out of the project known as “Abhiman Homes”, constructed on land bearing Gat No. 8 admeasuring 05 H 47 R (out of which 05 H 43.5 R), Gat No. 12 admeasuring 00 H 62 R, Gat No. 16 admeasuring 00 H 13 R, Gat No. 18 admeasuring 00 H 27 R, Gat No. 19 admeasuring 00 H 42 R and Gat No. 20 admeasuring 00 H 86 R, aggregating to a total area of 07 H 73.5 R, situated at Village Shirgaon, Taluka – Maval, District – Pune.</v>
      </c>
      <c r="K85" s="64" t="s">
        <v>1111</v>
      </c>
      <c r="L85" s="124" t="s">
        <v>1112</v>
      </c>
      <c r="M85" s="23" t="s">
        <v>1113</v>
      </c>
      <c r="N85" s="108">
        <v>500.0</v>
      </c>
      <c r="O85" s="108">
        <v>3.5173725E8</v>
      </c>
      <c r="P85" s="64" t="s">
        <v>875</v>
      </c>
      <c r="Q85" s="64" t="s">
        <v>829</v>
      </c>
      <c r="R85" s="109"/>
      <c r="S85" s="4"/>
      <c r="T85" s="4"/>
      <c r="U85" s="4"/>
      <c r="V85" s="4"/>
      <c r="W85" s="4"/>
      <c r="X85" s="4"/>
      <c r="Y85" s="4"/>
      <c r="Z85" s="4"/>
      <c r="AA85" s="4"/>
      <c r="AB85" s="4"/>
      <c r="AC85" s="4"/>
      <c r="AD85" s="4"/>
      <c r="AE85" s="4"/>
      <c r="AF85" s="4"/>
    </row>
    <row r="86">
      <c r="A86" s="64" t="s">
        <v>1114</v>
      </c>
      <c r="B86" s="73"/>
      <c r="C86" s="25">
        <v>7.7000229728E10</v>
      </c>
      <c r="D86" s="103" t="str">
        <f t="array" ref="D86">XLOOKUP(C86,'Master Data'!C:C,'Master Data'!D:D)</f>
        <v>Vishrantwadi</v>
      </c>
      <c r="E86" s="104" t="s">
        <v>1110</v>
      </c>
      <c r="F86" s="105" t="str">
        <f t="array" ref="F86">XLOOKUP(C86,'Master Data'!C:C,'Master Data'!D:D)</f>
        <v>Vishrantwadi</v>
      </c>
      <c r="G86" s="90" t="str">
        <f t="array" ref="G86">XLOOKUP(C86,'Master Data'!C:C,'Master Data'!E:E)</f>
        <v>Rahul Patil</v>
      </c>
      <c r="H86" s="88" t="s">
        <v>1114</v>
      </c>
      <c r="I86" s="72" t="str">
        <f t="array" ref="I86">XLOOKUP(C86,'Master Data'!C:C,'Master Data'!G:G)</f>
        <v/>
      </c>
      <c r="J86" s="72" t="str">
        <f t="array" ref="J86">XLOOKUP(C86,'Master Data'!C:C,'Master Data'!H:H)</f>
        <v/>
      </c>
      <c r="K86" s="64" t="s">
        <v>1115</v>
      </c>
      <c r="L86" s="124" t="s">
        <v>1116</v>
      </c>
      <c r="M86" s="23" t="s">
        <v>1113</v>
      </c>
      <c r="N86" s="108">
        <v>500.0</v>
      </c>
      <c r="O86" s="108">
        <v>3.5173725E8</v>
      </c>
      <c r="P86" s="64" t="s">
        <v>875</v>
      </c>
      <c r="Q86" s="64" t="s">
        <v>829</v>
      </c>
      <c r="R86" s="109"/>
      <c r="S86" s="4"/>
      <c r="T86" s="4"/>
      <c r="U86" s="4"/>
      <c r="V86" s="4"/>
      <c r="W86" s="4"/>
      <c r="X86" s="4"/>
      <c r="Y86" s="4"/>
      <c r="Z86" s="4"/>
      <c r="AA86" s="4"/>
      <c r="AB86" s="4"/>
      <c r="AC86" s="4"/>
      <c r="AD86" s="4"/>
      <c r="AE86" s="4"/>
      <c r="AF86" s="4"/>
    </row>
    <row r="87">
      <c r="A87" s="64" t="s">
        <v>1117</v>
      </c>
      <c r="B87" s="73"/>
      <c r="C87" s="132">
        <v>7.792141984E9</v>
      </c>
      <c r="D87" s="103" t="str">
        <f t="array" ref="D87">XLOOKUP(C87,'Master Data'!C:C,'Master Data'!D:D)</f>
        <v> Chinchwad </v>
      </c>
      <c r="E87" s="104" t="s">
        <v>1110</v>
      </c>
      <c r="F87" s="105" t="str">
        <f t="array" ref="F87">XLOOKUP(C87,'Master Data'!C:C,'Master Data'!D:D)</f>
        <v> Chinchwad </v>
      </c>
      <c r="G87" s="90" t="str">
        <f t="array" ref="G87">XLOOKUP(C87,'Master Data'!C:C,'Master Data'!E:E)</f>
        <v>Sandip Kanpile </v>
      </c>
      <c r="H87" s="88" t="str">
        <f t="array" ref="H87">XLOOKUP(C87,'Master Data'!C:C,'Master Data'!F:F)</f>
        <v/>
      </c>
      <c r="I87" s="72" t="str">
        <f t="array" ref="I87">XLOOKUP(C87,'Master Data'!C:C,'Master Data'!G:G)</f>
        <v/>
      </c>
      <c r="J87" s="72" t="str">
        <f t="array" ref="J87">XLOOKUP(C87,'Master Data'!C:C,'Master Data'!H:H)</f>
        <v/>
      </c>
      <c r="K87" s="64" t="s">
        <v>1118</v>
      </c>
      <c r="L87" s="91" t="s">
        <v>1119</v>
      </c>
      <c r="M87" s="133" t="s">
        <v>1120</v>
      </c>
      <c r="N87" s="115">
        <v>2000.0</v>
      </c>
      <c r="O87" s="115">
        <v>8.12521234E8</v>
      </c>
      <c r="P87" s="64" t="s">
        <v>1121</v>
      </c>
      <c r="Q87" s="64" t="s">
        <v>826</v>
      </c>
      <c r="R87" s="109"/>
      <c r="S87" s="4"/>
      <c r="T87" s="4"/>
      <c r="U87" s="4"/>
      <c r="V87" s="4"/>
      <c r="W87" s="4"/>
      <c r="X87" s="4"/>
      <c r="Y87" s="4"/>
      <c r="Z87" s="4"/>
      <c r="AA87" s="4"/>
      <c r="AB87" s="4"/>
      <c r="AC87" s="4"/>
      <c r="AD87" s="4"/>
      <c r="AE87" s="4"/>
      <c r="AF87" s="4"/>
    </row>
    <row r="88">
      <c r="A88" s="64" t="s">
        <v>1122</v>
      </c>
      <c r="B88" s="73"/>
      <c r="C88" s="25">
        <v>7.792145461E9</v>
      </c>
      <c r="D88" s="103" t="str">
        <f t="array" ref="D88">XLOOKUP(C88,'Master Data'!C:C,'Master Data'!D:D)</f>
        <v>Main</v>
      </c>
      <c r="E88" s="104" t="s">
        <v>1110</v>
      </c>
      <c r="F88" s="105" t="str">
        <f t="array" ref="F88">XLOOKUP(C88,'Master Data'!C:C,'Master Data'!D:D)</f>
        <v>Main</v>
      </c>
      <c r="G88" s="90" t="str">
        <f t="array" ref="G88">XLOOKUP(C88,'Master Data'!C:C,'Master Data'!E:E)</f>
        <v>Kishori Santosh Tambe</v>
      </c>
      <c r="H88" s="88" t="str">
        <f t="array" ref="H88">XLOOKUP(C88,'Master Data'!C:C,'Master Data'!F:F)</f>
        <v>Santosh Macchindra Tambe</v>
      </c>
      <c r="I88" s="72" t="str">
        <f t="array" ref="I88">XLOOKUP(C88,'Master Data'!C:C,'Master Data'!G:G)</f>
        <v/>
      </c>
      <c r="J88" s="72" t="str">
        <f t="array" ref="J88">XLOOKUP(C88,'Master Data'!C:C,'Master Data'!H:H)</f>
        <v/>
      </c>
      <c r="K88" s="64" t="s">
        <v>1123</v>
      </c>
      <c r="L88" s="23" t="s">
        <v>1124</v>
      </c>
      <c r="M88" s="23" t="s">
        <v>1113</v>
      </c>
      <c r="N88" s="108">
        <v>500.0</v>
      </c>
      <c r="O88" s="108">
        <v>3.5173725E8</v>
      </c>
      <c r="P88" s="64" t="s">
        <v>875</v>
      </c>
      <c r="Q88" s="64" t="s">
        <v>829</v>
      </c>
      <c r="R88" s="109"/>
      <c r="S88" s="4"/>
      <c r="T88" s="4"/>
      <c r="U88" s="4"/>
      <c r="V88" s="4"/>
      <c r="W88" s="4"/>
      <c r="X88" s="4"/>
      <c r="Y88" s="4"/>
      <c r="Z88" s="4"/>
      <c r="AA88" s="4"/>
      <c r="AB88" s="4"/>
      <c r="AC88" s="4"/>
      <c r="AD88" s="4"/>
      <c r="AE88" s="4"/>
      <c r="AF88" s="4"/>
    </row>
    <row r="89">
      <c r="A89" s="64"/>
      <c r="B89" s="73"/>
      <c r="C89" s="25">
        <v>7.7000177489E10</v>
      </c>
      <c r="D89" s="103" t="str">
        <f t="array" ref="D89">XLOOKUP(C89,'Master Data'!C:C,'Master Data'!D:D)</f>
        <v>Hadapsar </v>
      </c>
      <c r="E89" s="104" t="s">
        <v>1125</v>
      </c>
      <c r="F89" s="105" t="str">
        <f t="array" ref="F89">XLOOKUP(C89,'Master Data'!C:C,'Master Data'!D:D)</f>
        <v>Hadapsar </v>
      </c>
      <c r="G89" s="90" t="str">
        <f t="array" ref="G89">XLOOKUP(C89,'Master Data'!C:C,'Master Data'!E:E)</f>
        <v>Ranjeet Patil</v>
      </c>
      <c r="H89" s="88" t="str">
        <f t="array" ref="H89">XLOOKUP(C89,'Master Data'!C:C,'Master Data'!F:F)</f>
        <v/>
      </c>
      <c r="I89" s="72" t="str">
        <f t="array" ref="I89">XLOOKUP(C89,'Master Data'!C:C,'Master Data'!G:G)</f>
        <v/>
      </c>
      <c r="J89" s="72" t="str">
        <f t="array" ref="J89">XLOOKUP(C89,'Master Data'!C:C,'Master Data'!H:H)</f>
        <v/>
      </c>
      <c r="K89" s="64" t="s">
        <v>1126</v>
      </c>
      <c r="L89" s="134" t="s">
        <v>1127</v>
      </c>
      <c r="M89" s="73"/>
      <c r="N89" s="73"/>
      <c r="O89" s="73"/>
      <c r="P89" s="64"/>
      <c r="Q89" s="73"/>
      <c r="R89" s="109"/>
      <c r="S89" s="4"/>
      <c r="T89" s="4"/>
      <c r="U89" s="4"/>
      <c r="V89" s="4"/>
      <c r="W89" s="4"/>
      <c r="X89" s="4"/>
      <c r="Y89" s="4"/>
      <c r="Z89" s="4"/>
      <c r="AA89" s="4"/>
      <c r="AB89" s="4"/>
      <c r="AC89" s="4"/>
      <c r="AD89" s="4"/>
      <c r="AE89" s="4"/>
      <c r="AF89" s="4"/>
    </row>
    <row r="90">
      <c r="A90" s="64" t="s">
        <v>1128</v>
      </c>
      <c r="B90" s="73"/>
      <c r="C90" s="25">
        <v>7.7000204417E10</v>
      </c>
      <c r="D90" s="103" t="str">
        <f t="array" ref="D90">XLOOKUP(C90,'Master Data'!C:C,'Master Data'!D:D)</f>
        <v>Wakad</v>
      </c>
      <c r="E90" s="104" t="s">
        <v>1125</v>
      </c>
      <c r="F90" s="105" t="str">
        <f t="array" ref="F90">XLOOKUP(C90,'Master Data'!C:C,'Master Data'!D:D)</f>
        <v>Wakad</v>
      </c>
      <c r="G90" s="90" t="str">
        <f t="array" ref="G90">XLOOKUP(C90,'Master Data'!C:C,'Master Data'!E:E)</f>
        <v>Hirachand Panditrao Somwanshi</v>
      </c>
      <c r="H90" s="88" t="str">
        <f t="array" ref="H90">XLOOKUP(C90,'Master Data'!C:C,'Master Data'!F:F)</f>
        <v/>
      </c>
      <c r="I90" s="72" t="str">
        <f t="array" ref="I90">XLOOKUP(C90,'Master Data'!C:C,'Master Data'!G:G)</f>
        <v/>
      </c>
      <c r="J90" s="72" t="str">
        <f t="array" ref="J90">XLOOKUP(C90,'Master Data'!C:C,'Master Data'!H:H)</f>
        <v/>
      </c>
      <c r="K90" s="73"/>
      <c r="L90" s="131"/>
      <c r="M90" s="23" t="s">
        <v>1113</v>
      </c>
      <c r="N90" s="108">
        <v>500.0</v>
      </c>
      <c r="O90" s="108">
        <v>3.5173725E8</v>
      </c>
      <c r="P90" s="64" t="s">
        <v>875</v>
      </c>
      <c r="Q90" s="64" t="s">
        <v>826</v>
      </c>
      <c r="R90" s="109"/>
      <c r="S90" s="4"/>
      <c r="T90" s="4"/>
      <c r="U90" s="4"/>
      <c r="V90" s="4"/>
      <c r="W90" s="4"/>
      <c r="X90" s="4"/>
      <c r="Y90" s="4"/>
      <c r="Z90" s="4"/>
      <c r="AA90" s="4"/>
      <c r="AB90" s="4"/>
      <c r="AC90" s="4"/>
      <c r="AD90" s="4"/>
      <c r="AE90" s="4"/>
      <c r="AF90" s="4"/>
    </row>
    <row r="91">
      <c r="A91" s="73"/>
      <c r="B91" s="73"/>
      <c r="C91" s="25">
        <v>7.7000204417E10</v>
      </c>
      <c r="D91" s="103" t="str">
        <f t="array" ref="D91">XLOOKUP(C91,'Master Data'!C:C,'Master Data'!D:D)</f>
        <v>Wakad</v>
      </c>
      <c r="E91" s="104" t="s">
        <v>1125</v>
      </c>
      <c r="F91" s="105" t="str">
        <f t="array" ref="F91">XLOOKUP(C91,'Master Data'!C:C,'Master Data'!D:D)</f>
        <v>Wakad</v>
      </c>
      <c r="G91" s="90" t="str">
        <f t="array" ref="G91">XLOOKUP(C91,'Master Data'!C:C,'Master Data'!E:E)</f>
        <v>Hirachand Panditrao Somwanshi</v>
      </c>
      <c r="H91" s="88" t="str">
        <f t="array" ref="H91">XLOOKUP(C91,'Master Data'!C:C,'Master Data'!F:F)</f>
        <v/>
      </c>
      <c r="I91" s="72" t="str">
        <f t="array" ref="I91">XLOOKUP(C91,'Master Data'!C:C,'Master Data'!G:G)</f>
        <v/>
      </c>
      <c r="J91" s="72" t="str">
        <f t="array" ref="J91">XLOOKUP(C91,'Master Data'!C:C,'Master Data'!H:H)</f>
        <v/>
      </c>
      <c r="K91" s="73"/>
      <c r="L91" s="131"/>
      <c r="M91" s="73"/>
      <c r="N91" s="73"/>
      <c r="O91" s="73"/>
      <c r="P91" s="64" t="s">
        <v>1121</v>
      </c>
      <c r="Q91" s="73"/>
      <c r="R91" s="109"/>
      <c r="S91" s="4"/>
      <c r="T91" s="4"/>
      <c r="U91" s="4"/>
      <c r="V91" s="4"/>
      <c r="W91" s="4"/>
      <c r="X91" s="4"/>
      <c r="Y91" s="4"/>
      <c r="Z91" s="4"/>
      <c r="AA91" s="4"/>
      <c r="AB91" s="4"/>
      <c r="AC91" s="4"/>
      <c r="AD91" s="4"/>
      <c r="AE91" s="4"/>
      <c r="AF91" s="4"/>
    </row>
    <row r="92">
      <c r="A92" s="73"/>
      <c r="B92" s="73"/>
      <c r="C92" s="25">
        <v>7.7000239652E10</v>
      </c>
      <c r="D92" s="103" t="str">
        <f t="array" ref="D92">XLOOKUP(C92,'Master Data'!C:C,'Master Data'!D:D)</f>
        <v>Hadapsar </v>
      </c>
      <c r="E92" s="104" t="s">
        <v>1125</v>
      </c>
      <c r="F92" s="105" t="str">
        <f t="array" ref="F92">XLOOKUP(C92,'Master Data'!C:C,'Master Data'!D:D)</f>
        <v>Hadapsar </v>
      </c>
      <c r="G92" s="90" t="str">
        <f t="array" ref="G92">XLOOKUP(C92,'Master Data'!C:C,'Master Data'!E:E)</f>
        <v>Harudevi Premsingh Bohara</v>
      </c>
      <c r="H92" s="88" t="str">
        <f t="array" ref="H92">XLOOKUP(C92,'Master Data'!C:C,'Master Data'!F:F)</f>
        <v/>
      </c>
      <c r="I92" s="72" t="str">
        <f t="array" ref="I92">XLOOKUP(C92,'Master Data'!C:C,'Master Data'!G:G)</f>
        <v/>
      </c>
      <c r="J92" s="72" t="str">
        <f t="array" ref="J92">XLOOKUP(C92,'Master Data'!C:C,'Master Data'!H:H)</f>
        <v/>
      </c>
      <c r="K92" s="135" t="s">
        <v>1129</v>
      </c>
      <c r="L92" s="131"/>
      <c r="M92" s="23" t="s">
        <v>1113</v>
      </c>
      <c r="N92" s="108">
        <v>500.0</v>
      </c>
      <c r="O92" s="108">
        <v>3.5173725E8</v>
      </c>
      <c r="P92" s="64" t="s">
        <v>875</v>
      </c>
      <c r="Q92" s="64" t="s">
        <v>826</v>
      </c>
      <c r="R92" s="109"/>
      <c r="S92" s="4"/>
      <c r="T92" s="4"/>
      <c r="U92" s="4"/>
      <c r="V92" s="4"/>
      <c r="W92" s="4"/>
      <c r="X92" s="4"/>
      <c r="Y92" s="4"/>
      <c r="Z92" s="4"/>
      <c r="AA92" s="4"/>
      <c r="AB92" s="4"/>
      <c r="AC92" s="4"/>
      <c r="AD92" s="4"/>
      <c r="AE92" s="4"/>
      <c r="AF92" s="4"/>
    </row>
    <row r="93">
      <c r="A93" s="64" t="s">
        <v>1130</v>
      </c>
      <c r="B93" s="73"/>
      <c r="C93" s="110">
        <v>7.7000206693E10</v>
      </c>
      <c r="D93" s="103" t="str">
        <f t="array" ref="D93">XLOOKUP(C93,'Master Data'!C:C,'Master Data'!D:D)</f>
        <v>Baner</v>
      </c>
      <c r="E93" s="104" t="s">
        <v>1131</v>
      </c>
      <c r="F93" s="105" t="str">
        <f t="array" ref="F93">XLOOKUP(C93,'Master Data'!C:C,'Master Data'!D:D)</f>
        <v>Baner</v>
      </c>
      <c r="G93" s="90" t="str">
        <f t="array" ref="G93">XLOOKUP(C93,'Master Data'!C:C,'Master Data'!E:E)</f>
        <v>Vijay Gonsalves </v>
      </c>
      <c r="H93" s="88" t="str">
        <f t="array" ref="H93">XLOOKUP(C93,'Master Data'!C:C,'Master Data'!F:F)</f>
        <v/>
      </c>
      <c r="I93" s="72" t="str">
        <f t="array" ref="I93">XLOOKUP(C93,'Master Data'!C:C,'Master Data'!G:G)</f>
        <v/>
      </c>
      <c r="J93" s="72" t="str">
        <f t="array" ref="J93">XLOOKUP(C93,'Master Data'!C:C,'Master Data'!H:H)</f>
        <v/>
      </c>
      <c r="K93" s="64" t="s">
        <v>1132</v>
      </c>
      <c r="L93" s="136" t="s">
        <v>1133</v>
      </c>
      <c r="M93" s="133" t="s">
        <v>1120</v>
      </c>
      <c r="N93" s="115">
        <v>2000.0</v>
      </c>
      <c r="O93" s="115">
        <v>8.12521234E8</v>
      </c>
      <c r="P93" s="64" t="s">
        <v>875</v>
      </c>
      <c r="Q93" s="64" t="s">
        <v>834</v>
      </c>
      <c r="R93" s="109"/>
      <c r="S93" s="4"/>
      <c r="T93" s="4"/>
      <c r="U93" s="4"/>
      <c r="V93" s="4"/>
      <c r="W93" s="4"/>
      <c r="X93" s="4"/>
      <c r="Y93" s="4"/>
      <c r="Z93" s="4"/>
      <c r="AA93" s="4"/>
      <c r="AB93" s="4"/>
      <c r="AC93" s="4"/>
      <c r="AD93" s="4"/>
      <c r="AE93" s="4"/>
      <c r="AF93" s="4"/>
    </row>
    <row r="94">
      <c r="A94" s="64" t="s">
        <v>1134</v>
      </c>
      <c r="B94" s="73"/>
      <c r="C94" s="25">
        <v>7.7000258379E10</v>
      </c>
      <c r="D94" s="103" t="str">
        <f t="array" ref="D94">XLOOKUP(C94,'Master Data'!C:C,'Master Data'!D:D)</f>
        <v>Baner</v>
      </c>
      <c r="E94" s="104" t="s">
        <v>826</v>
      </c>
      <c r="F94" s="105" t="str">
        <f t="array" ref="F94">XLOOKUP(C94,'Master Data'!C:C,'Master Data'!D:D)</f>
        <v>Baner</v>
      </c>
      <c r="G94" s="90" t="str">
        <f t="array" ref="G94">XLOOKUP(C94,'Master Data'!C:C,'Master Data'!E:E)</f>
        <v>Mohammad Shoeb</v>
      </c>
      <c r="H94" s="88" t="str">
        <f t="array" ref="H94">XLOOKUP(C94,'Master Data'!C:C,'Master Data'!F:F)</f>
        <v/>
      </c>
      <c r="I94" s="72" t="str">
        <f t="array" ref="I94">XLOOKUP(C94,'Master Data'!C:C,'Master Data'!G:G)</f>
        <v>self contraction</v>
      </c>
      <c r="J94" s="72" t="str">
        <f t="array" ref="J94">XLOOKUP(C94,'Master Data'!C:C,'Master Data'!H:H)</f>
        <v>All that piece and parcel of property admeasuring of H. 00-01.39 Ares, i.e. 1500 sq. feets., out of Survey No. 7, Hissa No. 1, having total area admeasuring of H. 04-67 Ares, together with Pot-Kharab area admeasuring of H. 00-09 Ares, i.e. total area admeasuring of H. 04-76 Ares, assessed at Rs. 02-44 Paise, situated at Village – Marunji, Taluka – Mulshi, District – Pune</v>
      </c>
      <c r="K94" s="64" t="s">
        <v>1135</v>
      </c>
      <c r="L94" s="137" t="s">
        <v>1136</v>
      </c>
      <c r="M94" s="133" t="s">
        <v>1120</v>
      </c>
      <c r="N94" s="115">
        <v>2000.0</v>
      </c>
      <c r="O94" s="115">
        <v>8.12521234E8</v>
      </c>
      <c r="P94" s="64" t="s">
        <v>1121</v>
      </c>
      <c r="Q94" s="64" t="s">
        <v>1131</v>
      </c>
      <c r="R94" s="109"/>
      <c r="S94" s="4"/>
      <c r="T94" s="4"/>
      <c r="U94" s="4"/>
      <c r="V94" s="4"/>
      <c r="W94" s="4"/>
      <c r="X94" s="4"/>
      <c r="Y94" s="4"/>
      <c r="Z94" s="4"/>
      <c r="AA94" s="4"/>
      <c r="AB94" s="4"/>
      <c r="AC94" s="4"/>
      <c r="AD94" s="4"/>
      <c r="AE94" s="4"/>
      <c r="AF94" s="4"/>
    </row>
    <row r="95">
      <c r="A95" s="64" t="s">
        <v>1137</v>
      </c>
      <c r="B95" s="73"/>
      <c r="C95" s="25">
        <v>7.7950043867E10</v>
      </c>
      <c r="D95" s="103" t="str">
        <f t="array" ref="D95">XLOOKUP(C95,'Master Data'!C:C,'Master Data'!D:D)</f>
        <v>Baner</v>
      </c>
      <c r="E95" s="104" t="s">
        <v>1138</v>
      </c>
      <c r="F95" s="105" t="str">
        <f t="array" ref="F95">XLOOKUP(C95,'Master Data'!C:C,'Master Data'!D:D)</f>
        <v>Baner</v>
      </c>
      <c r="G95" s="90" t="str">
        <f t="array" ref="G95">XLOOKUP(C95,'Master Data'!C:C,'Master Data'!E:E)</f>
        <v>Mariyamnisha shaikh</v>
      </c>
      <c r="H95" s="88" t="str">
        <f t="array" ref="H95">XLOOKUP(C95,'Master Data'!C:C,'Master Data'!F:F)</f>
        <v/>
      </c>
      <c r="I95" s="72" t="str">
        <f t="array" ref="I95">XLOOKUP(C95,'Master Data'!C:C,'Master Data'!G:G)</f>
        <v/>
      </c>
      <c r="J95" s="72" t="str">
        <f t="array" ref="J95">XLOOKUP(C95,'Master Data'!C:C,'Master Data'!H:H)</f>
        <v/>
      </c>
      <c r="K95" s="64" t="s">
        <v>1139</v>
      </c>
      <c r="L95" s="136" t="s">
        <v>1140</v>
      </c>
      <c r="M95" s="133" t="s">
        <v>1120</v>
      </c>
      <c r="N95" s="115">
        <v>2000.0</v>
      </c>
      <c r="O95" s="115">
        <v>8.12521234E8</v>
      </c>
      <c r="P95" s="64" t="s">
        <v>875</v>
      </c>
      <c r="Q95" s="64" t="s">
        <v>835</v>
      </c>
      <c r="R95" s="109"/>
      <c r="S95" s="4"/>
      <c r="T95" s="4"/>
      <c r="U95" s="4"/>
      <c r="V95" s="4"/>
      <c r="W95" s="4"/>
      <c r="X95" s="4"/>
      <c r="Y95" s="4"/>
      <c r="Z95" s="4"/>
      <c r="AA95" s="4"/>
      <c r="AB95" s="4"/>
      <c r="AC95" s="4"/>
      <c r="AD95" s="4"/>
      <c r="AE95" s="4"/>
      <c r="AF95" s="4"/>
    </row>
    <row r="96">
      <c r="A96" s="64" t="s">
        <v>1141</v>
      </c>
      <c r="B96" s="73"/>
      <c r="C96" s="6">
        <v>7.7000251172E10</v>
      </c>
      <c r="D96" s="103" t="str">
        <f t="array" ref="D96">XLOOKUP(C96,'Master Data'!C:C,'Master Data'!D:D)</f>
        <v>Vishrantwadi</v>
      </c>
      <c r="E96" s="104" t="s">
        <v>834</v>
      </c>
      <c r="F96" s="105" t="str">
        <f t="array" ref="F96">XLOOKUP(C96,'Master Data'!C:C,'Master Data'!D:D)</f>
        <v>Vishrantwadi</v>
      </c>
      <c r="G96" s="90" t="str">
        <f t="array" ref="G96">XLOOKUP(C96,'Master Data'!C:C,'Master Data'!E:E)</f>
        <v>Seema Abhijeet Rithe</v>
      </c>
      <c r="H96" s="88" t="str">
        <f t="array" ref="H96">XLOOKUP(C96,'Master Data'!C:C,'Master Data'!F:F)</f>
        <v> Nilesh Soundade</v>
      </c>
      <c r="I96" s="72" t="str">
        <f t="array" ref="I96">XLOOKUP(C96,'Master Data'!C:C,'Master Data'!G:G)</f>
        <v>Resale</v>
      </c>
      <c r="J96" s="72" t="str">
        <f t="array" ref="J96">XLOOKUP(C96,'Master Data'!C:C,'Master Data'!H:H)</f>
        <v>All that piece and parcel of the property being Flat No. 351, admeasuring 928 Sq. Ft. i.e. 86.25 Sq. Mtrs. carpet area, along with terrace admeasuring 109 Sq. Ft. i.e. 10.13 Sq. Mtrs., situated on the Third Floor, in Building No. “I” (Tropica I Co-operative Housing Society Limited) of the project known as “Tropica”, constructed on land bearing Survey Nos. 56/1A, 57/2, 58/1A and 57/1B, situated at Village Ravet, Taluka Haveli, District Pune, within the limits of Pimpri Chinchwad Municipal Corporation, together with Car Parking No. 727 (below central podium garden), bearing Property No. 1150103129.00 and Electricity Consumer No. 170074482328, along with all rights, easements and appurtenances thereto.</v>
      </c>
      <c r="K96" s="64" t="s">
        <v>1142</v>
      </c>
      <c r="L96" s="138" t="s">
        <v>1143</v>
      </c>
      <c r="M96" s="133" t="s">
        <v>1120</v>
      </c>
      <c r="N96" s="115">
        <v>2000.0</v>
      </c>
      <c r="O96" s="115">
        <v>8.12521234E8</v>
      </c>
      <c r="P96" s="64" t="s">
        <v>875</v>
      </c>
      <c r="Q96" s="64" t="s">
        <v>835</v>
      </c>
      <c r="R96" s="109"/>
      <c r="S96" s="4"/>
      <c r="T96" s="4"/>
      <c r="U96" s="4"/>
      <c r="V96" s="4"/>
      <c r="W96" s="4"/>
      <c r="X96" s="4"/>
      <c r="Y96" s="4"/>
      <c r="Z96" s="4"/>
      <c r="AA96" s="4"/>
      <c r="AB96" s="4"/>
      <c r="AC96" s="4"/>
      <c r="AD96" s="4"/>
      <c r="AE96" s="4"/>
      <c r="AF96" s="4"/>
    </row>
    <row r="97">
      <c r="A97" s="64" t="s">
        <v>1144</v>
      </c>
      <c r="B97" s="73"/>
      <c r="C97" s="6">
        <v>7.7000241597E10</v>
      </c>
      <c r="D97" s="103" t="str">
        <f t="array" ref="D97">XLOOKUP(C97,'Master Data'!C:C,'Master Data'!D:D)</f>
        <v>Chinchwad</v>
      </c>
      <c r="E97" s="104" t="s">
        <v>835</v>
      </c>
      <c r="F97" s="105" t="str">
        <f t="array" ref="F97">XLOOKUP(C97,'Master Data'!C:C,'Master Data'!D:D)</f>
        <v>Chinchwad</v>
      </c>
      <c r="G97" s="90" t="str">
        <f t="array" ref="G97">XLOOKUP(C97,'Master Data'!C:C,'Master Data'!E:E)</f>
        <v>Farhana Shah ( Flat 605)</v>
      </c>
      <c r="H97" s="88" t="str">
        <f t="array" ref="H97">XLOOKUP(C97,'Master Data'!C:C,'Master Data'!F:F)</f>
        <v/>
      </c>
      <c r="I97" s="72" t="str">
        <f t="array" ref="I97">XLOOKUP(C97,'Master Data'!C:C,'Master Data'!G:G)</f>
        <v/>
      </c>
      <c r="J97" s="72" t="str">
        <f t="array" ref="J97">XLOOKUP(C97,'Master Data'!C:C,'Master Data'!H:H)</f>
        <v/>
      </c>
      <c r="K97" s="64" t="s">
        <v>1145</v>
      </c>
      <c r="L97" s="138" t="s">
        <v>1146</v>
      </c>
      <c r="M97" s="133" t="s">
        <v>1120</v>
      </c>
      <c r="N97" s="115">
        <v>2000.0</v>
      </c>
      <c r="O97" s="115">
        <v>8.12521234E8</v>
      </c>
      <c r="P97" s="64" t="s">
        <v>875</v>
      </c>
      <c r="Q97" s="64" t="s">
        <v>835</v>
      </c>
      <c r="R97" s="109"/>
      <c r="S97" s="4"/>
      <c r="T97" s="4"/>
      <c r="U97" s="4"/>
      <c r="V97" s="4"/>
      <c r="W97" s="4"/>
      <c r="X97" s="4"/>
      <c r="Y97" s="4"/>
      <c r="Z97" s="4"/>
      <c r="AA97" s="4"/>
      <c r="AB97" s="4"/>
      <c r="AC97" s="4"/>
      <c r="AD97" s="4"/>
      <c r="AE97" s="4"/>
      <c r="AF97" s="4"/>
    </row>
    <row r="98">
      <c r="A98" s="64" t="s">
        <v>1144</v>
      </c>
      <c r="B98" s="73"/>
      <c r="C98" s="6">
        <v>7.7000241473E10</v>
      </c>
      <c r="D98" s="103" t="str">
        <f t="array" ref="D98">XLOOKUP(C98,'Master Data'!C:C,'Master Data'!D:D)</f>
        <v>Chinchwad</v>
      </c>
      <c r="E98" s="104" t="s">
        <v>835</v>
      </c>
      <c r="F98" s="105" t="str">
        <f t="array" ref="F98">XLOOKUP(C98,'Master Data'!C:C,'Master Data'!D:D)</f>
        <v>Chinchwad</v>
      </c>
      <c r="G98" s="90" t="str">
        <f t="array" ref="G98">XLOOKUP(C98,'Master Data'!C:C,'Master Data'!E:E)</f>
        <v>Farhana Shah ( Flat 606)</v>
      </c>
      <c r="H98" s="88" t="str">
        <f t="array" ref="H98">XLOOKUP(C98,'Master Data'!C:C,'Master Data'!F:F)</f>
        <v/>
      </c>
      <c r="I98" s="72" t="str">
        <f t="array" ref="I98">XLOOKUP(C98,'Master Data'!C:C,'Master Data'!G:G)</f>
        <v/>
      </c>
      <c r="J98" s="72" t="str">
        <f t="array" ref="J98">XLOOKUP(C98,'Master Data'!C:C,'Master Data'!H:H)</f>
        <v/>
      </c>
      <c r="K98" s="64" t="s">
        <v>1147</v>
      </c>
      <c r="L98" s="138" t="s">
        <v>1148</v>
      </c>
      <c r="M98" s="133" t="s">
        <v>1120</v>
      </c>
      <c r="N98" s="115">
        <v>2000.0</v>
      </c>
      <c r="O98" s="115">
        <v>8.12521234E8</v>
      </c>
      <c r="P98" s="64" t="s">
        <v>875</v>
      </c>
      <c r="Q98" s="64" t="s">
        <v>835</v>
      </c>
      <c r="R98" s="109"/>
      <c r="S98" s="4"/>
      <c r="T98" s="4"/>
      <c r="U98" s="4"/>
      <c r="V98" s="4"/>
      <c r="W98" s="4"/>
      <c r="X98" s="4"/>
      <c r="Y98" s="4"/>
      <c r="Z98" s="4"/>
      <c r="AA98" s="4"/>
      <c r="AB98" s="4"/>
      <c r="AC98" s="4"/>
      <c r="AD98" s="4"/>
      <c r="AE98" s="4"/>
      <c r="AF98" s="4"/>
    </row>
    <row r="99">
      <c r="A99" s="64" t="s">
        <v>1149</v>
      </c>
      <c r="B99" s="73"/>
      <c r="C99" s="6">
        <v>7.7000230649E10</v>
      </c>
      <c r="D99" s="103" t="str">
        <f t="array" ref="D99">XLOOKUP(C99,'Master Data'!C:C,'Master Data'!D:D)</f>
        <v>Main </v>
      </c>
      <c r="E99" s="104" t="s">
        <v>835</v>
      </c>
      <c r="F99" s="105" t="str">
        <f t="array" ref="F99">XLOOKUP(C99,'Master Data'!C:C,'Master Data'!D:D)</f>
        <v>Main </v>
      </c>
      <c r="G99" s="90" t="str">
        <f t="array" ref="G99">XLOOKUP(C99,'Master Data'!C:C,'Master Data'!E:E)</f>
        <v>Aniket Dandgavhan </v>
      </c>
      <c r="H99" s="88" t="str">
        <f t="array" ref="H99">XLOOKUP(C99,'Master Data'!C:C,'Master Data'!F:F)</f>
        <v/>
      </c>
      <c r="I99" s="72" t="str">
        <f t="array" ref="I99">XLOOKUP(C99,'Master Data'!C:C,'Master Data'!G:G)</f>
        <v/>
      </c>
      <c r="J99" s="72" t="str">
        <f t="array" ref="J99">XLOOKUP(C99,'Master Data'!C:C,'Master Data'!H:H)</f>
        <v/>
      </c>
      <c r="K99" s="139" t="s">
        <v>1150</v>
      </c>
      <c r="L99" s="138" t="s">
        <v>1151</v>
      </c>
      <c r="M99" s="133" t="s">
        <v>1120</v>
      </c>
      <c r="N99" s="115">
        <v>2000.0</v>
      </c>
      <c r="O99" s="115">
        <v>8.12521234E8</v>
      </c>
      <c r="P99" s="64" t="s">
        <v>875</v>
      </c>
      <c r="Q99" s="64" t="s">
        <v>835</v>
      </c>
      <c r="R99" s="109"/>
      <c r="S99" s="4"/>
      <c r="T99" s="4"/>
      <c r="U99" s="4"/>
      <c r="V99" s="4"/>
      <c r="W99" s="4"/>
      <c r="X99" s="4"/>
      <c r="Y99" s="4"/>
      <c r="Z99" s="4"/>
      <c r="AA99" s="4"/>
      <c r="AB99" s="4"/>
      <c r="AC99" s="4"/>
      <c r="AD99" s="4"/>
      <c r="AE99" s="4"/>
      <c r="AF99" s="4"/>
    </row>
    <row r="100">
      <c r="A100" s="73"/>
      <c r="B100" s="73"/>
      <c r="C100" s="140">
        <v>7.7000239652E10</v>
      </c>
      <c r="D100" s="103" t="str">
        <f t="array" ref="D100">XLOOKUP(C100,'Master Data'!C:C,'Master Data'!D:D)</f>
        <v>Hadapsar </v>
      </c>
      <c r="E100" s="104" t="s">
        <v>1125</v>
      </c>
      <c r="F100" s="105" t="str">
        <f t="array" ref="F100">XLOOKUP(C100,'Master Data'!C:C,'Master Data'!D:D)</f>
        <v>Hadapsar </v>
      </c>
      <c r="G100" s="90" t="str">
        <f t="array" ref="G100">XLOOKUP(C100,'Master Data'!C:C,'Master Data'!E:E)</f>
        <v>Harudevi Premsingh Bohara</v>
      </c>
      <c r="H100" s="88" t="str">
        <f t="array" ref="H100">XLOOKUP(C100,'Master Data'!C:C,'Master Data'!F:F)</f>
        <v/>
      </c>
      <c r="I100" s="72" t="str">
        <f t="array" ref="I100">XLOOKUP(C100,'Master Data'!C:C,'Master Data'!G:G)</f>
        <v/>
      </c>
      <c r="J100" s="72" t="str">
        <f t="array" ref="J100">XLOOKUP(C100,'Master Data'!C:C,'Master Data'!H:H)</f>
        <v/>
      </c>
      <c r="K100" s="73"/>
      <c r="L100" s="131"/>
      <c r="M100" s="73"/>
      <c r="N100" s="73"/>
      <c r="O100" s="73"/>
      <c r="P100" s="73"/>
      <c r="Q100" s="73"/>
      <c r="R100" s="109"/>
      <c r="S100" s="4"/>
      <c r="T100" s="4"/>
      <c r="U100" s="4"/>
      <c r="V100" s="4"/>
      <c r="W100" s="4"/>
      <c r="X100" s="4"/>
      <c r="Y100" s="4"/>
      <c r="Z100" s="4"/>
      <c r="AA100" s="4"/>
      <c r="AB100" s="4"/>
      <c r="AC100" s="4"/>
      <c r="AD100" s="4"/>
      <c r="AE100" s="4"/>
      <c r="AF100" s="4"/>
    </row>
    <row r="101">
      <c r="A101" s="73"/>
      <c r="B101" s="73"/>
      <c r="C101" s="6">
        <v>7.7000240185E10</v>
      </c>
      <c r="D101" s="103" t="str">
        <f t="array" ref="D101">XLOOKUP(C101,'Master Data'!C:C,'Master Data'!D:D)</f>
        <v>Main</v>
      </c>
      <c r="E101" s="104" t="s">
        <v>843</v>
      </c>
      <c r="F101" s="105" t="str">
        <f t="array" ref="F101">XLOOKUP(C101,'Master Data'!C:C,'Master Data'!D:D)</f>
        <v>Main</v>
      </c>
      <c r="G101" s="90" t="str">
        <f t="array" ref="G101">XLOOKUP(C101,'Master Data'!C:C,'Master Data'!E:E)</f>
        <v>Dnyaneshwar Balasaheb Kale</v>
      </c>
      <c r="H101" s="88" t="str">
        <f t="array" ref="H101">XLOOKUP(C101,'Master Data'!C:C,'Master Data'!F:F)</f>
        <v/>
      </c>
      <c r="I101" s="72" t="str">
        <f t="array" ref="I101">XLOOKUP(C101,'Master Data'!C:C,'Master Data'!G:G)</f>
        <v>Seller BT</v>
      </c>
      <c r="J101" s="72" t="str">
        <f t="array" ref="J101">XLOOKUP(C101,'Master Data'!C:C,'Master Data'!H:H)</f>
        <v>All that piece and parcel of Flat No. 304, Wing C, on the 3rd Floor, admeasuring 35.64 sq. mtrs. carpet area, along with enclosed balcony admeasuring 4.5 sq. mtrs., cupboard area admeasuring 0.44 sq. mtrs., dry balcony admeasuring 3 sq. mtrs., open terrace admeasuring 4.6 sq. mtrs., and one covered car parking space, in the project known as "Dynamic Grandeur – Phase 2 Essensia" (as per Index II) and forming part of the concerned Co-operative Housing Society, constructed on the land bearing: Survey No. 53 Hissa No. 4/2 admeasuring 0 Hectare 65 Ares, and Survey No. 54 (Part) admeasuring total 9 Hectares 32 Ares out of which 1 Hectare 60 Ares, and Survey No. 53/1 admeasuring 88 Ares, Survey No. 53/2 admeasuring 88 Ares, and Survey No. 53/3 admeasuring 82 Ares, out of the total land admeasuring 15,968.67 sq. mtrs., situated at Village Undri, Pune, within the limits of Pune Municipal Corporation and the jurisdiction of the Sub-Registrar, Haveli, Pune.</v>
      </c>
      <c r="K101" s="64" t="s">
        <v>707</v>
      </c>
      <c r="L101" s="138" t="s">
        <v>1152</v>
      </c>
      <c r="M101" s="133" t="s">
        <v>1120</v>
      </c>
      <c r="N101" s="115">
        <v>2000.0</v>
      </c>
      <c r="O101" s="115">
        <v>8.12521234E8</v>
      </c>
      <c r="P101" s="64" t="s">
        <v>875</v>
      </c>
      <c r="Q101" s="64" t="s">
        <v>843</v>
      </c>
      <c r="R101" s="109"/>
      <c r="S101" s="4"/>
      <c r="T101" s="4"/>
      <c r="U101" s="4"/>
      <c r="V101" s="4"/>
      <c r="W101" s="4"/>
      <c r="X101" s="4"/>
      <c r="Y101" s="4"/>
      <c r="Z101" s="4"/>
      <c r="AA101" s="4"/>
      <c r="AB101" s="4"/>
      <c r="AC101" s="4"/>
      <c r="AD101" s="4"/>
      <c r="AE101" s="4"/>
      <c r="AF101" s="4"/>
    </row>
    <row r="102">
      <c r="A102" s="73"/>
      <c r="B102" s="73"/>
      <c r="C102" s="6">
        <v>7.7000192662E10</v>
      </c>
      <c r="D102" s="103" t="str">
        <f t="array" ref="D102">XLOOKUP(C102,'Master Data'!C:C,'Master Data'!D:D)</f>
        <v>Chinchwad </v>
      </c>
      <c r="E102" s="104" t="s">
        <v>843</v>
      </c>
      <c r="F102" s="105" t="str">
        <f t="array" ref="F102">XLOOKUP(C102,'Master Data'!C:C,'Master Data'!D:D)</f>
        <v>Chinchwad </v>
      </c>
      <c r="G102" s="90" t="str">
        <f t="array" ref="G102">XLOOKUP(C102,'Master Data'!C:C,'Master Data'!E:E)</f>
        <v>Rushikesh Pawar</v>
      </c>
      <c r="H102" s="88" t="str">
        <f t="array" ref="H102">XLOOKUP(C102,'Master Data'!C:C,'Master Data'!F:F)</f>
        <v/>
      </c>
      <c r="I102" s="72" t="str">
        <f t="array" ref="I102">XLOOKUP(C102,'Master Data'!C:C,'Master Data'!G:G)</f>
        <v/>
      </c>
      <c r="J102" s="72"/>
      <c r="K102" s="64" t="s">
        <v>709</v>
      </c>
      <c r="L102" s="138" t="s">
        <v>1153</v>
      </c>
      <c r="M102" s="133" t="s">
        <v>1120</v>
      </c>
      <c r="N102" s="115">
        <v>2000.0</v>
      </c>
      <c r="O102" s="115">
        <v>8.12521234E8</v>
      </c>
      <c r="P102" s="64" t="s">
        <v>875</v>
      </c>
      <c r="Q102" s="64" t="s">
        <v>844</v>
      </c>
      <c r="R102" s="109"/>
      <c r="S102" s="4"/>
      <c r="T102" s="4"/>
      <c r="U102" s="4"/>
      <c r="V102" s="4"/>
      <c r="W102" s="4"/>
      <c r="X102" s="4"/>
      <c r="Y102" s="4"/>
      <c r="Z102" s="4"/>
      <c r="AA102" s="4"/>
      <c r="AB102" s="4"/>
      <c r="AC102" s="4"/>
      <c r="AD102" s="4"/>
      <c r="AE102" s="4"/>
      <c r="AF102" s="4"/>
    </row>
    <row r="103">
      <c r="A103" s="73"/>
      <c r="B103" s="73"/>
      <c r="C103" s="6">
        <v>7.79214982E9</v>
      </c>
      <c r="D103" s="103" t="str">
        <f t="array" ref="D103">XLOOKUP(C103,'Master Data'!C:C,'Master Data'!D:D)</f>
        <v>Chinchwad</v>
      </c>
      <c r="E103" s="104" t="s">
        <v>844</v>
      </c>
      <c r="F103" s="105" t="str">
        <f t="array" ref="F103">XLOOKUP(C103,'Master Data'!C:C,'Master Data'!D:D)</f>
        <v>Chinchwad</v>
      </c>
      <c r="G103" s="90" t="str">
        <f t="array" ref="G103">XLOOKUP(C103,'Master Data'!C:C,'Master Data'!E:E)</f>
        <v>PANKAJ RAMESH JADHAO</v>
      </c>
      <c r="H103" s="88" t="str">
        <f t="array" ref="H103">XLOOKUP(C103,'Master Data'!C:C,'Master Data'!F:F)</f>
        <v>DNYANESHWARI PRADIPRAO MAHALLE</v>
      </c>
      <c r="I103" s="72" t="str">
        <f t="array" ref="I103">XLOOKUP(C103,'Master Data'!C:C,'Master Data'!G:G)</f>
        <v>Builder Purchase</v>
      </c>
      <c r="J103" s="72" t="str">
        <f t="array" ref="J103">XLOOKUP(C103,'Master Data'!C:C,'Master Data'!H:H)</f>
        <v>All that piece and parcel of property bearing Flat No. 305, having an area admeasuring 71.44 Sq. Mtrs. (Carpet Area) along with Open Balcony Area 3.62 Sq. Mtrs. and Utility Area 1.91 Sq. Mtrs., situated on the Third Floor, in Tower No. 7, out of the project known as “Gera’s Isle of Joy – Project C”, constructed/to be constructed on the entire land property, i.e. Gat Nos. 1255/73, 1255/65, 1255/66, 1255/69, 1255/70, 1255/71, 1255/72 (Part) and 1267 (Part), situated at Village – Wagholi, Taluka – Haveli, District – Pune and within local limits of Pune Municipal Corporation.</v>
      </c>
      <c r="K103" s="64" t="s">
        <v>715</v>
      </c>
      <c r="L103" s="138" t="s">
        <v>1154</v>
      </c>
      <c r="M103" s="141" t="s">
        <v>1120</v>
      </c>
      <c r="N103" s="142">
        <v>2000.0</v>
      </c>
      <c r="O103" s="142">
        <v>8.12521234E8</v>
      </c>
      <c r="P103" s="64" t="s">
        <v>875</v>
      </c>
      <c r="Q103" s="64" t="s">
        <v>844</v>
      </c>
      <c r="R103" s="109"/>
      <c r="S103" s="4"/>
      <c r="T103" s="4"/>
      <c r="U103" s="4"/>
      <c r="V103" s="4"/>
      <c r="W103" s="4"/>
      <c r="X103" s="4"/>
      <c r="Y103" s="4"/>
      <c r="Z103" s="4"/>
      <c r="AA103" s="4"/>
      <c r="AB103" s="4"/>
      <c r="AC103" s="4"/>
      <c r="AD103" s="4"/>
      <c r="AE103" s="4"/>
      <c r="AF103" s="4"/>
    </row>
    <row r="104">
      <c r="A104" s="73"/>
      <c r="B104" s="73"/>
      <c r="C104" s="6">
        <v>7.7000234182E10</v>
      </c>
      <c r="D104" s="103" t="str">
        <f t="array" ref="D104">XLOOKUP(C104,'Master Data'!C:C,'Master Data'!D:D)</f>
        <v>Main</v>
      </c>
      <c r="E104" s="104" t="s">
        <v>844</v>
      </c>
      <c r="F104" s="105" t="str">
        <f t="array" ref="F104">XLOOKUP(C104,'Master Data'!C:C,'Master Data'!D:D)</f>
        <v>Main</v>
      </c>
      <c r="G104" s="90" t="str">
        <f t="array" ref="G104">XLOOKUP(C104,'Master Data'!C:C,'Master Data'!E:E)</f>
        <v>Swapan Mandol</v>
      </c>
      <c r="H104" s="88" t="str">
        <f t="array" ref="H104">XLOOKUP(C104,'Master Data'!C:C,'Master Data'!F:F)</f>
        <v>ABC</v>
      </c>
      <c r="I104" s="72" t="str">
        <f t="array" ref="I104">XLOOKUP(C104,'Master Data'!C:C,'Master Data'!G:G)</f>
        <v>Resale</v>
      </c>
      <c r="J104" s="72" t="str">
        <f t="array" ref="J104">XLOOKUP(C104,'Master Data'!C:C,'Master Data'!H:H)</f>
        <v>Pune. Ganesh Peth. CTS No. 48</v>
      </c>
      <c r="K104" s="64" t="s">
        <v>726</v>
      </c>
      <c r="L104" s="138" t="s">
        <v>1155</v>
      </c>
      <c r="M104" s="141" t="s">
        <v>1120</v>
      </c>
      <c r="N104" s="142">
        <v>2000.0</v>
      </c>
      <c r="O104" s="142">
        <v>8.12521234E8</v>
      </c>
      <c r="P104" s="64" t="s">
        <v>875</v>
      </c>
      <c r="Q104" s="64" t="s">
        <v>844</v>
      </c>
      <c r="R104" s="109"/>
      <c r="S104" s="4"/>
      <c r="T104" s="4"/>
      <c r="U104" s="4"/>
      <c r="V104" s="4"/>
      <c r="W104" s="4"/>
      <c r="X104" s="4"/>
      <c r="Y104" s="4"/>
      <c r="Z104" s="4"/>
      <c r="AA104" s="4"/>
      <c r="AB104" s="4"/>
      <c r="AC104" s="4"/>
      <c r="AD104" s="4"/>
      <c r="AE104" s="4"/>
      <c r="AF104" s="4"/>
    </row>
    <row r="105">
      <c r="A105" s="73"/>
      <c r="B105" s="73"/>
      <c r="C105" s="6">
        <v>7.7000259281E10</v>
      </c>
      <c r="D105" s="103" t="str">
        <f t="array" ref="D105">XLOOKUP(C105,'Master Data'!C:C,'Master Data'!D:D)</f>
        <v>Kolhapur</v>
      </c>
      <c r="E105" s="104" t="s">
        <v>844</v>
      </c>
      <c r="F105" s="105" t="str">
        <f t="array" ref="F105">XLOOKUP(C105,'Master Data'!C:C,'Master Data'!D:D)</f>
        <v>Kolhapur</v>
      </c>
      <c r="G105" s="90" t="str">
        <f t="array" ref="G105">XLOOKUP(C105,'Master Data'!C:C,'Master Data'!E:E)</f>
        <v>Mohan Yashavantrao jadhav </v>
      </c>
      <c r="H105" s="88" t="str">
        <f t="array" ref="H105">XLOOKUP(C105,'Master Data'!C:C,'Master Data'!F:F)</f>
        <v/>
      </c>
      <c r="I105" s="72" t="str">
        <f t="array" ref="I105">XLOOKUP(C105,'Master Data'!C:C,'Master Data'!G:G)</f>
        <v/>
      </c>
      <c r="J105" s="72" t="str">
        <f t="array" ref="J105">XLOOKUP(C105,'Master Data'!C:C,'Master Data'!H:H)</f>
        <v/>
      </c>
      <c r="K105" s="64" t="s">
        <v>1156</v>
      </c>
      <c r="L105" s="138" t="s">
        <v>1157</v>
      </c>
      <c r="M105" s="141" t="s">
        <v>1120</v>
      </c>
      <c r="N105" s="142">
        <v>2000.0</v>
      </c>
      <c r="O105" s="142">
        <v>8.12521234E8</v>
      </c>
      <c r="P105" s="64" t="s">
        <v>875</v>
      </c>
      <c r="Q105" s="64" t="s">
        <v>844</v>
      </c>
      <c r="R105" s="109"/>
      <c r="S105" s="4"/>
      <c r="T105" s="4"/>
      <c r="U105" s="4"/>
      <c r="V105" s="4"/>
      <c r="W105" s="4"/>
      <c r="X105" s="4"/>
      <c r="Y105" s="4"/>
      <c r="Z105" s="4"/>
      <c r="AA105" s="4"/>
      <c r="AB105" s="4"/>
      <c r="AC105" s="4"/>
      <c r="AD105" s="4"/>
      <c r="AE105" s="4"/>
      <c r="AF105" s="4"/>
    </row>
    <row r="106">
      <c r="A106" s="73"/>
      <c r="B106" s="73"/>
      <c r="C106" s="6">
        <v>7.7000241479E10</v>
      </c>
      <c r="D106" s="103" t="str">
        <f t="array" ref="D106">XLOOKUP(C106,'Master Data'!C:C,'Master Data'!D:D)</f>
        <v>Main</v>
      </c>
      <c r="E106" s="104" t="s">
        <v>845</v>
      </c>
      <c r="F106" s="105" t="str">
        <f t="array" ref="F106">XLOOKUP(C106,'Master Data'!C:C,'Master Data'!D:D)</f>
        <v>Main</v>
      </c>
      <c r="G106" s="90" t="str">
        <f t="array" ref="G106">XLOOKUP(C106,'Master Data'!C:C,'Master Data'!E:E)</f>
        <v>Rohit Namdev Kale</v>
      </c>
      <c r="H106" s="88" t="str">
        <f t="array" ref="H106">XLOOKUP(C106,'Master Data'!C:C,'Master Data'!F:F)</f>
        <v/>
      </c>
      <c r="I106" s="72" t="str">
        <f t="array" ref="I106">XLOOKUP(C106,'Master Data'!C:C,'Master Data'!G:G)</f>
        <v/>
      </c>
      <c r="J106" s="72"/>
      <c r="K106" s="64" t="s">
        <v>737</v>
      </c>
      <c r="L106" s="138" t="s">
        <v>1158</v>
      </c>
      <c r="M106" s="141" t="s">
        <v>1120</v>
      </c>
      <c r="N106" s="142">
        <v>2000.0</v>
      </c>
      <c r="O106" s="142">
        <v>8.12521234E8</v>
      </c>
      <c r="P106" s="64" t="s">
        <v>875</v>
      </c>
      <c r="Q106" s="64" t="s">
        <v>846</v>
      </c>
      <c r="R106" s="109"/>
      <c r="S106" s="4"/>
      <c r="T106" s="4"/>
      <c r="U106" s="4"/>
      <c r="V106" s="4"/>
      <c r="W106" s="4"/>
      <c r="X106" s="4"/>
      <c r="Y106" s="4"/>
      <c r="Z106" s="4"/>
      <c r="AA106" s="4"/>
      <c r="AB106" s="4"/>
      <c r="AC106" s="4"/>
      <c r="AD106" s="4"/>
      <c r="AE106" s="4"/>
      <c r="AF106" s="4"/>
    </row>
    <row r="107">
      <c r="A107" s="73"/>
      <c r="B107" s="73"/>
      <c r="C107" s="6" t="s">
        <v>740</v>
      </c>
      <c r="D107" s="103" t="str">
        <f t="array" ref="D107">XLOOKUP(C107,'Master Data'!C:C,'Master Data'!D:D)</f>
        <v>wakad</v>
      </c>
      <c r="E107" s="104" t="s">
        <v>845</v>
      </c>
      <c r="F107" s="105" t="str">
        <f t="array" ref="F107">XLOOKUP(C107,'Master Data'!C:C,'Master Data'!D:D)</f>
        <v>wakad</v>
      </c>
      <c r="G107" s="90" t="str">
        <f t="array" ref="G107">XLOOKUP(C107,'Master Data'!C:C,'Master Data'!E:E)</f>
        <v>Faiyaz Shaikh </v>
      </c>
      <c r="H107" s="88" t="str">
        <f t="array" ref="H107">XLOOKUP(C107,'Master Data'!C:C,'Master Data'!F:F)</f>
        <v/>
      </c>
      <c r="I107" s="72" t="str">
        <f t="array" ref="I107">XLOOKUP(C107,'Master Data'!C:C,'Master Data'!G:G)</f>
        <v/>
      </c>
      <c r="J107" s="72"/>
      <c r="K107" s="64" t="s">
        <v>742</v>
      </c>
      <c r="L107" s="138" t="s">
        <v>1159</v>
      </c>
      <c r="M107" s="141" t="s">
        <v>1120</v>
      </c>
      <c r="N107" s="142">
        <v>2000.0</v>
      </c>
      <c r="O107" s="142">
        <v>8.12521234E8</v>
      </c>
      <c r="P107" s="64" t="s">
        <v>875</v>
      </c>
      <c r="Q107" s="64" t="s">
        <v>844</v>
      </c>
      <c r="R107" s="109"/>
      <c r="S107" s="4"/>
      <c r="T107" s="4"/>
      <c r="U107" s="4"/>
      <c r="V107" s="4"/>
      <c r="W107" s="4"/>
      <c r="X107" s="4"/>
      <c r="Y107" s="4"/>
      <c r="Z107" s="4"/>
      <c r="AA107" s="4"/>
      <c r="AB107" s="4"/>
      <c r="AC107" s="4"/>
      <c r="AD107" s="4"/>
      <c r="AE107" s="4"/>
      <c r="AF107" s="4"/>
    </row>
    <row r="108">
      <c r="A108" s="73"/>
      <c r="B108" s="73"/>
      <c r="C108" s="6">
        <v>7.7000251375E10</v>
      </c>
      <c r="D108" s="103" t="str">
        <f t="array" ref="D108">XLOOKUP(C108,'Master Data'!C:C,'Master Data'!D:D)</f>
        <v>Kolhapur</v>
      </c>
      <c r="E108" s="104" t="s">
        <v>845</v>
      </c>
      <c r="F108" s="105" t="str">
        <f t="array" ref="F108">XLOOKUP(C108,'Master Data'!C:C,'Master Data'!D:D)</f>
        <v>Kolhapur</v>
      </c>
      <c r="G108" s="90" t="str">
        <f t="array" ref="G108">XLOOKUP(C108,'Master Data'!C:C,'Master Data'!E:E)</f>
        <v>Jagdish Mohanram Mahariya</v>
      </c>
      <c r="H108" s="88" t="str">
        <f t="array" ref="H108">XLOOKUP(C108,'Master Data'!C:C,'Master Data'!F:F)</f>
        <v>Dhannaram Mohanram Maharia</v>
      </c>
      <c r="I108" s="72" t="str">
        <f t="array" ref="I108">XLOOKUP(C108,'Master Data'!C:C,'Master Data'!G:G)</f>
        <v>LAP</v>
      </c>
      <c r="J108" s="72" t="str">
        <f t="array" ref="J108">XLOOKUP(C108,'Master Data'!C:C,'Master Data'!H:H)</f>
        <v>All that piece and parcel of property admeasuring of H. 00-14 Ares, out of Gat No. 54, having an area admeasuring of H. 00-85 Ares, together with Pot-Kharab area admeasuring of H. 00-09 Ares, assessed at Rs. 01-75 Paise, situated at Village – Vikaswadi, Taluka – Karveer, District – Kolhapur</v>
      </c>
      <c r="K108" s="64" t="s">
        <v>745</v>
      </c>
      <c r="L108" s="138" t="s">
        <v>1160</v>
      </c>
      <c r="M108" s="141" t="s">
        <v>1120</v>
      </c>
      <c r="N108" s="142">
        <v>2000.0</v>
      </c>
      <c r="O108" s="142">
        <v>8.12521234E8</v>
      </c>
      <c r="P108" s="64" t="s">
        <v>587</v>
      </c>
      <c r="Q108" s="64" t="s">
        <v>845</v>
      </c>
      <c r="R108" s="109"/>
      <c r="S108" s="4"/>
      <c r="T108" s="4"/>
      <c r="U108" s="4"/>
      <c r="V108" s="4"/>
      <c r="W108" s="4"/>
      <c r="X108" s="4"/>
      <c r="Y108" s="4"/>
      <c r="Z108" s="4"/>
      <c r="AA108" s="4"/>
      <c r="AB108" s="4"/>
      <c r="AC108" s="4"/>
      <c r="AD108" s="4"/>
      <c r="AE108" s="4"/>
      <c r="AF108" s="4"/>
    </row>
    <row r="109">
      <c r="A109" s="73"/>
      <c r="B109" s="73"/>
      <c r="C109" s="6" t="s">
        <v>746</v>
      </c>
      <c r="D109" s="103" t="str">
        <f t="array" ref="D109">XLOOKUP(C109,'Master Data'!C:C,'Master Data'!D:D)</f>
        <v>Kolhapur</v>
      </c>
      <c r="E109" s="104" t="s">
        <v>845</v>
      </c>
      <c r="F109" s="105" t="str">
        <f t="array" ref="F109">XLOOKUP(C109,'Master Data'!C:C,'Master Data'!D:D)</f>
        <v>Kolhapur</v>
      </c>
      <c r="G109" s="90" t="str">
        <f t="array" ref="G109">XLOOKUP(C109,'Master Data'!C:C,'Master Data'!E:E)</f>
        <v> Vandana Vitthal Dalavi </v>
      </c>
      <c r="H109" s="88" t="str">
        <f t="array" ref="H109">XLOOKUP(C109,'Master Data'!C:C,'Master Data'!F:F)</f>
        <v/>
      </c>
      <c r="I109" s="72" t="str">
        <f t="array" ref="I109">XLOOKUP(C109,'Master Data'!C:C,'Master Data'!G:G)</f>
        <v/>
      </c>
      <c r="J109" s="72" t="str">
        <f t="array" ref="J109">XLOOKUP(C109,'Master Data'!C:C,'Master Data'!H:H)</f>
        <v/>
      </c>
      <c r="K109" s="64" t="s">
        <v>1161</v>
      </c>
      <c r="L109" s="138" t="s">
        <v>1162</v>
      </c>
      <c r="M109" s="64" t="s">
        <v>1120</v>
      </c>
      <c r="N109" s="64">
        <v>2000.0</v>
      </c>
      <c r="O109" s="64">
        <v>8.12521234E8</v>
      </c>
      <c r="P109" s="64" t="s">
        <v>10</v>
      </c>
      <c r="Q109" s="64" t="s">
        <v>845</v>
      </c>
      <c r="R109" s="109"/>
      <c r="S109" s="4"/>
      <c r="T109" s="4"/>
      <c r="U109" s="4"/>
      <c r="V109" s="4"/>
      <c r="W109" s="4"/>
      <c r="X109" s="4"/>
      <c r="Y109" s="4"/>
      <c r="Z109" s="4"/>
      <c r="AA109" s="4"/>
      <c r="AB109" s="4"/>
      <c r="AC109" s="4"/>
      <c r="AD109" s="4"/>
      <c r="AE109" s="4"/>
      <c r="AF109" s="4"/>
    </row>
    <row r="110">
      <c r="A110" s="73"/>
      <c r="B110" s="73"/>
      <c r="C110" s="6" t="s">
        <v>748</v>
      </c>
      <c r="D110" s="103" t="str">
        <f t="array" ref="D110">XLOOKUP(C110,'Master Data'!C:C,'Master Data'!D:D)</f>
        <v>Kolhapur</v>
      </c>
      <c r="E110" s="104" t="s">
        <v>845</v>
      </c>
      <c r="F110" s="105" t="str">
        <f t="array" ref="F110">XLOOKUP(C110,'Master Data'!C:C,'Master Data'!D:D)</f>
        <v>Kolhapur</v>
      </c>
      <c r="G110" s="90" t="str">
        <f t="array" ref="G110">XLOOKUP(C110,'Master Data'!C:C,'Master Data'!E:E)</f>
        <v>Vandana Vitthal Dalavi </v>
      </c>
      <c r="H110" s="88" t="str">
        <f t="array" ref="H110">XLOOKUP(C110,'Master Data'!C:C,'Master Data'!F:F)</f>
        <v/>
      </c>
      <c r="I110" s="72" t="str">
        <f t="array" ref="I110">XLOOKUP(C110,'Master Data'!C:C,'Master Data'!G:G)</f>
        <v/>
      </c>
      <c r="J110" s="72" t="str">
        <f t="array" ref="J110">XLOOKUP(C110,'Master Data'!C:C,'Master Data'!H:H)</f>
        <v/>
      </c>
      <c r="K110" s="64" t="s">
        <v>1163</v>
      </c>
      <c r="L110" s="138" t="s">
        <v>1164</v>
      </c>
      <c r="M110" s="64" t="s">
        <v>1120</v>
      </c>
      <c r="N110" s="64">
        <v>2000.0</v>
      </c>
      <c r="O110" s="64">
        <v>8.12521234E8</v>
      </c>
      <c r="P110" s="64" t="s">
        <v>10</v>
      </c>
      <c r="Q110" s="64" t="s">
        <v>845</v>
      </c>
      <c r="R110" s="109"/>
      <c r="S110" s="4"/>
      <c r="T110" s="4"/>
      <c r="U110" s="4"/>
      <c r="V110" s="4"/>
      <c r="W110" s="4"/>
      <c r="X110" s="4"/>
      <c r="Y110" s="4"/>
      <c r="Z110" s="4"/>
      <c r="AA110" s="4"/>
      <c r="AB110" s="4"/>
      <c r="AC110" s="4"/>
      <c r="AD110" s="4"/>
      <c r="AE110" s="4"/>
      <c r="AF110" s="4"/>
    </row>
    <row r="111">
      <c r="A111" s="73"/>
      <c r="B111" s="73"/>
      <c r="C111" s="6" t="s">
        <v>750</v>
      </c>
      <c r="D111" s="103" t="str">
        <f t="array" ref="D111">XLOOKUP(C111,'Master Data'!C:C,'Master Data'!D:D)</f>
        <v>Kolhapur</v>
      </c>
      <c r="E111" s="104" t="s">
        <v>845</v>
      </c>
      <c r="F111" s="105" t="str">
        <f t="array" ref="F111">XLOOKUP(C111,'Master Data'!C:C,'Master Data'!D:D)</f>
        <v>Kolhapur</v>
      </c>
      <c r="G111" s="90" t="str">
        <f t="array" ref="G111">XLOOKUP(C111,'Master Data'!C:C,'Master Data'!E:E)</f>
        <v>Vandana Vitthal Dalavi </v>
      </c>
      <c r="H111" s="88" t="str">
        <f t="array" ref="H111">XLOOKUP(C111,'Master Data'!C:C,'Master Data'!F:F)</f>
        <v/>
      </c>
      <c r="I111" s="72" t="str">
        <f t="array" ref="I111">XLOOKUP(C111,'Master Data'!C:C,'Master Data'!G:G)</f>
        <v/>
      </c>
      <c r="J111" s="72" t="str">
        <f t="array" ref="J111">XLOOKUP(C111,'Master Data'!C:C,'Master Data'!H:H)</f>
        <v/>
      </c>
      <c r="K111" s="64" t="s">
        <v>762</v>
      </c>
      <c r="L111" s="138" t="s">
        <v>1165</v>
      </c>
      <c r="M111" s="64" t="s">
        <v>1120</v>
      </c>
      <c r="N111" s="64">
        <v>2000.0</v>
      </c>
      <c r="O111" s="64">
        <v>8.12521234E8</v>
      </c>
      <c r="P111" s="64" t="s">
        <v>10</v>
      </c>
      <c r="Q111" s="64" t="s">
        <v>845</v>
      </c>
      <c r="R111" s="109"/>
      <c r="S111" s="4"/>
      <c r="T111" s="4"/>
      <c r="U111" s="4"/>
      <c r="V111" s="4"/>
      <c r="W111" s="4"/>
      <c r="X111" s="4"/>
      <c r="Y111" s="4"/>
      <c r="Z111" s="4"/>
      <c r="AA111" s="4"/>
      <c r="AB111" s="4"/>
      <c r="AC111" s="4"/>
      <c r="AD111" s="4"/>
      <c r="AE111" s="4"/>
      <c r="AF111" s="4"/>
    </row>
    <row r="112">
      <c r="A112" s="73"/>
      <c r="B112" s="73"/>
      <c r="C112" s="20" t="s">
        <v>118</v>
      </c>
      <c r="D112" s="103" t="str">
        <f t="array" ref="D112">XLOOKUP(C112,'Master Data'!C:C,'Master Data'!D:D)</f>
        <v>Main</v>
      </c>
      <c r="E112" s="104" t="s">
        <v>846</v>
      </c>
      <c r="F112" s="105" t="str">
        <f t="array" ref="F112">XLOOKUP(C112,'Master Data'!C:C,'Master Data'!D:D)</f>
        <v>Main</v>
      </c>
      <c r="G112" s="90" t="str">
        <f t="array" ref="G112">XLOOKUP(C112,'Master Data'!C:C,'Master Data'!E:E)</f>
        <v>Aaiji Developers </v>
      </c>
      <c r="H112" s="88" t="str">
        <f t="array" ref="H112">XLOOKUP(C112,'Master Data'!C:C,'Master Data'!F:F)</f>
        <v>Jiwaram Magaji Choudhary 
Suresh Jiwaram Choudhary
Hemant Jiwaram Choudhary</v>
      </c>
      <c r="I112" s="72" t="str">
        <f t="array" ref="I112">XLOOKUP(C112,'Master Data'!C:C,'Master Data'!G:G)</f>
        <v>Lap Commercial</v>
      </c>
      <c r="J112" s="72" t="str">
        <f t="array" ref="J112">XLOOKUP(C112,'Master Data'!C:C,'Master Data'!H:H)</f>
        <v>All that piece and parcel of property bearing Office No. 401, having carpet area admeasuring of 714.50 sq. mtrs., situated on the Fourth Floor, out of the project known as “Solitaire Business Hub – Baner”, constructed on the entire land bearing Survey No. 3/7B,+ 9 situated at Village Baner, Taluka – Haveli, District – Pune and within local limits of Pune Municipal Corporation, Pune.</v>
      </c>
      <c r="K112" s="64" t="s">
        <v>1166</v>
      </c>
      <c r="L112" s="138" t="s">
        <v>1167</v>
      </c>
      <c r="M112" s="64" t="s">
        <v>1120</v>
      </c>
      <c r="N112" s="64">
        <v>2000.0</v>
      </c>
      <c r="O112" s="64">
        <v>8.12521234E8</v>
      </c>
      <c r="P112" s="64" t="s">
        <v>10</v>
      </c>
      <c r="Q112" s="64" t="s">
        <v>846</v>
      </c>
      <c r="R112" s="109"/>
      <c r="S112" s="4"/>
      <c r="T112" s="4"/>
      <c r="U112" s="4"/>
      <c r="V112" s="4"/>
      <c r="W112" s="4"/>
      <c r="X112" s="4"/>
      <c r="Y112" s="4"/>
      <c r="Z112" s="4"/>
      <c r="AA112" s="4"/>
      <c r="AB112" s="4"/>
      <c r="AC112" s="4"/>
      <c r="AD112" s="4"/>
      <c r="AE112" s="4"/>
      <c r="AF112" s="4"/>
    </row>
    <row r="113">
      <c r="A113" s="73"/>
      <c r="B113" s="73"/>
      <c r="C113" s="6">
        <v>7.7000256309E10</v>
      </c>
      <c r="D113" s="103" t="str">
        <f t="array" ref="D113">XLOOKUP(C113,'Master Data'!C:C,'Master Data'!D:D)</f>
        <v>Kolhapur</v>
      </c>
      <c r="E113" s="104" t="s">
        <v>846</v>
      </c>
      <c r="F113" s="105" t="str">
        <f t="array" ref="F113">XLOOKUP(C113,'Master Data'!C:C,'Master Data'!D:D)</f>
        <v>Kolhapur</v>
      </c>
      <c r="G113" s="90" t="str">
        <f t="array" ref="G113">XLOOKUP(C113,'Master Data'!C:C,'Master Data'!E:E)</f>
        <v>Dipak Sambhaji Kadam</v>
      </c>
      <c r="H113" s="88" t="str">
        <f t="array" ref="H113">XLOOKUP(C113,'Master Data'!C:C,'Master Data'!F:F)</f>
        <v>Rahul Sambhaji Kadam Bharati Rahul Kadam</v>
      </c>
      <c r="I113" s="72" t="str">
        <f t="array" ref="I113">XLOOKUP(C113,'Master Data'!C:C,'Master Data'!G:G)</f>
        <v>Regular P+C</v>
      </c>
      <c r="J113" s="72" t="str">
        <f t="array" ref="J113">XLOOKUP(C113,'Master Data'!C:C,'Master Data'!H:H)</f>
        <v>A ward Karvir Kolhapur S.No.896</v>
      </c>
      <c r="K113" s="6" t="s">
        <v>752</v>
      </c>
      <c r="L113" s="138" t="s">
        <v>1168</v>
      </c>
      <c r="M113" s="64" t="s">
        <v>1169</v>
      </c>
      <c r="N113" s="64">
        <v>2000.0</v>
      </c>
      <c r="O113" s="64">
        <v>4.48714977E8</v>
      </c>
      <c r="P113" s="64" t="s">
        <v>10</v>
      </c>
      <c r="Q113" s="64" t="s">
        <v>845</v>
      </c>
      <c r="R113" s="109"/>
      <c r="S113" s="4"/>
      <c r="T113" s="4"/>
      <c r="U113" s="4"/>
      <c r="V113" s="4"/>
      <c r="W113" s="4"/>
      <c r="X113" s="4"/>
      <c r="Y113" s="4"/>
      <c r="Z113" s="4"/>
      <c r="AA113" s="4"/>
      <c r="AB113" s="4"/>
      <c r="AC113" s="4"/>
      <c r="AD113" s="4"/>
      <c r="AE113" s="4"/>
      <c r="AF113" s="4"/>
    </row>
    <row r="114">
      <c r="A114" s="73"/>
      <c r="B114" s="73"/>
      <c r="C114" s="6">
        <v>7.7000239094E10</v>
      </c>
      <c r="D114" s="103" t="str">
        <f t="array" ref="D114">XLOOKUP(C114,'Master Data'!C:C,'Master Data'!D:D)</f>
        <v>Main</v>
      </c>
      <c r="E114" s="104" t="s">
        <v>846</v>
      </c>
      <c r="F114" s="105" t="str">
        <f t="array" ref="F114">XLOOKUP(C114,'Master Data'!C:C,'Master Data'!D:D)</f>
        <v>Main</v>
      </c>
      <c r="G114" s="90" t="str">
        <f t="array" ref="G114">XLOOKUP(C114,'Master Data'!C:C,'Master Data'!E:E)</f>
        <v>Bhavesh Marne</v>
      </c>
      <c r="H114" s="88" t="str">
        <f t="array" ref="H114">XLOOKUP(C114,'Master Data'!C:C,'Master Data'!F:F)</f>
        <v/>
      </c>
      <c r="I114" s="72" t="str">
        <f t="array" ref="I114">XLOOKUP(C114,'Master Data'!C:C,'Master Data'!G:G)</f>
        <v/>
      </c>
      <c r="J114" s="72"/>
      <c r="K114" s="6" t="s">
        <v>758</v>
      </c>
      <c r="L114" s="143" t="s">
        <v>1170</v>
      </c>
      <c r="M114" s="64" t="s">
        <v>1169</v>
      </c>
      <c r="N114" s="64">
        <v>2000.0</v>
      </c>
      <c r="O114" s="64">
        <v>4.48714977E8</v>
      </c>
      <c r="P114" s="64" t="s">
        <v>875</v>
      </c>
      <c r="Q114" s="64" t="s">
        <v>846</v>
      </c>
      <c r="R114" s="109"/>
      <c r="S114" s="4"/>
      <c r="T114" s="4"/>
      <c r="U114" s="4"/>
      <c r="V114" s="4"/>
      <c r="W114" s="4"/>
      <c r="X114" s="4"/>
      <c r="Y114" s="4"/>
      <c r="Z114" s="4"/>
      <c r="AA114" s="4"/>
      <c r="AB114" s="4"/>
      <c r="AC114" s="4"/>
      <c r="AD114" s="4"/>
      <c r="AE114" s="4"/>
      <c r="AF114" s="4"/>
    </row>
    <row r="115">
      <c r="A115" s="73"/>
      <c r="B115" s="73"/>
      <c r="C115" s="6">
        <v>7.7000241159E10</v>
      </c>
      <c r="D115" s="103" t="str">
        <f t="array" ref="D115">XLOOKUP(C115,'Master Data'!C:C,'Master Data'!D:D)</f>
        <v>Kolhapur</v>
      </c>
      <c r="E115" s="104" t="s">
        <v>846</v>
      </c>
      <c r="F115" s="105" t="str">
        <f t="array" ref="F115">XLOOKUP(C115,'Master Data'!C:C,'Master Data'!D:D)</f>
        <v>Kolhapur</v>
      </c>
      <c r="G115" s="90" t="str">
        <f t="array" ref="G115">XLOOKUP(C115,'Master Data'!C:C,'Master Data'!E:E)</f>
        <v>Yuvraj Vithoba Patil </v>
      </c>
      <c r="H115" s="88" t="str">
        <f t="array" ref="H115">XLOOKUP(C115,'Master Data'!C:C,'Master Data'!F:F)</f>
        <v/>
      </c>
      <c r="I115" s="72" t="str">
        <f t="array" ref="I115">XLOOKUP(C115,'Master Data'!C:C,'Master Data'!G:G)</f>
        <v/>
      </c>
      <c r="J115" s="72"/>
      <c r="K115" s="6" t="s">
        <v>760</v>
      </c>
      <c r="L115" s="143" t="s">
        <v>1171</v>
      </c>
      <c r="M115" s="64" t="s">
        <v>1169</v>
      </c>
      <c r="N115" s="64">
        <v>2000.0</v>
      </c>
      <c r="O115" s="64">
        <v>4.48714977E8</v>
      </c>
      <c r="P115" s="64" t="s">
        <v>10</v>
      </c>
      <c r="Q115" s="64" t="s">
        <v>845</v>
      </c>
      <c r="R115" s="109"/>
      <c r="S115" s="4"/>
      <c r="T115" s="4"/>
      <c r="U115" s="4"/>
      <c r="V115" s="4"/>
      <c r="W115" s="4"/>
      <c r="X115" s="4"/>
      <c r="Y115" s="4"/>
      <c r="Z115" s="4"/>
      <c r="AA115" s="4"/>
      <c r="AB115" s="4"/>
      <c r="AC115" s="4"/>
      <c r="AD115" s="4"/>
      <c r="AE115" s="4"/>
      <c r="AF115" s="4"/>
    </row>
    <row r="116">
      <c r="A116" s="73"/>
      <c r="B116" s="73"/>
      <c r="C116" s="6">
        <v>7.700024078E10</v>
      </c>
      <c r="D116" s="103" t="str">
        <f t="array" ref="D116">XLOOKUP(C116,'Master Data'!C:C,'Master Data'!D:D)</f>
        <v> Hadapsar </v>
      </c>
      <c r="E116" s="104"/>
      <c r="F116" s="105" t="str">
        <f t="array" ref="F116">XLOOKUP(C116,'Master Data'!C:C,'Master Data'!D:D)</f>
        <v> Hadapsar </v>
      </c>
      <c r="G116" s="90" t="str">
        <f t="array" ref="G116">XLOOKUP(C116,'Master Data'!C:C,'Master Data'!E:E)</f>
        <v>Sarath Nagalla</v>
      </c>
      <c r="H116" s="88" t="str">
        <f t="array" ref="H116">XLOOKUP(C116,'Master Data'!C:C,'Master Data'!F:F)</f>
        <v/>
      </c>
      <c r="I116" s="72" t="str">
        <f t="array" ref="I116">XLOOKUP(C116,'Master Data'!C:C,'Master Data'!G:G)</f>
        <v/>
      </c>
      <c r="J116" s="144"/>
      <c r="K116" s="72" t="str">
        <f t="array" ref="K116">XLOOKUP(C116,'Master Data'!C:C,'Master Data'!H:H)</f>
        <v>11464/2026/Haveli 11</v>
      </c>
      <c r="L116" s="143" t="s">
        <v>1172</v>
      </c>
      <c r="M116" s="64" t="s">
        <v>1169</v>
      </c>
      <c r="N116" s="64">
        <v>2000.0</v>
      </c>
      <c r="O116" s="64">
        <v>4.48714977E8</v>
      </c>
      <c r="P116" s="64" t="s">
        <v>875</v>
      </c>
      <c r="Q116" s="64" t="s">
        <v>846</v>
      </c>
      <c r="R116" s="109"/>
      <c r="S116" s="4"/>
      <c r="T116" s="4"/>
      <c r="U116" s="4"/>
      <c r="V116" s="4"/>
      <c r="W116" s="4"/>
      <c r="X116" s="4"/>
      <c r="Y116" s="4"/>
      <c r="Z116" s="4"/>
      <c r="AA116" s="4"/>
      <c r="AB116" s="4"/>
      <c r="AC116" s="4"/>
      <c r="AD116" s="4"/>
      <c r="AE116" s="4"/>
      <c r="AF116" s="4"/>
    </row>
    <row r="117">
      <c r="A117" s="73"/>
      <c r="B117" s="73"/>
      <c r="C117" s="110">
        <v>7.700026363E10</v>
      </c>
      <c r="D117" s="103" t="str">
        <f t="array" ref="D117">XLOOKUP(C117,'Master Data'!C:C,'Master Data'!D:D)</f>
        <v>Hadapsar</v>
      </c>
      <c r="E117" s="104"/>
      <c r="F117" s="105" t="str">
        <f t="array" ref="F117">XLOOKUP(C117,'Master Data'!C:C,'Master Data'!D:D)</f>
        <v>Hadapsar</v>
      </c>
      <c r="G117" s="90" t="str">
        <f t="array" ref="G117">XLOOKUP(C117,'Master Data'!C:C,'Master Data'!E:E)</f>
        <v> Manesh Tarachand Khaire</v>
      </c>
      <c r="H117" s="88" t="str">
        <f t="array" ref="H117">XLOOKUP(C117,'Master Data'!C:C,'Master Data'!F:F)</f>
        <v>Reshma Manesh Khaire</v>
      </c>
      <c r="I117" s="72" t="str">
        <f t="array" ref="I117">XLOOKUP(C117,'Master Data'!C:C,'Master Data'!G:G)</f>
        <v>LAP</v>
      </c>
      <c r="J117" s="72" t="str">
        <f t="array" ref="J117">XLOOKUP(C117,'Master Data'!C:C,'Master Data'!H:H)</f>
        <v>All that piece and parcel of property bearing Flat No. 14, having an area admeasuring 39.94 Sq. Mtrs. i.e. 430 Sq. Ft. (Carpet Area), situated on the Third Floor, in Building/Wing No. A, Building No. 12, out of the project known as “Dreams Nivara Phase II”, constructed on the entire land property bearing Gat No. 528 and Gat No. 529, situated at Village – Koregaon-Mul, Taluka – Haveli, District – Pune.</v>
      </c>
      <c r="K117" s="64" t="s">
        <v>1173</v>
      </c>
      <c r="L117" s="145" t="s">
        <v>1174</v>
      </c>
      <c r="M117" s="73"/>
      <c r="N117" s="73"/>
      <c r="O117" s="73"/>
      <c r="P117" s="64" t="s">
        <v>875</v>
      </c>
      <c r="Q117" s="64" t="s">
        <v>846</v>
      </c>
      <c r="R117" s="109"/>
      <c r="S117" s="4"/>
      <c r="T117" s="4"/>
      <c r="U117" s="4"/>
      <c r="V117" s="4"/>
      <c r="W117" s="4"/>
      <c r="X117" s="4"/>
      <c r="Y117" s="4"/>
      <c r="Z117" s="4"/>
      <c r="AA117" s="4"/>
      <c r="AB117" s="4"/>
      <c r="AC117" s="4"/>
      <c r="AD117" s="4"/>
      <c r="AE117" s="4"/>
      <c r="AF117" s="4"/>
    </row>
    <row r="118">
      <c r="A118" s="73"/>
      <c r="B118" s="73"/>
      <c r="C118" s="110">
        <v>7.700026179E10</v>
      </c>
      <c r="D118" s="103" t="str">
        <f t="array" ref="D118">XLOOKUP(C118,'Master Data'!C:C,'Master Data'!D:D)</f>
        <v>Main</v>
      </c>
      <c r="E118" s="104"/>
      <c r="F118" s="105" t="str">
        <f t="array" ref="F118">XLOOKUP(C118,'Master Data'!C:C,'Master Data'!D:D)</f>
        <v>Main</v>
      </c>
      <c r="G118" s="90" t="str">
        <f t="array" ref="G118">XLOOKUP(C118,'Master Data'!C:C,'Master Data'!E:E)</f>
        <v>Mahalunge Real Estate Developers Pvt. Ltd.</v>
      </c>
      <c r="H118" s="88" t="str">
        <f t="array" ref="H118">XLOOKUP(C118,'Master Data'!C:C,'Master Data'!F:F)</f>
        <v>4e2038fbf4974653</v>
      </c>
      <c r="I118" s="72" t="str">
        <f t="array" ref="I118">XLOOKUP(C118,'Master Data'!C:C,'Master Data'!G:G)</f>
        <v>LAP Commercial</v>
      </c>
      <c r="J118" s="72" t="str">
        <f t="array" ref="J118">XLOOKUP(C118,'Master Data'!C:C,'Master Data'!H:H)</f>
        <v>Pune. Wakad. S. No. 153</v>
      </c>
      <c r="K118" s="64" t="s">
        <v>1175</v>
      </c>
      <c r="L118" s="146" t="s">
        <v>1175</v>
      </c>
      <c r="M118" s="73"/>
      <c r="N118" s="73"/>
      <c r="O118" s="73"/>
      <c r="P118" s="64" t="s">
        <v>1176</v>
      </c>
      <c r="Q118" s="64" t="s">
        <v>846</v>
      </c>
      <c r="R118" s="109"/>
      <c r="S118" s="4"/>
      <c r="T118" s="4"/>
      <c r="U118" s="4"/>
      <c r="V118" s="4"/>
      <c r="W118" s="4"/>
      <c r="X118" s="4"/>
      <c r="Y118" s="4"/>
      <c r="Z118" s="4"/>
      <c r="AA118" s="4"/>
      <c r="AB118" s="4"/>
      <c r="AC118" s="4"/>
      <c r="AD118" s="4"/>
      <c r="AE118" s="4"/>
      <c r="AF118" s="4"/>
    </row>
    <row r="119">
      <c r="A119" s="73"/>
      <c r="B119" s="73"/>
      <c r="C119" s="6">
        <v>7.7000246552E10</v>
      </c>
      <c r="D119" s="103" t="str">
        <f t="array" ref="D119">XLOOKUP(C119,'Master Data'!C:C,'Master Data'!D:D)</f>
        <v>Main</v>
      </c>
      <c r="E119" s="104" t="s">
        <v>862</v>
      </c>
      <c r="F119" s="105" t="str">
        <f t="array" ref="F119">XLOOKUP(C119,'Master Data'!C:C,'Master Data'!D:D)</f>
        <v>Main</v>
      </c>
      <c r="G119" s="90" t="str">
        <f t="array" ref="G119">XLOOKUP(C119,'Master Data'!C:C,'Master Data'!E:E)</f>
        <v>Vaibhav Phadke</v>
      </c>
      <c r="H119" s="88" t="str">
        <f t="array" ref="H119">XLOOKUP(C119,'Master Data'!C:C,'Master Data'!F:F)</f>
        <v/>
      </c>
      <c r="I119" s="72" t="str">
        <f t="array" ref="I119">XLOOKUP(C119,'Master Data'!C:C,'Master Data'!G:G)</f>
        <v/>
      </c>
      <c r="J119" s="75" t="s">
        <v>1177</v>
      </c>
      <c r="K119" s="6" t="s">
        <v>774</v>
      </c>
      <c r="L119" s="145" t="s">
        <v>1178</v>
      </c>
      <c r="M119" s="64" t="s">
        <v>1169</v>
      </c>
      <c r="N119" s="64">
        <v>2000.0</v>
      </c>
      <c r="O119" s="64">
        <v>4.48714977E8</v>
      </c>
      <c r="P119" s="64" t="s">
        <v>875</v>
      </c>
      <c r="Q119" s="64" t="s">
        <v>862</v>
      </c>
      <c r="R119" s="109"/>
      <c r="S119" s="4"/>
      <c r="T119" s="4"/>
      <c r="U119" s="4"/>
      <c r="V119" s="4"/>
      <c r="W119" s="4"/>
      <c r="X119" s="4"/>
      <c r="Y119" s="4"/>
      <c r="Z119" s="4"/>
      <c r="AA119" s="4"/>
      <c r="AB119" s="4"/>
      <c r="AC119" s="4"/>
      <c r="AD119" s="4"/>
      <c r="AE119" s="4"/>
      <c r="AF119" s="4"/>
    </row>
    <row r="120">
      <c r="A120" s="73"/>
      <c r="B120" s="64" t="s">
        <v>114</v>
      </c>
      <c r="C120" s="26">
        <v>7.7000261957E10</v>
      </c>
      <c r="D120" s="103" t="str">
        <f t="array" ref="D120">XLOOKUP(C120,'Master Data'!C:C,'Master Data'!D:D)</f>
        <v>Chinchwad</v>
      </c>
      <c r="E120" s="104"/>
      <c r="F120" s="105" t="str">
        <f t="array" ref="F120">XLOOKUP(C120,'Master Data'!C:C,'Master Data'!D:D)</f>
        <v>Chinchwad</v>
      </c>
      <c r="G120" s="90" t="str">
        <f t="array" ref="G120">XLOOKUP(C120,'Master Data'!C:C,'Master Data'!E:E)</f>
        <v>MRUNALINI Vishwas Tongale</v>
      </c>
      <c r="H120" s="88" t="str">
        <f t="array" ref="H120">XLOOKUP(C120,'Master Data'!C:C,'Master Data'!F:F)</f>
        <v>Viraj Vishwas Tongale </v>
      </c>
      <c r="I120" s="72" t="str">
        <f t="array" ref="I120">XLOOKUP(C120,'Master Data'!C:C,'Master Data'!G:G)</f>
        <v>LAP</v>
      </c>
      <c r="J120" s="72" t="str">
        <f t="array" ref="J120">XLOOKUP(C120,'Master Data'!C:C,'Master Data'!H:H)</f>
        <v>All that piece and parcel of property bearing Shop (Store) No. 32, having an area admeasuring of 175 sq. feets., i.e. 16.26 sq. mtrs., situated on the Ground Floor, out of the project known as “Khandage Arcade”, constructed on the land bearing CTS No. 1158 to 1184, situated at Village – Talegaon Dabhade (Shahari), Taluka – Mawal, District – Pune.</v>
      </c>
      <c r="K120" s="64" t="s">
        <v>1179</v>
      </c>
      <c r="L120" s="145" t="s">
        <v>1180</v>
      </c>
      <c r="M120" s="64" t="s">
        <v>1169</v>
      </c>
      <c r="N120" s="64">
        <v>2000.0</v>
      </c>
      <c r="O120" s="64">
        <v>4.48714977E8</v>
      </c>
      <c r="P120" s="64" t="s">
        <v>875</v>
      </c>
      <c r="Q120" s="64" t="s">
        <v>846</v>
      </c>
      <c r="R120" s="109"/>
      <c r="S120" s="4"/>
      <c r="T120" s="4"/>
      <c r="U120" s="4"/>
      <c r="V120" s="4"/>
      <c r="W120" s="4"/>
      <c r="X120" s="4"/>
      <c r="Y120" s="4"/>
      <c r="Z120" s="4"/>
      <c r="AA120" s="4"/>
      <c r="AB120" s="4"/>
      <c r="AC120" s="4"/>
      <c r="AD120" s="4"/>
      <c r="AE120" s="4"/>
      <c r="AF120" s="4"/>
    </row>
    <row r="121">
      <c r="A121" s="73"/>
      <c r="B121" s="73"/>
      <c r="C121" s="147"/>
      <c r="D121" s="103" t="str">
        <f t="array" ref="D121">XLOOKUP(C125,'Master Data'!C:C,'Master Data'!D:D)</f>
        <v>#N/A</v>
      </c>
      <c r="E121" s="104" t="s">
        <v>862</v>
      </c>
      <c r="F121" s="105" t="str">
        <f t="array" ref="F121">XLOOKUP(C125,'Master Data'!C:C,'Master Data'!D:D)</f>
        <v>#N/A</v>
      </c>
      <c r="G121" s="90" t="s">
        <v>1181</v>
      </c>
      <c r="H121" s="88" t="str">
        <f t="array" ref="H121">XLOOKUP(C125,'Master Data'!C:C,'Master Data'!F:F)</f>
        <v>#N/A</v>
      </c>
      <c r="I121" s="72" t="str">
        <f t="array" ref="I121">XLOOKUP(C125,'Master Data'!C:C,'Master Data'!G:G)</f>
        <v>#N/A</v>
      </c>
      <c r="J121" s="72" t="str">
        <f t="array" ref="J121">XLOOKUP(C125,'Master Data'!C:C,'Master Data'!H:H)</f>
        <v>#N/A</v>
      </c>
      <c r="K121" s="73"/>
      <c r="L121" s="148"/>
      <c r="M121" s="73"/>
      <c r="N121" s="73"/>
      <c r="O121" s="73"/>
      <c r="P121" s="64" t="s">
        <v>875</v>
      </c>
      <c r="Q121" s="64" t="s">
        <v>12</v>
      </c>
      <c r="R121" s="109"/>
      <c r="S121" s="4"/>
      <c r="T121" s="4"/>
      <c r="U121" s="4"/>
      <c r="V121" s="4"/>
      <c r="W121" s="4"/>
      <c r="X121" s="4"/>
      <c r="Y121" s="4"/>
      <c r="Z121" s="4"/>
      <c r="AA121" s="4"/>
      <c r="AB121" s="4"/>
      <c r="AC121" s="4"/>
      <c r="AD121" s="4"/>
      <c r="AE121" s="4"/>
      <c r="AF121" s="4"/>
    </row>
    <row r="122">
      <c r="A122" s="73"/>
      <c r="B122" s="73"/>
      <c r="C122" s="147"/>
      <c r="D122" s="103" t="str">
        <f t="array" ref="D122">XLOOKUP(C126,'Master Data'!C:C,'Master Data'!D:D)</f>
        <v>#N/A</v>
      </c>
      <c r="E122" s="104" t="s">
        <v>862</v>
      </c>
      <c r="F122" s="105" t="str">
        <f t="array" ref="F122">XLOOKUP(C122,'Master Data'!C:C,'Master Data'!D:D)</f>
        <v>#N/A</v>
      </c>
      <c r="G122" s="90" t="str">
        <f t="array" ref="G122">XLOOKUP(C122,'Master Data'!C:C,'Master Data'!E:E)</f>
        <v>#N/A</v>
      </c>
      <c r="H122" s="88" t="str">
        <f t="array" ref="H122">XLOOKUP(C122,'Master Data'!C:C,'Master Data'!F:F)</f>
        <v>#N/A</v>
      </c>
      <c r="I122" s="72" t="str">
        <f t="array" ref="I122">XLOOKUP(C122,'Master Data'!C:C,'Master Data'!G:G)</f>
        <v>#N/A</v>
      </c>
      <c r="J122" s="72" t="str">
        <f t="array" ref="J122">XLOOKUP(C122,'Master Data'!C:C,'Master Data'!H:H)</f>
        <v>#N/A</v>
      </c>
      <c r="K122" s="73"/>
      <c r="L122" s="149"/>
      <c r="M122" s="73"/>
      <c r="N122" s="73"/>
      <c r="O122" s="73"/>
      <c r="P122" s="73"/>
      <c r="Q122" s="73"/>
      <c r="R122" s="109"/>
      <c r="S122" s="4"/>
      <c r="T122" s="4"/>
      <c r="U122" s="4"/>
      <c r="V122" s="4"/>
      <c r="W122" s="4"/>
      <c r="X122" s="4"/>
      <c r="Y122" s="4"/>
      <c r="Z122" s="4"/>
      <c r="AA122" s="4"/>
      <c r="AB122" s="4"/>
      <c r="AC122" s="4"/>
      <c r="AD122" s="4"/>
      <c r="AE122" s="4"/>
      <c r="AF122" s="4"/>
    </row>
    <row r="123">
      <c r="A123" s="73"/>
      <c r="B123" s="73"/>
      <c r="C123" s="110">
        <v>7.7000011349E10</v>
      </c>
      <c r="D123" s="103" t="str">
        <f t="array" ref="D123">XLOOKUP(#REF!,'Master Data'!C:C,'Master Data'!D:D)</f>
        <v>#REF!</v>
      </c>
      <c r="E123" s="104"/>
      <c r="F123" s="105" t="str">
        <f t="array" ref="F123">XLOOKUP(C123,'Master Data'!C:C,'Master Data'!D:D)</f>
        <v>Kolhapur</v>
      </c>
      <c r="G123" s="90" t="str">
        <f t="array" ref="G123">XLOOKUP(C123,'Master Data'!C:C,'Master Data'!E:E)</f>
        <v>Neha Bhusari </v>
      </c>
      <c r="H123" s="88" t="str">
        <f t="array" ref="H123">XLOOKUP(C123,'Master Data'!C:C,'Master Data'!F:F)</f>
        <v/>
      </c>
      <c r="I123" s="72" t="str">
        <f t="array" ref="I123">XLOOKUP(C123,'Master Data'!C:C,'Master Data'!G:G)</f>
        <v/>
      </c>
      <c r="J123" s="72" t="str">
        <f t="array" ref="J123">XLOOKUP(C123,'Master Data'!C:C,'Master Data'!H:H)</f>
        <v/>
      </c>
      <c r="K123" s="64" t="s">
        <v>1182</v>
      </c>
      <c r="L123" s="54" t="s">
        <v>1183</v>
      </c>
      <c r="M123" s="73"/>
      <c r="N123" s="73"/>
      <c r="O123" s="73"/>
      <c r="P123" s="73"/>
      <c r="Q123" s="73"/>
      <c r="R123" s="109"/>
      <c r="S123" s="4"/>
      <c r="T123" s="4"/>
      <c r="U123" s="4"/>
      <c r="V123" s="4"/>
      <c r="W123" s="4"/>
      <c r="X123" s="4"/>
      <c r="Y123" s="4"/>
      <c r="Z123" s="4"/>
      <c r="AA123" s="4"/>
      <c r="AB123" s="4"/>
      <c r="AC123" s="4"/>
      <c r="AD123" s="4"/>
      <c r="AE123" s="4"/>
      <c r="AF123" s="4"/>
    </row>
    <row r="124">
      <c r="A124" s="73"/>
      <c r="B124" s="73"/>
      <c r="C124" s="110">
        <v>7.7000241296E10</v>
      </c>
      <c r="D124" s="103" t="str">
        <f t="array" ref="D124">XLOOKUP(#REF!,'Master Data'!C:C,'Master Data'!D:D)</f>
        <v>#REF!</v>
      </c>
      <c r="E124" s="104"/>
      <c r="F124" s="105" t="str">
        <f t="array" ref="F124">XLOOKUP(C124,'Master Data'!C:C,'Master Data'!D:D)</f>
        <v>Kolhapur</v>
      </c>
      <c r="G124" s="90" t="str">
        <f t="array" ref="G124">XLOOKUP(C124,'Master Data'!C:C,'Master Data'!E:E)</f>
        <v>Saurabh Madhukar Patil </v>
      </c>
      <c r="H124" s="88" t="str">
        <f t="array" ref="H124">XLOOKUP(C124,'Master Data'!C:C,'Master Data'!F:F)</f>
        <v/>
      </c>
      <c r="I124" s="72" t="str">
        <f t="array" ref="I124">XLOOKUP(C124,'Master Data'!C:C,'Master Data'!G:G)</f>
        <v/>
      </c>
      <c r="J124" s="72" t="str">
        <f t="array" ref="J124">XLOOKUP(C124,'Master Data'!C:C,'Master Data'!H:H)</f>
        <v/>
      </c>
      <c r="K124" s="64" t="s">
        <v>1184</v>
      </c>
      <c r="L124" s="145" t="s">
        <v>1185</v>
      </c>
      <c r="M124" s="73"/>
      <c r="N124" s="73"/>
      <c r="O124" s="73"/>
      <c r="P124" s="73"/>
      <c r="Q124" s="73"/>
      <c r="R124" s="109"/>
      <c r="S124" s="4"/>
      <c r="T124" s="4"/>
      <c r="U124" s="4"/>
      <c r="V124" s="4"/>
      <c r="W124" s="4"/>
      <c r="X124" s="4"/>
      <c r="Y124" s="4"/>
      <c r="Z124" s="4"/>
      <c r="AA124" s="4"/>
      <c r="AB124" s="4"/>
      <c r="AC124" s="4"/>
      <c r="AD124" s="4"/>
      <c r="AE124" s="4"/>
      <c r="AF124" s="4"/>
    </row>
    <row r="125">
      <c r="A125" s="73"/>
      <c r="B125" s="73"/>
      <c r="C125" s="147"/>
      <c r="D125" s="103" t="str">
        <f t="array" ref="D125">XLOOKUP(#REF!,'Master Data'!C:C,'Master Data'!D:D)</f>
        <v>#REF!</v>
      </c>
      <c r="E125" s="104"/>
      <c r="F125" s="105" t="str">
        <f t="array" ref="F125">XLOOKUP(C125,'Master Data'!C:C,'Master Data'!D:D)</f>
        <v>#N/A</v>
      </c>
      <c r="G125" s="90" t="str">
        <f t="array" ref="G125">XLOOKUP(C125,'Master Data'!C:C,'Master Data'!E:E)</f>
        <v>#N/A</v>
      </c>
      <c r="H125" s="88" t="str">
        <f t="array" ref="H125">XLOOKUP(C125,'Master Data'!C:C,'Master Data'!F:F)</f>
        <v>#N/A</v>
      </c>
      <c r="I125" s="72" t="str">
        <f t="array" ref="I125">XLOOKUP(C125,'Master Data'!C:C,'Master Data'!G:G)</f>
        <v>#N/A</v>
      </c>
      <c r="J125" s="72" t="str">
        <f t="array" ref="J125">XLOOKUP(C125,'Master Data'!C:C,'Master Data'!H:H)</f>
        <v>#N/A</v>
      </c>
      <c r="K125" s="73"/>
      <c r="L125" s="149"/>
      <c r="M125" s="73"/>
      <c r="N125" s="73"/>
      <c r="O125" s="73"/>
      <c r="P125" s="73"/>
      <c r="Q125" s="73"/>
      <c r="R125" s="109"/>
      <c r="S125" s="4"/>
      <c r="T125" s="4"/>
      <c r="U125" s="4"/>
      <c r="V125" s="4"/>
      <c r="W125" s="4"/>
      <c r="X125" s="4"/>
      <c r="Y125" s="4"/>
      <c r="Z125" s="4"/>
      <c r="AA125" s="4"/>
      <c r="AB125" s="4"/>
      <c r="AC125" s="4"/>
      <c r="AD125" s="4"/>
      <c r="AE125" s="4"/>
      <c r="AF125" s="4"/>
    </row>
    <row r="126">
      <c r="A126" s="73"/>
      <c r="B126" s="73"/>
      <c r="C126" s="147"/>
      <c r="D126" s="103" t="str">
        <f t="array" ref="D126">XLOOKUP(#REF!,'Master Data'!C:C,'Master Data'!D:D)</f>
        <v>#REF!</v>
      </c>
      <c r="E126" s="104"/>
      <c r="F126" s="105" t="str">
        <f t="array" ref="F126">XLOOKUP(C126,'Master Data'!C:C,'Master Data'!D:D)</f>
        <v>#N/A</v>
      </c>
      <c r="G126" s="90" t="str">
        <f t="array" ref="G126">XLOOKUP(C126,'Master Data'!C:C,'Master Data'!E:E)</f>
        <v>#N/A</v>
      </c>
      <c r="H126" s="88" t="str">
        <f t="array" ref="H126">XLOOKUP(C126,'Master Data'!C:C,'Master Data'!F:F)</f>
        <v>#N/A</v>
      </c>
      <c r="I126" s="72" t="str">
        <f t="array" ref="I126">XLOOKUP(C126,'Master Data'!C:C,'Master Data'!G:G)</f>
        <v>#N/A</v>
      </c>
      <c r="J126" s="72" t="str">
        <f t="array" ref="J126">XLOOKUP(C126,'Master Data'!C:C,'Master Data'!H:H)</f>
        <v>#N/A</v>
      </c>
      <c r="K126" s="73"/>
      <c r="L126" s="149"/>
      <c r="M126" s="73"/>
      <c r="N126" s="73"/>
      <c r="O126" s="73"/>
      <c r="P126" s="73"/>
      <c r="Q126" s="73"/>
      <c r="R126" s="109"/>
      <c r="S126" s="4"/>
      <c r="T126" s="4"/>
      <c r="U126" s="4"/>
      <c r="V126" s="4"/>
      <c r="W126" s="4"/>
      <c r="X126" s="4"/>
      <c r="Y126" s="4"/>
      <c r="Z126" s="4"/>
      <c r="AA126" s="4"/>
      <c r="AB126" s="4"/>
      <c r="AC126" s="4"/>
      <c r="AD126" s="4"/>
      <c r="AE126" s="4"/>
      <c r="AF126" s="4"/>
    </row>
    <row r="127">
      <c r="A127" s="73"/>
      <c r="B127" s="73"/>
      <c r="C127" s="147"/>
      <c r="D127" s="103" t="str">
        <f t="array" ref="D127">XLOOKUP(C127,'Master Data'!C:C,'Master Data'!D:D)</f>
        <v>#N/A</v>
      </c>
      <c r="E127" s="104"/>
      <c r="F127" s="105" t="str">
        <f t="array" ref="F127">XLOOKUP(C127,'Master Data'!C:C,'Master Data'!D:D)</f>
        <v>#N/A</v>
      </c>
      <c r="G127" s="90" t="str">
        <f t="array" ref="G127">XLOOKUP(C127,'Master Data'!C:C,'Master Data'!E:E)</f>
        <v>#N/A</v>
      </c>
      <c r="H127" s="88" t="str">
        <f t="array" ref="H127">XLOOKUP(C127,'Master Data'!C:C,'Master Data'!F:F)</f>
        <v>#N/A</v>
      </c>
      <c r="I127" s="72" t="str">
        <f t="array" ref="I127">XLOOKUP(C127,'Master Data'!C:C,'Master Data'!G:G)</f>
        <v>#N/A</v>
      </c>
      <c r="J127" s="72" t="str">
        <f t="array" ref="J127">XLOOKUP(C127,'Master Data'!C:C,'Master Data'!H:H)</f>
        <v>#N/A</v>
      </c>
      <c r="K127" s="73"/>
      <c r="L127" s="149"/>
      <c r="M127" s="73"/>
      <c r="N127" s="73"/>
      <c r="O127" s="73"/>
      <c r="P127" s="73"/>
      <c r="Q127" s="73"/>
      <c r="R127" s="109"/>
      <c r="S127" s="4"/>
      <c r="T127" s="4"/>
      <c r="U127" s="4"/>
      <c r="V127" s="4"/>
      <c r="W127" s="4"/>
      <c r="X127" s="4"/>
      <c r="Y127" s="4"/>
      <c r="Z127" s="4"/>
      <c r="AA127" s="4"/>
      <c r="AB127" s="4"/>
      <c r="AC127" s="4"/>
      <c r="AD127" s="4"/>
      <c r="AE127" s="4"/>
      <c r="AF127" s="4"/>
    </row>
    <row r="128">
      <c r="A128" s="73"/>
      <c r="B128" s="73"/>
      <c r="C128" s="147"/>
      <c r="D128" s="103" t="str">
        <f t="array" ref="D128">XLOOKUP(C128,'Master Data'!C:C,'Master Data'!D:D)</f>
        <v>#N/A</v>
      </c>
      <c r="E128" s="104"/>
      <c r="F128" s="105" t="str">
        <f t="array" ref="F128">XLOOKUP(C128,'Master Data'!C:C,'Master Data'!D:D)</f>
        <v>#N/A</v>
      </c>
      <c r="G128" s="90" t="str">
        <f t="array" ref="G128">XLOOKUP(C128,'Master Data'!C:C,'Master Data'!E:E)</f>
        <v>#N/A</v>
      </c>
      <c r="H128" s="88" t="str">
        <f t="array" ref="H128">XLOOKUP(C128,'Master Data'!C:C,'Master Data'!F:F)</f>
        <v>#N/A</v>
      </c>
      <c r="I128" s="72" t="str">
        <f t="array" ref="I128">XLOOKUP(C128,'Master Data'!C:C,'Master Data'!G:G)</f>
        <v>#N/A</v>
      </c>
      <c r="J128" s="72" t="str">
        <f t="array" ref="J128">XLOOKUP(C128,'Master Data'!C:C,'Master Data'!H:H)</f>
        <v>#N/A</v>
      </c>
      <c r="K128" s="73"/>
      <c r="L128" s="149"/>
      <c r="M128" s="73"/>
      <c r="N128" s="73"/>
      <c r="O128" s="73"/>
      <c r="P128" s="73"/>
      <c r="Q128" s="73"/>
      <c r="R128" s="109"/>
      <c r="S128" s="4"/>
      <c r="T128" s="4"/>
      <c r="U128" s="4"/>
      <c r="V128" s="4"/>
      <c r="W128" s="4"/>
      <c r="X128" s="4"/>
      <c r="Y128" s="4"/>
      <c r="Z128" s="4"/>
      <c r="AA128" s="4"/>
      <c r="AB128" s="4"/>
      <c r="AC128" s="4"/>
      <c r="AD128" s="4"/>
      <c r="AE128" s="4"/>
      <c r="AF128" s="4"/>
    </row>
    <row r="129">
      <c r="A129" s="73"/>
      <c r="B129" s="73"/>
      <c r="C129" s="147"/>
      <c r="D129" s="103" t="str">
        <f t="array" ref="D129">XLOOKUP(C121,'Master Data'!C:C,'Master Data'!D:D)</f>
        <v>#N/A</v>
      </c>
      <c r="E129" s="104"/>
      <c r="F129" s="105" t="str">
        <f t="array" ref="F129">XLOOKUP(C121,'Master Data'!C:C,'Master Data'!D:D)</f>
        <v>#N/A</v>
      </c>
      <c r="G129" s="90" t="str">
        <f t="array" ref="G129">XLOOKUP(C121,'Master Data'!C:C,'Master Data'!E:E)</f>
        <v>#N/A</v>
      </c>
      <c r="H129" s="88" t="str">
        <f t="array" ref="H129">XLOOKUP(C121,'Master Data'!C:C,'Master Data'!F:F)</f>
        <v>#N/A</v>
      </c>
      <c r="I129" s="72" t="str">
        <f t="array" ref="I129">XLOOKUP(C121,'Master Data'!C:C,'Master Data'!G:G)</f>
        <v>#N/A</v>
      </c>
      <c r="J129" s="72" t="str">
        <f t="array" ref="J129">XLOOKUP(C121,'Master Data'!C:C,'Master Data'!H:H)</f>
        <v>#N/A</v>
      </c>
      <c r="K129" s="73"/>
      <c r="L129" s="149"/>
      <c r="M129" s="73"/>
      <c r="N129" s="73"/>
      <c r="O129" s="73"/>
      <c r="P129" s="73"/>
      <c r="Q129" s="73"/>
      <c r="R129" s="109"/>
      <c r="S129" s="4"/>
      <c r="T129" s="4"/>
      <c r="U129" s="4"/>
      <c r="V129" s="4"/>
      <c r="W129" s="4"/>
      <c r="X129" s="4"/>
      <c r="Y129" s="4"/>
      <c r="Z129" s="4"/>
      <c r="AA129" s="4"/>
      <c r="AB129" s="4"/>
      <c r="AC129" s="4"/>
      <c r="AD129" s="4"/>
      <c r="AE129" s="4"/>
      <c r="AF129" s="4"/>
    </row>
    <row r="130">
      <c r="A130" s="73"/>
      <c r="B130" s="73"/>
      <c r="C130" s="147"/>
      <c r="D130" s="103" t="str">
        <f t="array" ref="D130">XLOOKUP(C122,'Master Data'!C:C,'Master Data'!D:D)</f>
        <v>#N/A</v>
      </c>
      <c r="E130" s="104"/>
      <c r="F130" s="105" t="str">
        <f t="array" ref="F130">XLOOKUP(C122,'Master Data'!C:C,'Master Data'!D:D)</f>
        <v>#N/A</v>
      </c>
      <c r="G130" s="90" t="str">
        <f t="array" ref="G130">XLOOKUP(C122,'Master Data'!C:C,'Master Data'!E:E)</f>
        <v>#N/A</v>
      </c>
      <c r="H130" s="88" t="str">
        <f t="array" ref="H130">XLOOKUP(C122,'Master Data'!C:C,'Master Data'!F:F)</f>
        <v>#N/A</v>
      </c>
      <c r="I130" s="72" t="str">
        <f t="array" ref="I130">XLOOKUP(C122,'Master Data'!C:C,'Master Data'!G:G)</f>
        <v>#N/A</v>
      </c>
      <c r="J130" s="72" t="str">
        <f t="array" ref="J130">XLOOKUP(C122,'Master Data'!C:C,'Master Data'!H:H)</f>
        <v>#N/A</v>
      </c>
      <c r="K130" s="73"/>
      <c r="L130" s="149"/>
      <c r="M130" s="73"/>
      <c r="N130" s="73"/>
      <c r="O130" s="73"/>
      <c r="P130" s="73"/>
      <c r="Q130" s="73"/>
      <c r="R130" s="109"/>
      <c r="S130" s="4"/>
      <c r="T130" s="4"/>
      <c r="U130" s="4"/>
      <c r="V130" s="4"/>
      <c r="W130" s="4"/>
      <c r="X130" s="4"/>
      <c r="Y130" s="4"/>
      <c r="Z130" s="4"/>
      <c r="AA130" s="4"/>
      <c r="AB130" s="4"/>
      <c r="AC130" s="4"/>
      <c r="AD130" s="4"/>
      <c r="AE130" s="4"/>
      <c r="AF130" s="4"/>
    </row>
    <row r="131">
      <c r="A131" s="73"/>
      <c r="B131" s="73"/>
      <c r="C131" s="147"/>
      <c r="D131" s="103" t="str">
        <f t="array" ref="D131">XLOOKUP(C123,'Master Data'!C:C,'Master Data'!D:D)</f>
        <v>Kolhapur</v>
      </c>
      <c r="E131" s="104"/>
      <c r="F131" s="105" t="str">
        <f t="array" ref="F131">XLOOKUP(C123,'Master Data'!C:C,'Master Data'!D:D)</f>
        <v>Kolhapur</v>
      </c>
      <c r="G131" s="90" t="str">
        <f t="array" ref="G131">XLOOKUP(C123,'Master Data'!C:C,'Master Data'!E:E)</f>
        <v>Neha Bhusari </v>
      </c>
      <c r="H131" s="88" t="str">
        <f t="array" ref="H131">XLOOKUP(C123,'Master Data'!C:C,'Master Data'!F:F)</f>
        <v/>
      </c>
      <c r="I131" s="72" t="str">
        <f t="array" ref="I131">XLOOKUP(C123,'Master Data'!C:C,'Master Data'!G:G)</f>
        <v/>
      </c>
      <c r="J131" s="72" t="str">
        <f t="array" ref="J131">XLOOKUP(C123,'Master Data'!C:C,'Master Data'!H:H)</f>
        <v/>
      </c>
      <c r="K131" s="73"/>
      <c r="L131" s="149"/>
      <c r="M131" s="73"/>
      <c r="N131" s="73"/>
      <c r="O131" s="73"/>
      <c r="P131" s="73"/>
      <c r="Q131" s="73"/>
      <c r="R131" s="109"/>
      <c r="S131" s="4"/>
      <c r="T131" s="4"/>
      <c r="U131" s="4"/>
      <c r="V131" s="4"/>
      <c r="W131" s="4"/>
      <c r="X131" s="4"/>
      <c r="Y131" s="4"/>
      <c r="Z131" s="4"/>
      <c r="AA131" s="4"/>
      <c r="AB131" s="4"/>
      <c r="AC131" s="4"/>
      <c r="AD131" s="4"/>
      <c r="AE131" s="4"/>
      <c r="AF131" s="4"/>
    </row>
    <row r="132">
      <c r="A132" s="73"/>
      <c r="B132" s="73"/>
      <c r="C132" s="147"/>
      <c r="D132" s="103" t="str">
        <f t="array" ref="D132">XLOOKUP(C124,'Master Data'!C:C,'Master Data'!D:D)</f>
        <v>Kolhapur</v>
      </c>
      <c r="E132" s="104"/>
      <c r="F132" s="105" t="str">
        <f t="array" ref="F132">XLOOKUP(C124,'Master Data'!C:C,'Master Data'!D:D)</f>
        <v>Kolhapur</v>
      </c>
      <c r="G132" s="90" t="str">
        <f t="array" ref="G132">XLOOKUP(C124,'Master Data'!C:C,'Master Data'!E:E)</f>
        <v>Saurabh Madhukar Patil </v>
      </c>
      <c r="H132" s="88" t="str">
        <f t="array" ref="H132">XLOOKUP(C124,'Master Data'!C:C,'Master Data'!F:F)</f>
        <v/>
      </c>
      <c r="I132" s="72" t="str">
        <f t="array" ref="I132">XLOOKUP(C124,'Master Data'!C:C,'Master Data'!G:G)</f>
        <v/>
      </c>
      <c r="J132" s="72" t="str">
        <f t="array" ref="J132">XLOOKUP(C124,'Master Data'!C:C,'Master Data'!H:H)</f>
        <v/>
      </c>
      <c r="K132" s="73"/>
      <c r="L132" s="149"/>
      <c r="M132" s="73"/>
      <c r="N132" s="73"/>
      <c r="O132" s="73"/>
      <c r="P132" s="73"/>
      <c r="Q132" s="73"/>
      <c r="R132" s="109"/>
      <c r="S132" s="4"/>
      <c r="T132" s="4"/>
      <c r="U132" s="4"/>
      <c r="V132" s="4"/>
      <c r="W132" s="4"/>
      <c r="X132" s="4"/>
      <c r="Y132" s="4"/>
      <c r="Z132" s="4"/>
      <c r="AA132" s="4"/>
      <c r="AB132" s="4"/>
      <c r="AC132" s="4"/>
      <c r="AD132" s="4"/>
      <c r="AE132" s="4"/>
      <c r="AF132" s="4"/>
    </row>
    <row r="133">
      <c r="A133" s="73"/>
      <c r="B133" s="73"/>
      <c r="C133" s="147"/>
      <c r="D133" s="103" t="str">
        <f t="array" ref="D133">XLOOKUP(C133,'Master Data'!C:C,'Master Data'!D:D)</f>
        <v>#N/A</v>
      </c>
      <c r="E133" s="104"/>
      <c r="F133" s="105" t="str">
        <f t="array" ref="F133">XLOOKUP(C133,'Master Data'!C:C,'Master Data'!D:D)</f>
        <v>#N/A</v>
      </c>
      <c r="G133" s="90" t="str">
        <f t="array" ref="G133">XLOOKUP(C133,'Master Data'!C:C,'Master Data'!E:E)</f>
        <v>#N/A</v>
      </c>
      <c r="H133" s="88" t="str">
        <f t="array" ref="H133">XLOOKUP(C133,'Master Data'!C:C,'Master Data'!F:F)</f>
        <v>#N/A</v>
      </c>
      <c r="I133" s="72" t="str">
        <f t="array" ref="I133">XLOOKUP(C133,'Master Data'!C:C,'Master Data'!G:G)</f>
        <v>#N/A</v>
      </c>
      <c r="J133" s="72" t="str">
        <f t="array" ref="J133">XLOOKUP(C133,'Master Data'!C:C,'Master Data'!H:H)</f>
        <v>#N/A</v>
      </c>
      <c r="K133" s="73"/>
      <c r="L133" s="149"/>
      <c r="M133" s="73"/>
      <c r="N133" s="73"/>
      <c r="O133" s="73"/>
      <c r="P133" s="73"/>
      <c r="Q133" s="73"/>
      <c r="R133" s="109"/>
      <c r="S133" s="4"/>
      <c r="T133" s="4"/>
      <c r="U133" s="4"/>
      <c r="V133" s="4"/>
      <c r="W133" s="4"/>
      <c r="X133" s="4"/>
      <c r="Y133" s="4"/>
      <c r="Z133" s="4"/>
      <c r="AA133" s="4"/>
      <c r="AB133" s="4"/>
      <c r="AC133" s="4"/>
      <c r="AD133" s="4"/>
      <c r="AE133" s="4"/>
      <c r="AF133" s="4"/>
    </row>
    <row r="134">
      <c r="A134" s="73"/>
      <c r="B134" s="73"/>
      <c r="C134" s="147"/>
      <c r="D134" s="103" t="str">
        <f t="array" ref="D134">XLOOKUP(C134,'Master Data'!C:C,'Master Data'!D:D)</f>
        <v>#N/A</v>
      </c>
      <c r="E134" s="104"/>
      <c r="F134" s="105" t="str">
        <f t="array" ref="F134">XLOOKUP(C134,'Master Data'!C:C,'Master Data'!D:D)</f>
        <v>#N/A</v>
      </c>
      <c r="G134" s="90" t="str">
        <f t="array" ref="G134">XLOOKUP(C134,'Master Data'!C:C,'Master Data'!E:E)</f>
        <v>#N/A</v>
      </c>
      <c r="H134" s="88" t="str">
        <f t="array" ref="H134">XLOOKUP(C134,'Master Data'!C:C,'Master Data'!F:F)</f>
        <v>#N/A</v>
      </c>
      <c r="I134" s="72" t="str">
        <f t="array" ref="I134">XLOOKUP(C134,'Master Data'!C:C,'Master Data'!G:G)</f>
        <v>#N/A</v>
      </c>
      <c r="J134" s="72" t="str">
        <f t="array" ref="J134">XLOOKUP(C134,'Master Data'!C:C,'Master Data'!H:H)</f>
        <v>#N/A</v>
      </c>
      <c r="K134" s="73"/>
      <c r="L134" s="149"/>
      <c r="M134" s="73"/>
      <c r="N134" s="73"/>
      <c r="O134" s="73"/>
      <c r="P134" s="73"/>
      <c r="Q134" s="73"/>
      <c r="R134" s="109"/>
      <c r="S134" s="4"/>
      <c r="T134" s="4"/>
      <c r="U134" s="4"/>
      <c r="V134" s="4"/>
      <c r="W134" s="4"/>
      <c r="X134" s="4"/>
      <c r="Y134" s="4"/>
      <c r="Z134" s="4"/>
      <c r="AA134" s="4"/>
      <c r="AB134" s="4"/>
      <c r="AC134" s="4"/>
      <c r="AD134" s="4"/>
      <c r="AE134" s="4"/>
      <c r="AF134" s="4"/>
    </row>
    <row r="135">
      <c r="A135" s="73"/>
      <c r="B135" s="73"/>
      <c r="C135" s="147"/>
      <c r="D135" s="103" t="str">
        <f t="array" ref="D135">XLOOKUP(C135,'Master Data'!C:C,'Master Data'!D:D)</f>
        <v>#N/A</v>
      </c>
      <c r="E135" s="104"/>
      <c r="F135" s="105" t="str">
        <f t="array" ref="F135">XLOOKUP(C135,'Master Data'!C:C,'Master Data'!D:D)</f>
        <v>#N/A</v>
      </c>
      <c r="G135" s="90" t="str">
        <f t="array" ref="G135">XLOOKUP(C135,'Master Data'!C:C,'Master Data'!E:E)</f>
        <v>#N/A</v>
      </c>
      <c r="H135" s="88" t="str">
        <f t="array" ref="H135">XLOOKUP(C135,'Master Data'!C:C,'Master Data'!F:F)</f>
        <v>#N/A</v>
      </c>
      <c r="I135" s="72" t="str">
        <f t="array" ref="I135">XLOOKUP(C135,'Master Data'!C:C,'Master Data'!G:G)</f>
        <v>#N/A</v>
      </c>
      <c r="J135" s="72" t="str">
        <f t="array" ref="J135">XLOOKUP(C135,'Master Data'!C:C,'Master Data'!H:H)</f>
        <v>#N/A</v>
      </c>
      <c r="K135" s="73"/>
      <c r="L135" s="149"/>
      <c r="M135" s="73"/>
      <c r="N135" s="73"/>
      <c r="O135" s="73"/>
      <c r="P135" s="73"/>
      <c r="Q135" s="73"/>
      <c r="R135" s="109"/>
      <c r="S135" s="4"/>
      <c r="T135" s="4"/>
      <c r="U135" s="4"/>
      <c r="V135" s="4"/>
      <c r="W135" s="4"/>
      <c r="X135" s="4"/>
      <c r="Y135" s="4"/>
      <c r="Z135" s="4"/>
      <c r="AA135" s="4"/>
      <c r="AB135" s="4"/>
      <c r="AC135" s="4"/>
      <c r="AD135" s="4"/>
      <c r="AE135" s="4"/>
      <c r="AF135" s="4"/>
    </row>
    <row r="136">
      <c r="A136" s="73"/>
      <c r="B136" s="73"/>
      <c r="C136" s="147"/>
      <c r="D136" s="103" t="str">
        <f t="array" ref="D136">XLOOKUP(C136,'Master Data'!C:C,'Master Data'!D:D)</f>
        <v>#N/A</v>
      </c>
      <c r="E136" s="104"/>
      <c r="F136" s="105" t="str">
        <f t="array" ref="F136">XLOOKUP(C136,'Master Data'!C:C,'Master Data'!D:D)</f>
        <v>#N/A</v>
      </c>
      <c r="G136" s="90" t="str">
        <f t="array" ref="G136">XLOOKUP(C136,'Master Data'!C:C,'Master Data'!E:E)</f>
        <v>#N/A</v>
      </c>
      <c r="H136" s="88" t="str">
        <f t="array" ref="H136">XLOOKUP(C136,'Master Data'!C:C,'Master Data'!F:F)</f>
        <v>#N/A</v>
      </c>
      <c r="I136" s="72" t="str">
        <f t="array" ref="I136">XLOOKUP(C136,'Master Data'!C:C,'Master Data'!G:G)</f>
        <v>#N/A</v>
      </c>
      <c r="J136" s="72" t="str">
        <f t="array" ref="J136">XLOOKUP(C136,'Master Data'!C:C,'Master Data'!H:H)</f>
        <v>#N/A</v>
      </c>
      <c r="K136" s="73"/>
      <c r="L136" s="149"/>
      <c r="M136" s="73"/>
      <c r="N136" s="73"/>
      <c r="O136" s="73"/>
      <c r="P136" s="73"/>
      <c r="Q136" s="73"/>
      <c r="R136" s="109"/>
      <c r="S136" s="4"/>
      <c r="T136" s="4"/>
      <c r="U136" s="4"/>
      <c r="V136" s="4"/>
      <c r="W136" s="4"/>
      <c r="X136" s="4"/>
      <c r="Y136" s="4"/>
      <c r="Z136" s="4"/>
      <c r="AA136" s="4"/>
      <c r="AB136" s="4"/>
      <c r="AC136" s="4"/>
      <c r="AD136" s="4"/>
      <c r="AE136" s="4"/>
      <c r="AF136" s="4"/>
    </row>
    <row r="137">
      <c r="A137" s="73"/>
      <c r="B137" s="73"/>
      <c r="C137" s="147"/>
      <c r="D137" s="103" t="str">
        <f t="array" ref="D137">XLOOKUP(C137,'Master Data'!C:C,'Master Data'!D:D)</f>
        <v>#N/A</v>
      </c>
      <c r="E137" s="104"/>
      <c r="F137" s="105" t="str">
        <f t="array" ref="F137">XLOOKUP(C137,'Master Data'!C:C,'Master Data'!D:D)</f>
        <v>#N/A</v>
      </c>
      <c r="G137" s="90" t="str">
        <f t="array" ref="G137">XLOOKUP(C137,'Master Data'!C:C,'Master Data'!E:E)</f>
        <v>#N/A</v>
      </c>
      <c r="H137" s="88" t="str">
        <f t="array" ref="H137">XLOOKUP(C137,'Master Data'!C:C,'Master Data'!F:F)</f>
        <v>#N/A</v>
      </c>
      <c r="I137" s="72" t="str">
        <f t="array" ref="I137">XLOOKUP(C137,'Master Data'!C:C,'Master Data'!G:G)</f>
        <v>#N/A</v>
      </c>
      <c r="J137" s="72" t="str">
        <f t="array" ref="J137">XLOOKUP(C137,'Master Data'!C:C,'Master Data'!H:H)</f>
        <v>#N/A</v>
      </c>
      <c r="K137" s="73"/>
      <c r="L137" s="149"/>
      <c r="M137" s="73"/>
      <c r="N137" s="73"/>
      <c r="O137" s="73"/>
      <c r="P137" s="73"/>
      <c r="Q137" s="73"/>
      <c r="R137" s="109"/>
      <c r="S137" s="4"/>
      <c r="T137" s="4"/>
      <c r="U137" s="4"/>
      <c r="V137" s="4"/>
      <c r="W137" s="4"/>
      <c r="X137" s="4"/>
      <c r="Y137" s="4"/>
      <c r="Z137" s="4"/>
      <c r="AA137" s="4"/>
      <c r="AB137" s="4"/>
      <c r="AC137" s="4"/>
      <c r="AD137" s="4"/>
      <c r="AE137" s="4"/>
      <c r="AF137" s="4"/>
    </row>
    <row r="138">
      <c r="A138" s="73"/>
      <c r="B138" s="73"/>
      <c r="C138" s="147"/>
      <c r="D138" s="103" t="str">
        <f t="array" ref="D138">XLOOKUP(C138,'Master Data'!C:C,'Master Data'!D:D)</f>
        <v>#N/A</v>
      </c>
      <c r="E138" s="104"/>
      <c r="F138" s="105" t="str">
        <f t="array" ref="F138">XLOOKUP(C138,'Master Data'!C:C,'Master Data'!D:D)</f>
        <v>#N/A</v>
      </c>
      <c r="G138" s="90" t="str">
        <f t="array" ref="G138">XLOOKUP(C138,'Master Data'!C:C,'Master Data'!E:E)</f>
        <v>#N/A</v>
      </c>
      <c r="H138" s="88" t="str">
        <f t="array" ref="H138">XLOOKUP(C138,'Master Data'!C:C,'Master Data'!F:F)</f>
        <v>#N/A</v>
      </c>
      <c r="I138" s="72" t="str">
        <f t="array" ref="I138">XLOOKUP(C138,'Master Data'!C:C,'Master Data'!G:G)</f>
        <v>#N/A</v>
      </c>
      <c r="J138" s="72" t="str">
        <f t="array" ref="J138">XLOOKUP(C138,'Master Data'!C:C,'Master Data'!H:H)</f>
        <v>#N/A</v>
      </c>
      <c r="K138" s="73"/>
      <c r="L138" s="149"/>
      <c r="M138" s="73"/>
      <c r="N138" s="73"/>
      <c r="O138" s="73"/>
      <c r="P138" s="73"/>
      <c r="Q138" s="73"/>
      <c r="R138" s="109"/>
      <c r="S138" s="4"/>
      <c r="T138" s="4"/>
      <c r="U138" s="4"/>
      <c r="V138" s="4"/>
      <c r="W138" s="4"/>
      <c r="X138" s="4"/>
      <c r="Y138" s="4"/>
      <c r="Z138" s="4"/>
      <c r="AA138" s="4"/>
      <c r="AB138" s="4"/>
      <c r="AC138" s="4"/>
      <c r="AD138" s="4"/>
      <c r="AE138" s="4"/>
      <c r="AF138" s="4"/>
    </row>
    <row r="139">
      <c r="A139" s="73"/>
      <c r="B139" s="73"/>
      <c r="C139" s="147"/>
      <c r="D139" s="103" t="str">
        <f t="array" ref="D139">XLOOKUP(C139,'Master Data'!C:C,'Master Data'!D:D)</f>
        <v>#N/A</v>
      </c>
      <c r="E139" s="104"/>
      <c r="F139" s="105" t="str">
        <f t="array" ref="F139">XLOOKUP(C139,'Master Data'!C:C,'Master Data'!D:D)</f>
        <v>#N/A</v>
      </c>
      <c r="G139" s="90" t="str">
        <f t="array" ref="G139">XLOOKUP(C139,'Master Data'!C:C,'Master Data'!E:E)</f>
        <v>#N/A</v>
      </c>
      <c r="H139" s="88" t="str">
        <f t="array" ref="H139">XLOOKUP(C139,'Master Data'!C:C,'Master Data'!F:F)</f>
        <v>#N/A</v>
      </c>
      <c r="I139" s="72" t="str">
        <f t="array" ref="I139">XLOOKUP(C139,'Master Data'!C:C,'Master Data'!G:G)</f>
        <v>#N/A</v>
      </c>
      <c r="J139" s="72" t="str">
        <f t="array" ref="J139">XLOOKUP(C139,'Master Data'!C:C,'Master Data'!H:H)</f>
        <v>#N/A</v>
      </c>
      <c r="K139" s="73"/>
      <c r="L139" s="149"/>
      <c r="M139" s="73"/>
      <c r="N139" s="73"/>
      <c r="O139" s="73"/>
      <c r="P139" s="73"/>
      <c r="Q139" s="73"/>
      <c r="R139" s="109"/>
      <c r="S139" s="4"/>
      <c r="T139" s="4"/>
      <c r="U139" s="4"/>
      <c r="V139" s="4"/>
      <c r="W139" s="4"/>
      <c r="X139" s="4"/>
      <c r="Y139" s="4"/>
      <c r="Z139" s="4"/>
      <c r="AA139" s="4"/>
      <c r="AB139" s="4"/>
      <c r="AC139" s="4"/>
      <c r="AD139" s="4"/>
      <c r="AE139" s="4"/>
      <c r="AF139" s="4"/>
    </row>
    <row r="140">
      <c r="A140" s="73"/>
      <c r="B140" s="73"/>
      <c r="C140" s="147"/>
      <c r="D140" s="103" t="str">
        <f t="array" ref="D140">XLOOKUP(C140,'Master Data'!C:C,'Master Data'!D:D)</f>
        <v>#N/A</v>
      </c>
      <c r="E140" s="104"/>
      <c r="F140" s="105" t="str">
        <f t="array" ref="F140">XLOOKUP(C140,'Master Data'!C:C,'Master Data'!D:D)</f>
        <v>#N/A</v>
      </c>
      <c r="G140" s="90" t="str">
        <f t="array" ref="G140">XLOOKUP(C140,'Master Data'!C:C,'Master Data'!E:E)</f>
        <v>#N/A</v>
      </c>
      <c r="H140" s="88" t="str">
        <f t="array" ref="H140">XLOOKUP(C140,'Master Data'!C:C,'Master Data'!F:F)</f>
        <v>#N/A</v>
      </c>
      <c r="I140" s="72" t="str">
        <f t="array" ref="I140">XLOOKUP(C140,'Master Data'!C:C,'Master Data'!G:G)</f>
        <v>#N/A</v>
      </c>
      <c r="J140" s="72" t="str">
        <f t="array" ref="J140">XLOOKUP(C140,'Master Data'!C:C,'Master Data'!H:H)</f>
        <v>#N/A</v>
      </c>
      <c r="K140" s="73"/>
      <c r="L140" s="149"/>
      <c r="M140" s="73"/>
      <c r="N140" s="73"/>
      <c r="O140" s="73"/>
      <c r="P140" s="73"/>
      <c r="Q140" s="73"/>
      <c r="R140" s="109"/>
      <c r="S140" s="4"/>
      <c r="T140" s="4"/>
      <c r="U140" s="4"/>
      <c r="V140" s="4"/>
      <c r="W140" s="4"/>
      <c r="X140" s="4"/>
      <c r="Y140" s="4"/>
      <c r="Z140" s="4"/>
      <c r="AA140" s="4"/>
      <c r="AB140" s="4"/>
      <c r="AC140" s="4"/>
      <c r="AD140" s="4"/>
      <c r="AE140" s="4"/>
      <c r="AF140" s="4"/>
    </row>
    <row r="141">
      <c r="A141" s="73"/>
      <c r="B141" s="73"/>
      <c r="C141" s="147"/>
      <c r="D141" s="103" t="str">
        <f t="array" ref="D141">XLOOKUP(C141,'Master Data'!C:C,'Master Data'!D:D)</f>
        <v>#N/A</v>
      </c>
      <c r="E141" s="104"/>
      <c r="F141" s="105" t="str">
        <f t="array" ref="F141">XLOOKUP(C141,'Master Data'!C:C,'Master Data'!D:D)</f>
        <v>#N/A</v>
      </c>
      <c r="G141" s="90" t="str">
        <f t="array" ref="G141">XLOOKUP(C141,'Master Data'!C:C,'Master Data'!E:E)</f>
        <v>#N/A</v>
      </c>
      <c r="H141" s="88" t="str">
        <f t="array" ref="H141">XLOOKUP(C141,'Master Data'!C:C,'Master Data'!F:F)</f>
        <v>#N/A</v>
      </c>
      <c r="I141" s="72" t="str">
        <f t="array" ref="I141">XLOOKUP(C141,'Master Data'!C:C,'Master Data'!G:G)</f>
        <v>#N/A</v>
      </c>
      <c r="J141" s="72" t="str">
        <f t="array" ref="J141">XLOOKUP(C141,'Master Data'!C:C,'Master Data'!H:H)</f>
        <v>#N/A</v>
      </c>
      <c r="K141" s="73"/>
      <c r="L141" s="149"/>
      <c r="M141" s="73"/>
      <c r="N141" s="73"/>
      <c r="O141" s="73"/>
      <c r="P141" s="73"/>
      <c r="Q141" s="73"/>
      <c r="R141" s="109"/>
      <c r="S141" s="4"/>
      <c r="T141" s="4"/>
      <c r="U141" s="4"/>
      <c r="V141" s="4"/>
      <c r="W141" s="4"/>
      <c r="X141" s="4"/>
      <c r="Y141" s="4"/>
      <c r="Z141" s="4"/>
      <c r="AA141" s="4"/>
      <c r="AB141" s="4"/>
      <c r="AC141" s="4"/>
      <c r="AD141" s="4"/>
      <c r="AE141" s="4"/>
      <c r="AF141" s="4"/>
    </row>
    <row r="142">
      <c r="A142" s="73"/>
      <c r="B142" s="73"/>
      <c r="C142" s="147"/>
      <c r="D142" s="103" t="str">
        <f t="array" ref="D142">XLOOKUP(C142,'Master Data'!C:C,'Master Data'!D:D)</f>
        <v>#N/A</v>
      </c>
      <c r="E142" s="104"/>
      <c r="F142" s="105" t="str">
        <f t="array" ref="F142">XLOOKUP(C142,'Master Data'!C:C,'Master Data'!D:D)</f>
        <v>#N/A</v>
      </c>
      <c r="G142" s="90" t="str">
        <f t="array" ref="G142">XLOOKUP(C142,'Master Data'!C:C,'Master Data'!E:E)</f>
        <v>#N/A</v>
      </c>
      <c r="H142" s="88" t="str">
        <f t="array" ref="H142">XLOOKUP(C142,'Master Data'!C:C,'Master Data'!F:F)</f>
        <v>#N/A</v>
      </c>
      <c r="I142" s="72" t="str">
        <f t="array" ref="I142">XLOOKUP(C142,'Master Data'!C:C,'Master Data'!G:G)</f>
        <v>#N/A</v>
      </c>
      <c r="J142" s="72" t="str">
        <f t="array" ref="J142">XLOOKUP(C142,'Master Data'!C:C,'Master Data'!H:H)</f>
        <v>#N/A</v>
      </c>
      <c r="K142" s="73"/>
      <c r="L142" s="149"/>
      <c r="M142" s="73"/>
      <c r="N142" s="73"/>
      <c r="O142" s="73"/>
      <c r="P142" s="73"/>
      <c r="Q142" s="73"/>
      <c r="R142" s="109"/>
      <c r="S142" s="4"/>
      <c r="T142" s="4"/>
      <c r="U142" s="4"/>
      <c r="V142" s="4"/>
      <c r="W142" s="4"/>
      <c r="X142" s="4"/>
      <c r="Y142" s="4"/>
      <c r="Z142" s="4"/>
      <c r="AA142" s="4"/>
      <c r="AB142" s="4"/>
      <c r="AC142" s="4"/>
      <c r="AD142" s="4"/>
      <c r="AE142" s="4"/>
      <c r="AF142" s="4"/>
    </row>
    <row r="143">
      <c r="A143" s="73"/>
      <c r="B143" s="73"/>
      <c r="C143" s="147"/>
      <c r="D143" s="103" t="str">
        <f t="array" ref="D143">XLOOKUP(C143,'Master Data'!C:C,'Master Data'!D:D)</f>
        <v>#N/A</v>
      </c>
      <c r="E143" s="104"/>
      <c r="F143" s="105" t="str">
        <f t="array" ref="F143">XLOOKUP(C143,'Master Data'!C:C,'Master Data'!D:D)</f>
        <v>#N/A</v>
      </c>
      <c r="G143" s="90" t="str">
        <f t="array" ref="G143">XLOOKUP(C143,'Master Data'!C:C,'Master Data'!E:E)</f>
        <v>#N/A</v>
      </c>
      <c r="H143" s="88" t="str">
        <f t="array" ref="H143">XLOOKUP(C143,'Master Data'!C:C,'Master Data'!F:F)</f>
        <v>#N/A</v>
      </c>
      <c r="I143" s="72" t="str">
        <f t="array" ref="I143">XLOOKUP(C143,'Master Data'!C:C,'Master Data'!G:G)</f>
        <v>#N/A</v>
      </c>
      <c r="J143" s="72" t="str">
        <f t="array" ref="J143">XLOOKUP(C143,'Master Data'!C:C,'Master Data'!H:H)</f>
        <v>#N/A</v>
      </c>
      <c r="K143" s="73"/>
      <c r="L143" s="149"/>
      <c r="M143" s="73"/>
      <c r="N143" s="73"/>
      <c r="O143" s="73"/>
      <c r="P143" s="73"/>
      <c r="Q143" s="73"/>
      <c r="R143" s="109"/>
      <c r="S143" s="4"/>
      <c r="T143" s="4"/>
      <c r="U143" s="4"/>
      <c r="V143" s="4"/>
      <c r="W143" s="4"/>
      <c r="X143" s="4"/>
      <c r="Y143" s="4"/>
      <c r="Z143" s="4"/>
      <c r="AA143" s="4"/>
      <c r="AB143" s="4"/>
      <c r="AC143" s="4"/>
      <c r="AD143" s="4"/>
      <c r="AE143" s="4"/>
      <c r="AF143" s="4"/>
    </row>
    <row r="144">
      <c r="A144" s="73"/>
      <c r="B144" s="73"/>
      <c r="C144" s="147"/>
      <c r="D144" s="103" t="str">
        <f t="array" ref="D144">XLOOKUP(C144,'Master Data'!C:C,'Master Data'!D:D)</f>
        <v>#N/A</v>
      </c>
      <c r="E144" s="104"/>
      <c r="F144" s="105" t="str">
        <f t="array" ref="F144">XLOOKUP(C144,'Master Data'!C:C,'Master Data'!D:D)</f>
        <v>#N/A</v>
      </c>
      <c r="G144" s="90" t="str">
        <f t="array" ref="G144">XLOOKUP(C144,'Master Data'!C:C,'Master Data'!E:E)</f>
        <v>#N/A</v>
      </c>
      <c r="H144" s="88" t="str">
        <f t="array" ref="H144">XLOOKUP(C144,'Master Data'!C:C,'Master Data'!F:F)</f>
        <v>#N/A</v>
      </c>
      <c r="I144" s="72" t="str">
        <f t="array" ref="I144">XLOOKUP(C144,'Master Data'!C:C,'Master Data'!G:G)</f>
        <v>#N/A</v>
      </c>
      <c r="J144" s="72" t="str">
        <f t="array" ref="J144">XLOOKUP(C144,'Master Data'!C:C,'Master Data'!H:H)</f>
        <v>#N/A</v>
      </c>
      <c r="K144" s="73"/>
      <c r="L144" s="149"/>
      <c r="M144" s="73"/>
      <c r="N144" s="73"/>
      <c r="O144" s="73"/>
      <c r="P144" s="73"/>
      <c r="Q144" s="73"/>
      <c r="R144" s="109"/>
      <c r="S144" s="4"/>
      <c r="T144" s="4"/>
      <c r="U144" s="4"/>
      <c r="V144" s="4"/>
      <c r="W144" s="4"/>
      <c r="X144" s="4"/>
      <c r="Y144" s="4"/>
      <c r="Z144" s="4"/>
      <c r="AA144" s="4"/>
      <c r="AB144" s="4"/>
      <c r="AC144" s="4"/>
      <c r="AD144" s="4"/>
      <c r="AE144" s="4"/>
      <c r="AF144" s="4"/>
    </row>
    <row r="145">
      <c r="A145" s="73"/>
      <c r="B145" s="73"/>
      <c r="C145" s="147"/>
      <c r="D145" s="103" t="str">
        <f t="array" ref="D145">XLOOKUP(C145,'Master Data'!C:C,'Master Data'!D:D)</f>
        <v>#N/A</v>
      </c>
      <c r="E145" s="104"/>
      <c r="F145" s="105" t="str">
        <f t="array" ref="F145">XLOOKUP(C145,'Master Data'!C:C,'Master Data'!D:D)</f>
        <v>#N/A</v>
      </c>
      <c r="G145" s="90" t="str">
        <f t="array" ref="G145">XLOOKUP(C145,'Master Data'!C:C,'Master Data'!E:E)</f>
        <v>#N/A</v>
      </c>
      <c r="H145" s="88" t="str">
        <f t="array" ref="H145">XLOOKUP(C145,'Master Data'!C:C,'Master Data'!F:F)</f>
        <v>#N/A</v>
      </c>
      <c r="I145" s="72" t="str">
        <f t="array" ref="I145">XLOOKUP(C145,'Master Data'!C:C,'Master Data'!G:G)</f>
        <v>#N/A</v>
      </c>
      <c r="J145" s="72" t="str">
        <f t="array" ref="J145">XLOOKUP(C145,'Master Data'!C:C,'Master Data'!H:H)</f>
        <v>#N/A</v>
      </c>
      <c r="K145" s="73"/>
      <c r="L145" s="149"/>
      <c r="M145" s="73"/>
      <c r="N145" s="73"/>
      <c r="O145" s="73"/>
      <c r="P145" s="73"/>
      <c r="Q145" s="73"/>
      <c r="R145" s="109"/>
      <c r="S145" s="4"/>
      <c r="T145" s="4"/>
      <c r="U145" s="4"/>
      <c r="V145" s="4"/>
      <c r="W145" s="4"/>
      <c r="X145" s="4"/>
      <c r="Y145" s="4"/>
      <c r="Z145" s="4"/>
      <c r="AA145" s="4"/>
      <c r="AB145" s="4"/>
      <c r="AC145" s="4"/>
      <c r="AD145" s="4"/>
      <c r="AE145" s="4"/>
      <c r="AF145" s="4"/>
    </row>
    <row r="146">
      <c r="A146" s="73"/>
      <c r="B146" s="73"/>
      <c r="C146" s="147"/>
      <c r="D146" s="103" t="str">
        <f t="array" ref="D146">XLOOKUP(C146,'Master Data'!C:C,'Master Data'!D:D)</f>
        <v>#N/A</v>
      </c>
      <c r="E146" s="104"/>
      <c r="F146" s="105" t="str">
        <f t="array" ref="F146">XLOOKUP(C146,'Master Data'!C:C,'Master Data'!D:D)</f>
        <v>#N/A</v>
      </c>
      <c r="G146" s="90" t="str">
        <f t="array" ref="G146">XLOOKUP(C146,'Master Data'!C:C,'Master Data'!E:E)</f>
        <v>#N/A</v>
      </c>
      <c r="H146" s="88" t="str">
        <f t="array" ref="H146">XLOOKUP(C146,'Master Data'!C:C,'Master Data'!F:F)</f>
        <v>#N/A</v>
      </c>
      <c r="I146" s="72" t="str">
        <f t="array" ref="I146">XLOOKUP(C146,'Master Data'!C:C,'Master Data'!G:G)</f>
        <v>#N/A</v>
      </c>
      <c r="J146" s="72" t="str">
        <f t="array" ref="J146">XLOOKUP(C146,'Master Data'!C:C,'Master Data'!H:H)</f>
        <v>#N/A</v>
      </c>
      <c r="K146" s="73"/>
      <c r="L146" s="149"/>
      <c r="M146" s="73"/>
      <c r="N146" s="73"/>
      <c r="O146" s="73"/>
      <c r="P146" s="73"/>
      <c r="Q146" s="73"/>
      <c r="R146" s="109"/>
      <c r="S146" s="4"/>
      <c r="T146" s="4"/>
      <c r="U146" s="4"/>
      <c r="V146" s="4"/>
      <c r="W146" s="4"/>
      <c r="X146" s="4"/>
      <c r="Y146" s="4"/>
      <c r="Z146" s="4"/>
      <c r="AA146" s="4"/>
      <c r="AB146" s="4"/>
      <c r="AC146" s="4"/>
      <c r="AD146" s="4"/>
      <c r="AE146" s="4"/>
      <c r="AF146" s="4"/>
    </row>
    <row r="147">
      <c r="A147" s="73"/>
      <c r="B147" s="73"/>
      <c r="C147" s="147"/>
      <c r="D147" s="103" t="str">
        <f t="array" ref="D147">XLOOKUP(C147,'Master Data'!C:C,'Master Data'!D:D)</f>
        <v>#N/A</v>
      </c>
      <c r="E147" s="104"/>
      <c r="F147" s="105" t="str">
        <f t="array" ref="F147">XLOOKUP(C147,'Master Data'!C:C,'Master Data'!D:D)</f>
        <v>#N/A</v>
      </c>
      <c r="G147" s="90" t="str">
        <f t="array" ref="G147">XLOOKUP(C147,'Master Data'!C:C,'Master Data'!E:E)</f>
        <v>#N/A</v>
      </c>
      <c r="H147" s="88" t="str">
        <f t="array" ref="H147">XLOOKUP(C147,'Master Data'!C:C,'Master Data'!F:F)</f>
        <v>#N/A</v>
      </c>
      <c r="I147" s="72" t="str">
        <f t="array" ref="I147">XLOOKUP(C147,'Master Data'!C:C,'Master Data'!G:G)</f>
        <v>#N/A</v>
      </c>
      <c r="J147" s="72" t="str">
        <f t="array" ref="J147">XLOOKUP(C147,'Master Data'!C:C,'Master Data'!H:H)</f>
        <v>#N/A</v>
      </c>
      <c r="K147" s="73"/>
      <c r="L147" s="149"/>
      <c r="M147" s="73"/>
      <c r="N147" s="73"/>
      <c r="O147" s="73"/>
      <c r="P147" s="73"/>
      <c r="Q147" s="73"/>
      <c r="R147" s="109"/>
      <c r="S147" s="4"/>
      <c r="T147" s="4"/>
      <c r="U147" s="4"/>
      <c r="V147" s="4"/>
      <c r="W147" s="4"/>
      <c r="X147" s="4"/>
      <c r="Y147" s="4"/>
      <c r="Z147" s="4"/>
      <c r="AA147" s="4"/>
      <c r="AB147" s="4"/>
      <c r="AC147" s="4"/>
      <c r="AD147" s="4"/>
      <c r="AE147" s="4"/>
      <c r="AF147" s="4"/>
    </row>
    <row r="148">
      <c r="A148" s="73"/>
      <c r="B148" s="73"/>
      <c r="C148" s="147"/>
      <c r="D148" s="103" t="str">
        <f t="array" ref="D148">XLOOKUP(C148,'Master Data'!C:C,'Master Data'!D:D)</f>
        <v>#N/A</v>
      </c>
      <c r="E148" s="104"/>
      <c r="F148" s="105" t="str">
        <f t="array" ref="F148">XLOOKUP(C148,'Master Data'!C:C,'Master Data'!D:D)</f>
        <v>#N/A</v>
      </c>
      <c r="G148" s="90" t="str">
        <f t="array" ref="G148">XLOOKUP(C148,'Master Data'!C:C,'Master Data'!E:E)</f>
        <v>#N/A</v>
      </c>
      <c r="H148" s="88" t="str">
        <f t="array" ref="H148">XLOOKUP(C148,'Master Data'!C:C,'Master Data'!F:F)</f>
        <v>#N/A</v>
      </c>
      <c r="I148" s="72" t="str">
        <f t="array" ref="I148">XLOOKUP(C148,'Master Data'!C:C,'Master Data'!G:G)</f>
        <v>#N/A</v>
      </c>
      <c r="J148" s="72" t="str">
        <f t="array" ref="J148">XLOOKUP(C148,'Master Data'!C:C,'Master Data'!H:H)</f>
        <v>#N/A</v>
      </c>
      <c r="K148" s="73"/>
      <c r="L148" s="149"/>
      <c r="M148" s="73"/>
      <c r="N148" s="73"/>
      <c r="O148" s="73"/>
      <c r="P148" s="73"/>
      <c r="Q148" s="73"/>
      <c r="R148" s="109"/>
      <c r="S148" s="4"/>
      <c r="T148" s="4"/>
      <c r="U148" s="4"/>
      <c r="V148" s="4"/>
      <c r="W148" s="4"/>
      <c r="X148" s="4"/>
      <c r="Y148" s="4"/>
      <c r="Z148" s="4"/>
      <c r="AA148" s="4"/>
      <c r="AB148" s="4"/>
      <c r="AC148" s="4"/>
      <c r="AD148" s="4"/>
      <c r="AE148" s="4"/>
      <c r="AF148" s="4"/>
    </row>
    <row r="149">
      <c r="A149" s="73"/>
      <c r="B149" s="73"/>
      <c r="C149" s="147"/>
      <c r="D149" s="103" t="str">
        <f t="array" ref="D149">XLOOKUP(C149,'Master Data'!C:C,'Master Data'!D:D)</f>
        <v>#N/A</v>
      </c>
      <c r="E149" s="104"/>
      <c r="F149" s="105" t="str">
        <f t="array" ref="F149">XLOOKUP(C149,'Master Data'!C:C,'Master Data'!D:D)</f>
        <v>#N/A</v>
      </c>
      <c r="G149" s="90" t="str">
        <f t="array" ref="G149">XLOOKUP(C149,'Master Data'!C:C,'Master Data'!E:E)</f>
        <v>#N/A</v>
      </c>
      <c r="H149" s="88" t="str">
        <f t="array" ref="H149">XLOOKUP(C149,'Master Data'!C:C,'Master Data'!F:F)</f>
        <v>#N/A</v>
      </c>
      <c r="I149" s="72" t="str">
        <f t="array" ref="I149">XLOOKUP(C149,'Master Data'!C:C,'Master Data'!G:G)</f>
        <v>#N/A</v>
      </c>
      <c r="J149" s="72" t="str">
        <f t="array" ref="J149">XLOOKUP(C149,'Master Data'!C:C,'Master Data'!H:H)</f>
        <v>#N/A</v>
      </c>
      <c r="K149" s="73"/>
      <c r="L149" s="149"/>
      <c r="M149" s="73"/>
      <c r="N149" s="73"/>
      <c r="O149" s="73"/>
      <c r="P149" s="73"/>
      <c r="Q149" s="73"/>
      <c r="R149" s="109"/>
      <c r="S149" s="4"/>
      <c r="T149" s="4"/>
      <c r="U149" s="4"/>
      <c r="V149" s="4"/>
      <c r="W149" s="4"/>
      <c r="X149" s="4"/>
      <c r="Y149" s="4"/>
      <c r="Z149" s="4"/>
      <c r="AA149" s="4"/>
      <c r="AB149" s="4"/>
      <c r="AC149" s="4"/>
      <c r="AD149" s="4"/>
      <c r="AE149" s="4"/>
      <c r="AF149" s="4"/>
    </row>
    <row r="150">
      <c r="A150" s="73"/>
      <c r="B150" s="73"/>
      <c r="C150" s="147"/>
      <c r="D150" s="103" t="str">
        <f t="array" ref="D150">XLOOKUP(C150,'Master Data'!C:C,'Master Data'!D:D)</f>
        <v>#N/A</v>
      </c>
      <c r="E150" s="104"/>
      <c r="F150" s="105" t="str">
        <f t="array" ref="F150">XLOOKUP(C150,'Master Data'!C:C,'Master Data'!D:D)</f>
        <v>#N/A</v>
      </c>
      <c r="G150" s="90" t="str">
        <f t="array" ref="G150">XLOOKUP(C150,'Master Data'!C:C,'Master Data'!E:E)</f>
        <v>#N/A</v>
      </c>
      <c r="H150" s="88" t="str">
        <f t="array" ref="H150">XLOOKUP(C150,'Master Data'!C:C,'Master Data'!F:F)</f>
        <v>#N/A</v>
      </c>
      <c r="I150" s="72" t="str">
        <f t="array" ref="I150">XLOOKUP(C150,'Master Data'!C:C,'Master Data'!G:G)</f>
        <v>#N/A</v>
      </c>
      <c r="J150" s="72" t="str">
        <f t="array" ref="J150">XLOOKUP(C150,'Master Data'!C:C,'Master Data'!H:H)</f>
        <v>#N/A</v>
      </c>
      <c r="K150" s="73"/>
      <c r="L150" s="149"/>
      <c r="M150" s="73"/>
      <c r="N150" s="73"/>
      <c r="O150" s="73"/>
      <c r="P150" s="73"/>
      <c r="Q150" s="73"/>
      <c r="R150" s="109"/>
      <c r="S150" s="4"/>
      <c r="T150" s="4"/>
      <c r="U150" s="4"/>
      <c r="V150" s="4"/>
      <c r="W150" s="4"/>
      <c r="X150" s="4"/>
      <c r="Y150" s="4"/>
      <c r="Z150" s="4"/>
      <c r="AA150" s="4"/>
      <c r="AB150" s="4"/>
      <c r="AC150" s="4"/>
      <c r="AD150" s="4"/>
      <c r="AE150" s="4"/>
      <c r="AF150" s="4"/>
    </row>
    <row r="151">
      <c r="A151" s="73"/>
      <c r="B151" s="73"/>
      <c r="C151" s="147"/>
      <c r="D151" s="103" t="str">
        <f t="array" ref="D151">XLOOKUP(C151,'Master Data'!C:C,'Master Data'!D:D)</f>
        <v>#N/A</v>
      </c>
      <c r="E151" s="104"/>
      <c r="F151" s="105" t="str">
        <f t="array" ref="F151">XLOOKUP(C151,'Master Data'!C:C,'Master Data'!D:D)</f>
        <v>#N/A</v>
      </c>
      <c r="G151" s="90" t="str">
        <f t="array" ref="G151">XLOOKUP(C151,'Master Data'!C:C,'Master Data'!E:E)</f>
        <v>#N/A</v>
      </c>
      <c r="H151" s="88" t="str">
        <f t="array" ref="H151">XLOOKUP(C151,'Master Data'!C:C,'Master Data'!F:F)</f>
        <v>#N/A</v>
      </c>
      <c r="I151" s="72" t="str">
        <f t="array" ref="I151">XLOOKUP(C151,'Master Data'!C:C,'Master Data'!G:G)</f>
        <v>#N/A</v>
      </c>
      <c r="J151" s="72" t="str">
        <f t="array" ref="J151">XLOOKUP(C151,'Master Data'!C:C,'Master Data'!H:H)</f>
        <v>#N/A</v>
      </c>
      <c r="K151" s="73"/>
      <c r="L151" s="149"/>
      <c r="M151" s="73"/>
      <c r="N151" s="73"/>
      <c r="O151" s="73"/>
      <c r="P151" s="73"/>
      <c r="Q151" s="73"/>
      <c r="R151" s="109"/>
      <c r="S151" s="4"/>
      <c r="T151" s="4"/>
      <c r="U151" s="4"/>
      <c r="V151" s="4"/>
      <c r="W151" s="4"/>
      <c r="X151" s="4"/>
      <c r="Y151" s="4"/>
      <c r="Z151" s="4"/>
      <c r="AA151" s="4"/>
      <c r="AB151" s="4"/>
      <c r="AC151" s="4"/>
      <c r="AD151" s="4"/>
      <c r="AE151" s="4"/>
      <c r="AF151" s="4"/>
    </row>
    <row r="152">
      <c r="A152" s="73"/>
      <c r="B152" s="73"/>
      <c r="C152" s="147"/>
      <c r="D152" s="103" t="str">
        <f t="array" ref="D152">XLOOKUP(C152,'Master Data'!C:C,'Master Data'!D:D)</f>
        <v>#N/A</v>
      </c>
      <c r="E152" s="104"/>
      <c r="F152" s="105" t="str">
        <f t="array" ref="F152">XLOOKUP(C152,'Master Data'!C:C,'Master Data'!D:D)</f>
        <v>#N/A</v>
      </c>
      <c r="G152" s="90" t="str">
        <f t="array" ref="G152">XLOOKUP(C152,'Master Data'!C:C,'Master Data'!E:E)</f>
        <v>#N/A</v>
      </c>
      <c r="H152" s="88" t="str">
        <f t="array" ref="H152">XLOOKUP(C152,'Master Data'!C:C,'Master Data'!F:F)</f>
        <v>#N/A</v>
      </c>
      <c r="I152" s="72" t="str">
        <f t="array" ref="I152">XLOOKUP(C152,'Master Data'!C:C,'Master Data'!G:G)</f>
        <v>#N/A</v>
      </c>
      <c r="J152" s="72" t="str">
        <f t="array" ref="J152">XLOOKUP(C152,'Master Data'!C:C,'Master Data'!H:H)</f>
        <v>#N/A</v>
      </c>
      <c r="K152" s="73"/>
      <c r="L152" s="149"/>
      <c r="M152" s="73"/>
      <c r="N152" s="73"/>
      <c r="O152" s="73"/>
      <c r="P152" s="73"/>
      <c r="Q152" s="73"/>
      <c r="R152" s="109"/>
      <c r="S152" s="4"/>
      <c r="T152" s="4"/>
      <c r="U152" s="4"/>
      <c r="V152" s="4"/>
      <c r="W152" s="4"/>
      <c r="X152" s="4"/>
      <c r="Y152" s="4"/>
      <c r="Z152" s="4"/>
      <c r="AA152" s="4"/>
      <c r="AB152" s="4"/>
      <c r="AC152" s="4"/>
      <c r="AD152" s="4"/>
      <c r="AE152" s="4"/>
      <c r="AF152" s="4"/>
    </row>
    <row r="153">
      <c r="A153" s="73"/>
      <c r="B153" s="73"/>
      <c r="C153" s="147"/>
      <c r="D153" s="103" t="str">
        <f t="array" ref="D153">XLOOKUP(C153,'Master Data'!C:C,'Master Data'!D:D)</f>
        <v>#N/A</v>
      </c>
      <c r="E153" s="104"/>
      <c r="F153" s="105" t="str">
        <f t="array" ref="F153">XLOOKUP(C153,'Master Data'!C:C,'Master Data'!D:D)</f>
        <v>#N/A</v>
      </c>
      <c r="G153" s="90" t="str">
        <f t="array" ref="G153">XLOOKUP(C153,'Master Data'!C:C,'Master Data'!E:E)</f>
        <v>#N/A</v>
      </c>
      <c r="H153" s="88" t="str">
        <f t="array" ref="H153">XLOOKUP(C153,'Master Data'!C:C,'Master Data'!F:F)</f>
        <v>#N/A</v>
      </c>
      <c r="I153" s="72" t="str">
        <f t="array" ref="I153">XLOOKUP(C153,'Master Data'!C:C,'Master Data'!G:G)</f>
        <v>#N/A</v>
      </c>
      <c r="J153" s="72" t="str">
        <f t="array" ref="J153">XLOOKUP(C153,'Master Data'!C:C,'Master Data'!H:H)</f>
        <v>#N/A</v>
      </c>
      <c r="K153" s="73"/>
      <c r="L153" s="149"/>
      <c r="M153" s="73"/>
      <c r="N153" s="73"/>
      <c r="O153" s="73"/>
      <c r="P153" s="73"/>
      <c r="Q153" s="73"/>
      <c r="R153" s="109"/>
      <c r="S153" s="4"/>
      <c r="T153" s="4"/>
      <c r="U153" s="4"/>
      <c r="V153" s="4"/>
      <c r="W153" s="4"/>
      <c r="X153" s="4"/>
      <c r="Y153" s="4"/>
      <c r="Z153" s="4"/>
      <c r="AA153" s="4"/>
      <c r="AB153" s="4"/>
      <c r="AC153" s="4"/>
      <c r="AD153" s="4"/>
      <c r="AE153" s="4"/>
      <c r="AF153" s="4"/>
    </row>
    <row r="154">
      <c r="A154" s="73"/>
      <c r="B154" s="73"/>
      <c r="C154" s="147"/>
      <c r="D154" s="103" t="str">
        <f t="array" ref="D154">XLOOKUP(C154,'Master Data'!C:C,'Master Data'!D:D)</f>
        <v>#N/A</v>
      </c>
      <c r="E154" s="104"/>
      <c r="F154" s="105" t="str">
        <f t="array" ref="F154">XLOOKUP(C154,'Master Data'!C:C,'Master Data'!D:D)</f>
        <v>#N/A</v>
      </c>
      <c r="G154" s="90" t="str">
        <f t="array" ref="G154">XLOOKUP(C154,'Master Data'!C:C,'Master Data'!E:E)</f>
        <v>#N/A</v>
      </c>
      <c r="H154" s="88" t="str">
        <f t="array" ref="H154">XLOOKUP(C154,'Master Data'!C:C,'Master Data'!F:F)</f>
        <v>#N/A</v>
      </c>
      <c r="I154" s="72" t="str">
        <f t="array" ref="I154">XLOOKUP(C154,'Master Data'!C:C,'Master Data'!G:G)</f>
        <v>#N/A</v>
      </c>
      <c r="J154" s="72" t="str">
        <f t="array" ref="J154">XLOOKUP(C154,'Master Data'!C:C,'Master Data'!H:H)</f>
        <v>#N/A</v>
      </c>
      <c r="K154" s="73"/>
      <c r="L154" s="149"/>
      <c r="M154" s="73"/>
      <c r="N154" s="73"/>
      <c r="O154" s="73"/>
      <c r="P154" s="73"/>
      <c r="Q154" s="73"/>
      <c r="R154" s="109"/>
      <c r="S154" s="4"/>
      <c r="T154" s="4"/>
      <c r="U154" s="4"/>
      <c r="V154" s="4"/>
      <c r="W154" s="4"/>
      <c r="X154" s="4"/>
      <c r="Y154" s="4"/>
      <c r="Z154" s="4"/>
      <c r="AA154" s="4"/>
      <c r="AB154" s="4"/>
      <c r="AC154" s="4"/>
      <c r="AD154" s="4"/>
      <c r="AE154" s="4"/>
      <c r="AF154" s="4"/>
    </row>
    <row r="155">
      <c r="A155" s="73"/>
      <c r="B155" s="73"/>
      <c r="C155" s="147"/>
      <c r="D155" s="103" t="str">
        <f t="array" ref="D155">XLOOKUP(C155,'Master Data'!C:C,'Master Data'!D:D)</f>
        <v>#N/A</v>
      </c>
      <c r="E155" s="104"/>
      <c r="F155" s="105" t="str">
        <f t="array" ref="F155">XLOOKUP(C155,'Master Data'!C:C,'Master Data'!D:D)</f>
        <v>#N/A</v>
      </c>
      <c r="G155" s="90" t="str">
        <f t="array" ref="G155">XLOOKUP(C155,'Master Data'!C:C,'Master Data'!E:E)</f>
        <v>#N/A</v>
      </c>
      <c r="H155" s="88" t="str">
        <f t="array" ref="H155">XLOOKUP(C155,'Master Data'!C:C,'Master Data'!F:F)</f>
        <v>#N/A</v>
      </c>
      <c r="I155" s="72" t="str">
        <f t="array" ref="I155">XLOOKUP(C155,'Master Data'!C:C,'Master Data'!G:G)</f>
        <v>#N/A</v>
      </c>
      <c r="J155" s="72" t="str">
        <f t="array" ref="J155">XLOOKUP(C155,'Master Data'!C:C,'Master Data'!H:H)</f>
        <v>#N/A</v>
      </c>
      <c r="K155" s="73"/>
      <c r="L155" s="149"/>
      <c r="M155" s="73"/>
      <c r="N155" s="73"/>
      <c r="O155" s="73"/>
      <c r="P155" s="73"/>
      <c r="Q155" s="73"/>
      <c r="R155" s="109"/>
      <c r="S155" s="4"/>
      <c r="T155" s="4"/>
      <c r="U155" s="4"/>
      <c r="V155" s="4"/>
      <c r="W155" s="4"/>
      <c r="X155" s="4"/>
      <c r="Y155" s="4"/>
      <c r="Z155" s="4"/>
      <c r="AA155" s="4"/>
      <c r="AB155" s="4"/>
      <c r="AC155" s="4"/>
      <c r="AD155" s="4"/>
      <c r="AE155" s="4"/>
      <c r="AF155" s="4"/>
    </row>
    <row r="156">
      <c r="A156" s="73"/>
      <c r="B156" s="73"/>
      <c r="C156" s="147"/>
      <c r="D156" s="103" t="str">
        <f t="array" ref="D156">XLOOKUP(C156,'Master Data'!C:C,'Master Data'!D:D)</f>
        <v>#N/A</v>
      </c>
      <c r="E156" s="104"/>
      <c r="F156" s="105" t="str">
        <f t="array" ref="F156">XLOOKUP(C156,'Master Data'!C:C,'Master Data'!D:D)</f>
        <v>#N/A</v>
      </c>
      <c r="G156" s="90" t="str">
        <f t="array" ref="G156">XLOOKUP(C156,'Master Data'!C:C,'Master Data'!E:E)</f>
        <v>#N/A</v>
      </c>
      <c r="H156" s="88" t="str">
        <f t="array" ref="H156">XLOOKUP(C156,'Master Data'!C:C,'Master Data'!F:F)</f>
        <v>#N/A</v>
      </c>
      <c r="I156" s="72" t="str">
        <f t="array" ref="I156">XLOOKUP(C156,'Master Data'!C:C,'Master Data'!G:G)</f>
        <v>#N/A</v>
      </c>
      <c r="J156" s="72" t="str">
        <f t="array" ref="J156">XLOOKUP(C156,'Master Data'!C:C,'Master Data'!H:H)</f>
        <v>#N/A</v>
      </c>
      <c r="K156" s="73"/>
      <c r="L156" s="149"/>
      <c r="M156" s="73"/>
      <c r="N156" s="73"/>
      <c r="O156" s="73"/>
      <c r="P156" s="73"/>
      <c r="Q156" s="73"/>
      <c r="R156" s="109"/>
      <c r="S156" s="4"/>
      <c r="T156" s="4"/>
      <c r="U156" s="4"/>
      <c r="V156" s="4"/>
      <c r="W156" s="4"/>
      <c r="X156" s="4"/>
      <c r="Y156" s="4"/>
      <c r="Z156" s="4"/>
      <c r="AA156" s="4"/>
      <c r="AB156" s="4"/>
      <c r="AC156" s="4"/>
      <c r="AD156" s="4"/>
      <c r="AE156" s="4"/>
      <c r="AF156" s="4"/>
    </row>
    <row r="157">
      <c r="A157" s="73"/>
      <c r="B157" s="73"/>
      <c r="C157" s="147"/>
      <c r="D157" s="103" t="str">
        <f t="array" ref="D157">XLOOKUP(C157,'Master Data'!C:C,'Master Data'!D:D)</f>
        <v>#N/A</v>
      </c>
      <c r="E157" s="104"/>
      <c r="F157" s="105" t="str">
        <f t="array" ref="F157">XLOOKUP(C157,'Master Data'!C:C,'Master Data'!D:D)</f>
        <v>#N/A</v>
      </c>
      <c r="G157" s="90" t="str">
        <f t="array" ref="G157">XLOOKUP(C157,'Master Data'!C:C,'Master Data'!E:E)</f>
        <v>#N/A</v>
      </c>
      <c r="H157" s="88" t="str">
        <f t="array" ref="H157">XLOOKUP(C157,'Master Data'!C:C,'Master Data'!F:F)</f>
        <v>#N/A</v>
      </c>
      <c r="I157" s="72" t="str">
        <f t="array" ref="I157">XLOOKUP(C157,'Master Data'!C:C,'Master Data'!G:G)</f>
        <v>#N/A</v>
      </c>
      <c r="J157" s="72" t="str">
        <f t="array" ref="J157">XLOOKUP(C157,'Master Data'!C:C,'Master Data'!H:H)</f>
        <v>#N/A</v>
      </c>
      <c r="K157" s="73"/>
      <c r="L157" s="149"/>
      <c r="M157" s="73"/>
      <c r="N157" s="73"/>
      <c r="O157" s="73"/>
      <c r="P157" s="73"/>
      <c r="Q157" s="73"/>
      <c r="R157" s="109"/>
      <c r="S157" s="4"/>
      <c r="T157" s="4"/>
      <c r="U157" s="4"/>
      <c r="V157" s="4"/>
      <c r="W157" s="4"/>
      <c r="X157" s="4"/>
      <c r="Y157" s="4"/>
      <c r="Z157" s="4"/>
      <c r="AA157" s="4"/>
      <c r="AB157" s="4"/>
      <c r="AC157" s="4"/>
      <c r="AD157" s="4"/>
      <c r="AE157" s="4"/>
      <c r="AF157" s="4"/>
    </row>
    <row r="158">
      <c r="A158" s="73"/>
      <c r="B158" s="73"/>
      <c r="C158" s="147"/>
      <c r="D158" s="103" t="str">
        <f t="array" ref="D158">XLOOKUP(C158,'Master Data'!C:C,'Master Data'!D:D)</f>
        <v>#N/A</v>
      </c>
      <c r="E158" s="104"/>
      <c r="F158" s="105" t="str">
        <f t="array" ref="F158">XLOOKUP(C158,'Master Data'!C:C,'Master Data'!D:D)</f>
        <v>#N/A</v>
      </c>
      <c r="G158" s="90" t="str">
        <f t="array" ref="G158">XLOOKUP(C158,'Master Data'!C:C,'Master Data'!E:E)</f>
        <v>#N/A</v>
      </c>
      <c r="H158" s="88" t="str">
        <f t="array" ref="H158">XLOOKUP(C158,'Master Data'!C:C,'Master Data'!F:F)</f>
        <v>#N/A</v>
      </c>
      <c r="I158" s="72" t="str">
        <f t="array" ref="I158">XLOOKUP(C158,'Master Data'!C:C,'Master Data'!G:G)</f>
        <v>#N/A</v>
      </c>
      <c r="J158" s="72" t="str">
        <f t="array" ref="J158">XLOOKUP(C158,'Master Data'!C:C,'Master Data'!H:H)</f>
        <v>#N/A</v>
      </c>
      <c r="K158" s="73"/>
      <c r="L158" s="149"/>
      <c r="M158" s="73"/>
      <c r="N158" s="73"/>
      <c r="O158" s="73"/>
      <c r="P158" s="73"/>
      <c r="Q158" s="73"/>
      <c r="R158" s="109"/>
      <c r="S158" s="4"/>
      <c r="T158" s="4"/>
      <c r="U158" s="4"/>
      <c r="V158" s="4"/>
      <c r="W158" s="4"/>
      <c r="X158" s="4"/>
      <c r="Y158" s="4"/>
      <c r="Z158" s="4"/>
      <c r="AA158" s="4"/>
      <c r="AB158" s="4"/>
      <c r="AC158" s="4"/>
      <c r="AD158" s="4"/>
      <c r="AE158" s="4"/>
      <c r="AF158" s="4"/>
    </row>
    <row r="159">
      <c r="A159" s="73"/>
      <c r="B159" s="73"/>
      <c r="C159" s="147"/>
      <c r="D159" s="103" t="str">
        <f t="array" ref="D159">XLOOKUP(C159,'Master Data'!C:C,'Master Data'!D:D)</f>
        <v>#N/A</v>
      </c>
      <c r="E159" s="104"/>
      <c r="F159" s="105" t="str">
        <f t="array" ref="F159">XLOOKUP(C159,'Master Data'!C:C,'Master Data'!D:D)</f>
        <v>#N/A</v>
      </c>
      <c r="G159" s="90" t="str">
        <f t="array" ref="G159">XLOOKUP(C159,'Master Data'!C:C,'Master Data'!E:E)</f>
        <v>#N/A</v>
      </c>
      <c r="H159" s="88" t="str">
        <f t="array" ref="H159">XLOOKUP(C159,'Master Data'!C:C,'Master Data'!F:F)</f>
        <v>#N/A</v>
      </c>
      <c r="I159" s="72" t="str">
        <f t="array" ref="I159">XLOOKUP(C159,'Master Data'!C:C,'Master Data'!G:G)</f>
        <v>#N/A</v>
      </c>
      <c r="J159" s="72" t="str">
        <f t="array" ref="J159">XLOOKUP(C159,'Master Data'!C:C,'Master Data'!H:H)</f>
        <v>#N/A</v>
      </c>
      <c r="K159" s="73"/>
      <c r="L159" s="149"/>
      <c r="M159" s="73"/>
      <c r="N159" s="73"/>
      <c r="O159" s="73"/>
      <c r="P159" s="73"/>
      <c r="Q159" s="73"/>
      <c r="R159" s="109"/>
      <c r="S159" s="4"/>
      <c r="T159" s="4"/>
      <c r="U159" s="4"/>
      <c r="V159" s="4"/>
      <c r="W159" s="4"/>
      <c r="X159" s="4"/>
      <c r="Y159" s="4"/>
      <c r="Z159" s="4"/>
      <c r="AA159" s="4"/>
      <c r="AB159" s="4"/>
      <c r="AC159" s="4"/>
      <c r="AD159" s="4"/>
      <c r="AE159" s="4"/>
      <c r="AF159" s="4"/>
    </row>
    <row r="160">
      <c r="A160" s="73"/>
      <c r="B160" s="73"/>
      <c r="C160" s="147"/>
      <c r="D160" s="103" t="str">
        <f t="array" ref="D160">XLOOKUP(C160,'Master Data'!C:C,'Master Data'!D:D)</f>
        <v>#N/A</v>
      </c>
      <c r="E160" s="104"/>
      <c r="F160" s="105" t="str">
        <f t="array" ref="F160">XLOOKUP(C160,'Master Data'!C:C,'Master Data'!D:D)</f>
        <v>#N/A</v>
      </c>
      <c r="G160" s="90" t="str">
        <f t="array" ref="G160">XLOOKUP(C160,'Master Data'!C:C,'Master Data'!E:E)</f>
        <v>#N/A</v>
      </c>
      <c r="H160" s="88" t="str">
        <f t="array" ref="H160">XLOOKUP(C160,'Master Data'!C:C,'Master Data'!F:F)</f>
        <v>#N/A</v>
      </c>
      <c r="I160" s="72" t="str">
        <f t="array" ref="I160">XLOOKUP(C160,'Master Data'!C:C,'Master Data'!G:G)</f>
        <v>#N/A</v>
      </c>
      <c r="J160" s="72" t="str">
        <f t="array" ref="J160">XLOOKUP(C160,'Master Data'!C:C,'Master Data'!H:H)</f>
        <v>#N/A</v>
      </c>
      <c r="K160" s="73"/>
      <c r="L160" s="149"/>
      <c r="M160" s="73"/>
      <c r="N160" s="73"/>
      <c r="O160" s="73"/>
      <c r="P160" s="73"/>
      <c r="Q160" s="73"/>
      <c r="R160" s="109"/>
      <c r="S160" s="4"/>
      <c r="T160" s="4"/>
      <c r="U160" s="4"/>
      <c r="V160" s="4"/>
      <c r="W160" s="4"/>
      <c r="X160" s="4"/>
      <c r="Y160" s="4"/>
      <c r="Z160" s="4"/>
      <c r="AA160" s="4"/>
      <c r="AB160" s="4"/>
      <c r="AC160" s="4"/>
      <c r="AD160" s="4"/>
      <c r="AE160" s="4"/>
      <c r="AF160" s="4"/>
    </row>
    <row r="161">
      <c r="A161" s="73"/>
      <c r="B161" s="73"/>
      <c r="C161" s="147"/>
      <c r="D161" s="103" t="str">
        <f t="array" ref="D161">XLOOKUP(C161,'Master Data'!C:C,'Master Data'!D:D)</f>
        <v>#N/A</v>
      </c>
      <c r="E161" s="104"/>
      <c r="F161" s="105" t="str">
        <f t="array" ref="F161">XLOOKUP(C161,'Master Data'!C:C,'Master Data'!D:D)</f>
        <v>#N/A</v>
      </c>
      <c r="G161" s="90" t="str">
        <f t="array" ref="G161">XLOOKUP(C161,'Master Data'!C:C,'Master Data'!E:E)</f>
        <v>#N/A</v>
      </c>
      <c r="H161" s="88" t="str">
        <f t="array" ref="H161">XLOOKUP(C161,'Master Data'!C:C,'Master Data'!F:F)</f>
        <v>#N/A</v>
      </c>
      <c r="I161" s="72" t="str">
        <f t="array" ref="I161">XLOOKUP(C161,'Master Data'!C:C,'Master Data'!G:G)</f>
        <v>#N/A</v>
      </c>
      <c r="J161" s="72" t="str">
        <f t="array" ref="J161">XLOOKUP(C161,'Master Data'!C:C,'Master Data'!H:H)</f>
        <v>#N/A</v>
      </c>
      <c r="K161" s="73"/>
      <c r="L161" s="149"/>
      <c r="M161" s="73"/>
      <c r="N161" s="73"/>
      <c r="O161" s="73"/>
      <c r="P161" s="73"/>
      <c r="Q161" s="73"/>
      <c r="R161" s="109"/>
      <c r="S161" s="4"/>
      <c r="T161" s="4"/>
      <c r="U161" s="4"/>
      <c r="V161" s="4"/>
      <c r="W161" s="4"/>
      <c r="X161" s="4"/>
      <c r="Y161" s="4"/>
      <c r="Z161" s="4"/>
      <c r="AA161" s="4"/>
      <c r="AB161" s="4"/>
      <c r="AC161" s="4"/>
      <c r="AD161" s="4"/>
      <c r="AE161" s="4"/>
      <c r="AF161" s="4"/>
    </row>
    <row r="162">
      <c r="A162" s="73"/>
      <c r="B162" s="73"/>
      <c r="C162" s="147"/>
      <c r="D162" s="103" t="str">
        <f t="array" ref="D162">XLOOKUP(C162,'Master Data'!C:C,'Master Data'!D:D)</f>
        <v>#N/A</v>
      </c>
      <c r="E162" s="104"/>
      <c r="F162" s="105" t="str">
        <f t="array" ref="F162">XLOOKUP(C162,'Master Data'!C:C,'Master Data'!D:D)</f>
        <v>#N/A</v>
      </c>
      <c r="G162" s="90" t="str">
        <f t="array" ref="G162">XLOOKUP(C162,'Master Data'!C:C,'Master Data'!E:E)</f>
        <v>#N/A</v>
      </c>
      <c r="H162" s="88" t="str">
        <f t="array" ref="H162">XLOOKUP(C162,'Master Data'!C:C,'Master Data'!F:F)</f>
        <v>#N/A</v>
      </c>
      <c r="I162" s="72" t="str">
        <f t="array" ref="I162">XLOOKUP(C162,'Master Data'!C:C,'Master Data'!G:G)</f>
        <v>#N/A</v>
      </c>
      <c r="J162" s="72" t="str">
        <f t="array" ref="J162">XLOOKUP(C162,'Master Data'!C:C,'Master Data'!H:H)</f>
        <v>#N/A</v>
      </c>
      <c r="K162" s="73"/>
      <c r="L162" s="149"/>
      <c r="M162" s="73"/>
      <c r="N162" s="73"/>
      <c r="O162" s="73"/>
      <c r="P162" s="73"/>
      <c r="Q162" s="73"/>
      <c r="R162" s="109"/>
      <c r="S162" s="4"/>
      <c r="T162" s="4"/>
      <c r="U162" s="4"/>
      <c r="V162" s="4"/>
      <c r="W162" s="4"/>
      <c r="X162" s="4"/>
      <c r="Y162" s="4"/>
      <c r="Z162" s="4"/>
      <c r="AA162" s="4"/>
      <c r="AB162" s="4"/>
      <c r="AC162" s="4"/>
      <c r="AD162" s="4"/>
      <c r="AE162" s="4"/>
      <c r="AF162" s="4"/>
    </row>
    <row r="163">
      <c r="A163" s="73"/>
      <c r="B163" s="73"/>
      <c r="C163" s="147"/>
      <c r="D163" s="103" t="str">
        <f t="array" ref="D163">XLOOKUP(C163,'Master Data'!C:C,'Master Data'!D:D)</f>
        <v>#N/A</v>
      </c>
      <c r="E163" s="104"/>
      <c r="F163" s="105" t="str">
        <f t="array" ref="F163">XLOOKUP(C163,'Master Data'!C:C,'Master Data'!D:D)</f>
        <v>#N/A</v>
      </c>
      <c r="G163" s="90" t="str">
        <f t="array" ref="G163">XLOOKUP(C163,'Master Data'!C:C,'Master Data'!E:E)</f>
        <v>#N/A</v>
      </c>
      <c r="H163" s="88" t="str">
        <f t="array" ref="H163">XLOOKUP(C163,'Master Data'!C:C,'Master Data'!F:F)</f>
        <v>#N/A</v>
      </c>
      <c r="I163" s="72" t="str">
        <f t="array" ref="I163">XLOOKUP(C163,'Master Data'!C:C,'Master Data'!G:G)</f>
        <v>#N/A</v>
      </c>
      <c r="J163" s="72" t="str">
        <f t="array" ref="J163">XLOOKUP(C163,'Master Data'!C:C,'Master Data'!H:H)</f>
        <v>#N/A</v>
      </c>
      <c r="K163" s="73"/>
      <c r="L163" s="149"/>
      <c r="M163" s="73"/>
      <c r="N163" s="73"/>
      <c r="O163" s="73"/>
      <c r="P163" s="73"/>
      <c r="Q163" s="73"/>
      <c r="R163" s="109"/>
      <c r="S163" s="4"/>
      <c r="T163" s="4"/>
      <c r="U163" s="4"/>
      <c r="V163" s="4"/>
      <c r="W163" s="4"/>
      <c r="X163" s="4"/>
      <c r="Y163" s="4"/>
      <c r="Z163" s="4"/>
      <c r="AA163" s="4"/>
      <c r="AB163" s="4"/>
      <c r="AC163" s="4"/>
      <c r="AD163" s="4"/>
      <c r="AE163" s="4"/>
      <c r="AF163" s="4"/>
    </row>
    <row r="164">
      <c r="A164" s="73"/>
      <c r="B164" s="73"/>
      <c r="C164" s="147"/>
      <c r="D164" s="103" t="str">
        <f t="array" ref="D164">XLOOKUP(C164,'Master Data'!C:C,'Master Data'!D:D)</f>
        <v>#N/A</v>
      </c>
      <c r="E164" s="104"/>
      <c r="F164" s="105" t="str">
        <f t="array" ref="F164">XLOOKUP(C164,'Master Data'!C:C,'Master Data'!D:D)</f>
        <v>#N/A</v>
      </c>
      <c r="G164" s="90" t="str">
        <f t="array" ref="G164">XLOOKUP(C164,'Master Data'!C:C,'Master Data'!E:E)</f>
        <v>#N/A</v>
      </c>
      <c r="H164" s="88" t="str">
        <f t="array" ref="H164">XLOOKUP(C164,'Master Data'!C:C,'Master Data'!F:F)</f>
        <v>#N/A</v>
      </c>
      <c r="I164" s="72" t="str">
        <f t="array" ref="I164">XLOOKUP(C164,'Master Data'!C:C,'Master Data'!G:G)</f>
        <v>#N/A</v>
      </c>
      <c r="J164" s="72" t="str">
        <f t="array" ref="J164">XLOOKUP(C164,'Master Data'!C:C,'Master Data'!H:H)</f>
        <v>#N/A</v>
      </c>
      <c r="K164" s="73"/>
      <c r="L164" s="149"/>
      <c r="M164" s="73"/>
      <c r="N164" s="73"/>
      <c r="O164" s="73"/>
      <c r="P164" s="73"/>
      <c r="Q164" s="73"/>
      <c r="R164" s="109"/>
      <c r="S164" s="4"/>
      <c r="T164" s="4"/>
      <c r="U164" s="4"/>
      <c r="V164" s="4"/>
      <c r="W164" s="4"/>
      <c r="X164" s="4"/>
      <c r="Y164" s="4"/>
      <c r="Z164" s="4"/>
      <c r="AA164" s="4"/>
      <c r="AB164" s="4"/>
      <c r="AC164" s="4"/>
      <c r="AD164" s="4"/>
      <c r="AE164" s="4"/>
      <c r="AF164" s="4"/>
    </row>
    <row r="165">
      <c r="A165" s="73"/>
      <c r="B165" s="73"/>
      <c r="C165" s="147"/>
      <c r="D165" s="103" t="str">
        <f t="array" ref="D165">XLOOKUP(C165,'Master Data'!C:C,'Master Data'!D:D)</f>
        <v>#N/A</v>
      </c>
      <c r="E165" s="104"/>
      <c r="F165" s="105" t="str">
        <f t="array" ref="F165">XLOOKUP(C165,'Master Data'!C:C,'Master Data'!D:D)</f>
        <v>#N/A</v>
      </c>
      <c r="G165" s="90" t="str">
        <f t="array" ref="G165">XLOOKUP(C165,'Master Data'!C:C,'Master Data'!E:E)</f>
        <v>#N/A</v>
      </c>
      <c r="H165" s="88" t="str">
        <f t="array" ref="H165">XLOOKUP(C165,'Master Data'!C:C,'Master Data'!F:F)</f>
        <v>#N/A</v>
      </c>
      <c r="I165" s="72" t="str">
        <f t="array" ref="I165">XLOOKUP(C165,'Master Data'!C:C,'Master Data'!G:G)</f>
        <v>#N/A</v>
      </c>
      <c r="J165" s="72" t="str">
        <f t="array" ref="J165">XLOOKUP(C165,'Master Data'!C:C,'Master Data'!H:H)</f>
        <v>#N/A</v>
      </c>
      <c r="K165" s="73"/>
      <c r="L165" s="149"/>
      <c r="M165" s="73"/>
      <c r="N165" s="73"/>
      <c r="O165" s="73"/>
      <c r="P165" s="73"/>
      <c r="Q165" s="73"/>
      <c r="R165" s="109"/>
      <c r="S165" s="4"/>
      <c r="T165" s="4"/>
      <c r="U165" s="4"/>
      <c r="V165" s="4"/>
      <c r="W165" s="4"/>
      <c r="X165" s="4"/>
      <c r="Y165" s="4"/>
      <c r="Z165" s="4"/>
      <c r="AA165" s="4"/>
      <c r="AB165" s="4"/>
      <c r="AC165" s="4"/>
      <c r="AD165" s="4"/>
      <c r="AE165" s="4"/>
      <c r="AF165" s="4"/>
    </row>
    <row r="166">
      <c r="A166" s="73"/>
      <c r="B166" s="73"/>
      <c r="C166" s="147"/>
      <c r="D166" s="103" t="str">
        <f t="array" ref="D166">XLOOKUP(C166,'Master Data'!C:C,'Master Data'!D:D)</f>
        <v>#N/A</v>
      </c>
      <c r="E166" s="104"/>
      <c r="F166" s="105" t="str">
        <f t="array" ref="F166">XLOOKUP(C166,'Master Data'!C:C,'Master Data'!D:D)</f>
        <v>#N/A</v>
      </c>
      <c r="G166" s="90" t="str">
        <f t="array" ref="G166">XLOOKUP(C166,'Master Data'!C:C,'Master Data'!E:E)</f>
        <v>#N/A</v>
      </c>
      <c r="H166" s="88" t="str">
        <f t="array" ref="H166">XLOOKUP(C166,'Master Data'!C:C,'Master Data'!F:F)</f>
        <v>#N/A</v>
      </c>
      <c r="I166" s="72" t="str">
        <f t="array" ref="I166">XLOOKUP(C166,'Master Data'!C:C,'Master Data'!G:G)</f>
        <v>#N/A</v>
      </c>
      <c r="J166" s="72" t="str">
        <f t="array" ref="J166">XLOOKUP(C166,'Master Data'!C:C,'Master Data'!H:H)</f>
        <v>#N/A</v>
      </c>
      <c r="K166" s="73"/>
      <c r="L166" s="149"/>
      <c r="M166" s="73"/>
      <c r="N166" s="73"/>
      <c r="O166" s="73"/>
      <c r="P166" s="73"/>
      <c r="Q166" s="73"/>
      <c r="R166" s="109"/>
      <c r="S166" s="4"/>
      <c r="T166" s="4"/>
      <c r="U166" s="4"/>
      <c r="V166" s="4"/>
      <c r="W166" s="4"/>
      <c r="X166" s="4"/>
      <c r="Y166" s="4"/>
      <c r="Z166" s="4"/>
      <c r="AA166" s="4"/>
      <c r="AB166" s="4"/>
      <c r="AC166" s="4"/>
      <c r="AD166" s="4"/>
      <c r="AE166" s="4"/>
      <c r="AF166" s="4"/>
    </row>
    <row r="167">
      <c r="A167" s="73"/>
      <c r="B167" s="73"/>
      <c r="C167" s="147"/>
      <c r="D167" s="103" t="str">
        <f t="array" ref="D167">XLOOKUP(C167,'Master Data'!C:C,'Master Data'!D:D)</f>
        <v>#N/A</v>
      </c>
      <c r="E167" s="104"/>
      <c r="F167" s="105" t="str">
        <f t="array" ref="F167">XLOOKUP(C167,'Master Data'!C:C,'Master Data'!D:D)</f>
        <v>#N/A</v>
      </c>
      <c r="G167" s="90" t="str">
        <f t="array" ref="G167">XLOOKUP(C167,'Master Data'!C:C,'Master Data'!E:E)</f>
        <v>#N/A</v>
      </c>
      <c r="H167" s="88" t="str">
        <f t="array" ref="H167">XLOOKUP(C167,'Master Data'!C:C,'Master Data'!F:F)</f>
        <v>#N/A</v>
      </c>
      <c r="I167" s="72" t="str">
        <f t="array" ref="I167">XLOOKUP(C167,'Master Data'!C:C,'Master Data'!G:G)</f>
        <v>#N/A</v>
      </c>
      <c r="J167" s="72" t="str">
        <f t="array" ref="J167">XLOOKUP(C167,'Master Data'!C:C,'Master Data'!H:H)</f>
        <v>#N/A</v>
      </c>
      <c r="K167" s="73"/>
      <c r="L167" s="149"/>
      <c r="M167" s="73"/>
      <c r="N167" s="73"/>
      <c r="O167" s="73"/>
      <c r="P167" s="73"/>
      <c r="Q167" s="73"/>
      <c r="R167" s="109"/>
      <c r="S167" s="4"/>
      <c r="T167" s="4"/>
      <c r="U167" s="4"/>
      <c r="V167" s="4"/>
      <c r="W167" s="4"/>
      <c r="X167" s="4"/>
      <c r="Y167" s="4"/>
      <c r="Z167" s="4"/>
      <c r="AA167" s="4"/>
      <c r="AB167" s="4"/>
      <c r="AC167" s="4"/>
      <c r="AD167" s="4"/>
      <c r="AE167" s="4"/>
      <c r="AF167" s="4"/>
    </row>
    <row r="168">
      <c r="A168" s="73"/>
      <c r="B168" s="73"/>
      <c r="C168" s="147"/>
      <c r="D168" s="103" t="str">
        <f t="array" ref="D168">XLOOKUP(C168,'Master Data'!C:C,'Master Data'!D:D)</f>
        <v>#N/A</v>
      </c>
      <c r="E168" s="104"/>
      <c r="F168" s="105" t="str">
        <f t="array" ref="F168">XLOOKUP(C168,'Master Data'!C:C,'Master Data'!D:D)</f>
        <v>#N/A</v>
      </c>
      <c r="G168" s="90" t="str">
        <f t="array" ref="G168">XLOOKUP(C168,'Master Data'!C:C,'Master Data'!E:E)</f>
        <v>#N/A</v>
      </c>
      <c r="H168" s="88" t="str">
        <f t="array" ref="H168">XLOOKUP(C168,'Master Data'!C:C,'Master Data'!F:F)</f>
        <v>#N/A</v>
      </c>
      <c r="I168" s="72" t="str">
        <f t="array" ref="I168">XLOOKUP(C168,'Master Data'!C:C,'Master Data'!G:G)</f>
        <v>#N/A</v>
      </c>
      <c r="J168" s="72" t="str">
        <f t="array" ref="J168">XLOOKUP(C168,'Master Data'!C:C,'Master Data'!H:H)</f>
        <v>#N/A</v>
      </c>
      <c r="K168" s="73"/>
      <c r="L168" s="149"/>
      <c r="M168" s="73"/>
      <c r="N168" s="73"/>
      <c r="O168" s="73"/>
      <c r="P168" s="73"/>
      <c r="Q168" s="73"/>
      <c r="R168" s="109"/>
      <c r="S168" s="4"/>
      <c r="T168" s="4"/>
      <c r="U168" s="4"/>
      <c r="V168" s="4"/>
      <c r="W168" s="4"/>
      <c r="X168" s="4"/>
      <c r="Y168" s="4"/>
      <c r="Z168" s="4"/>
      <c r="AA168" s="4"/>
      <c r="AB168" s="4"/>
      <c r="AC168" s="4"/>
      <c r="AD168" s="4"/>
      <c r="AE168" s="4"/>
      <c r="AF168" s="4"/>
    </row>
    <row r="169">
      <c r="A169" s="73"/>
      <c r="B169" s="73"/>
      <c r="C169" s="147"/>
      <c r="D169" s="103" t="str">
        <f t="array" ref="D169">XLOOKUP(C169,'Master Data'!C:C,'Master Data'!D:D)</f>
        <v>#N/A</v>
      </c>
      <c r="E169" s="104"/>
      <c r="F169" s="105" t="str">
        <f t="array" ref="F169">XLOOKUP(C169,'Master Data'!C:C,'Master Data'!D:D)</f>
        <v>#N/A</v>
      </c>
      <c r="G169" s="90" t="str">
        <f t="array" ref="G169">XLOOKUP(C169,'Master Data'!C:C,'Master Data'!E:E)</f>
        <v>#N/A</v>
      </c>
      <c r="H169" s="88" t="str">
        <f t="array" ref="H169">XLOOKUP(C169,'Master Data'!C:C,'Master Data'!F:F)</f>
        <v>#N/A</v>
      </c>
      <c r="I169" s="72" t="str">
        <f t="array" ref="I169">XLOOKUP(C169,'Master Data'!C:C,'Master Data'!G:G)</f>
        <v>#N/A</v>
      </c>
      <c r="J169" s="72" t="str">
        <f t="array" ref="J169">XLOOKUP(C169,'Master Data'!C:C,'Master Data'!H:H)</f>
        <v>#N/A</v>
      </c>
      <c r="K169" s="73"/>
      <c r="L169" s="149"/>
      <c r="M169" s="73"/>
      <c r="N169" s="73"/>
      <c r="O169" s="73"/>
      <c r="P169" s="73"/>
      <c r="Q169" s="73"/>
      <c r="R169" s="109"/>
      <c r="S169" s="4"/>
      <c r="T169" s="4"/>
      <c r="U169" s="4"/>
      <c r="V169" s="4"/>
      <c r="W169" s="4"/>
      <c r="X169" s="4"/>
      <c r="Y169" s="4"/>
      <c r="Z169" s="4"/>
      <c r="AA169" s="4"/>
      <c r="AB169" s="4"/>
      <c r="AC169" s="4"/>
      <c r="AD169" s="4"/>
      <c r="AE169" s="4"/>
      <c r="AF169" s="4"/>
    </row>
    <row r="170">
      <c r="A170" s="73"/>
      <c r="B170" s="73"/>
      <c r="C170" s="147"/>
      <c r="D170" s="103" t="str">
        <f t="array" ref="D170">XLOOKUP(C170,'Master Data'!C:C,'Master Data'!D:D)</f>
        <v>#N/A</v>
      </c>
      <c r="E170" s="104"/>
      <c r="F170" s="105" t="str">
        <f t="array" ref="F170">XLOOKUP(C170,'Master Data'!C:C,'Master Data'!D:D)</f>
        <v>#N/A</v>
      </c>
      <c r="G170" s="90" t="str">
        <f t="array" ref="G170">XLOOKUP(C170,'Master Data'!C:C,'Master Data'!E:E)</f>
        <v>#N/A</v>
      </c>
      <c r="H170" s="88" t="str">
        <f t="array" ref="H170">XLOOKUP(C170,'Master Data'!C:C,'Master Data'!F:F)</f>
        <v>#N/A</v>
      </c>
      <c r="I170" s="72" t="str">
        <f t="array" ref="I170">XLOOKUP(C170,'Master Data'!C:C,'Master Data'!G:G)</f>
        <v>#N/A</v>
      </c>
      <c r="J170" s="72" t="str">
        <f t="array" ref="J170">XLOOKUP(C170,'Master Data'!C:C,'Master Data'!H:H)</f>
        <v>#N/A</v>
      </c>
      <c r="K170" s="73"/>
      <c r="L170" s="149"/>
      <c r="M170" s="73"/>
      <c r="N170" s="73"/>
      <c r="O170" s="73"/>
      <c r="P170" s="73"/>
      <c r="Q170" s="73"/>
      <c r="R170" s="109"/>
      <c r="S170" s="4"/>
      <c r="T170" s="4"/>
      <c r="U170" s="4"/>
      <c r="V170" s="4"/>
      <c r="W170" s="4"/>
      <c r="X170" s="4"/>
      <c r="Y170" s="4"/>
      <c r="Z170" s="4"/>
      <c r="AA170" s="4"/>
      <c r="AB170" s="4"/>
      <c r="AC170" s="4"/>
      <c r="AD170" s="4"/>
      <c r="AE170" s="4"/>
      <c r="AF170" s="4"/>
    </row>
    <row r="171">
      <c r="A171" s="73"/>
      <c r="B171" s="73"/>
      <c r="C171" s="147"/>
      <c r="D171" s="103" t="str">
        <f t="array" ref="D171">XLOOKUP(C171,'Master Data'!C:C,'Master Data'!D:D)</f>
        <v>#N/A</v>
      </c>
      <c r="E171" s="104"/>
      <c r="F171" s="105" t="str">
        <f t="array" ref="F171">XLOOKUP(C171,'Master Data'!C:C,'Master Data'!D:D)</f>
        <v>#N/A</v>
      </c>
      <c r="G171" s="90" t="str">
        <f t="array" ref="G171">XLOOKUP(C171,'Master Data'!C:C,'Master Data'!E:E)</f>
        <v>#N/A</v>
      </c>
      <c r="H171" s="88" t="str">
        <f t="array" ref="H171">XLOOKUP(C171,'Master Data'!C:C,'Master Data'!F:F)</f>
        <v>#N/A</v>
      </c>
      <c r="I171" s="72" t="str">
        <f t="array" ref="I171">XLOOKUP(C171,'Master Data'!C:C,'Master Data'!G:G)</f>
        <v>#N/A</v>
      </c>
      <c r="J171" s="72" t="str">
        <f t="array" ref="J171">XLOOKUP(C171,'Master Data'!C:C,'Master Data'!H:H)</f>
        <v>#N/A</v>
      </c>
      <c r="K171" s="73"/>
      <c r="L171" s="149"/>
      <c r="M171" s="73"/>
      <c r="N171" s="73"/>
      <c r="O171" s="73"/>
      <c r="P171" s="73"/>
      <c r="Q171" s="73"/>
      <c r="R171" s="109"/>
      <c r="S171" s="4"/>
      <c r="T171" s="4"/>
      <c r="U171" s="4"/>
      <c r="V171" s="4"/>
      <c r="W171" s="4"/>
      <c r="X171" s="4"/>
      <c r="Y171" s="4"/>
      <c r="Z171" s="4"/>
      <c r="AA171" s="4"/>
      <c r="AB171" s="4"/>
      <c r="AC171" s="4"/>
      <c r="AD171" s="4"/>
      <c r="AE171" s="4"/>
      <c r="AF171" s="4"/>
    </row>
    <row r="172">
      <c r="A172" s="73"/>
      <c r="B172" s="73"/>
      <c r="C172" s="147"/>
      <c r="D172" s="103" t="str">
        <f t="array" ref="D172">XLOOKUP(C172,'Master Data'!C:C,'Master Data'!D:D)</f>
        <v>#N/A</v>
      </c>
      <c r="E172" s="104"/>
      <c r="F172" s="105" t="str">
        <f t="array" ref="F172">XLOOKUP(C172,'Master Data'!C:C,'Master Data'!D:D)</f>
        <v>#N/A</v>
      </c>
      <c r="G172" s="90" t="str">
        <f t="array" ref="G172">XLOOKUP(C172,'Master Data'!C:C,'Master Data'!E:E)</f>
        <v>#N/A</v>
      </c>
      <c r="H172" s="88" t="str">
        <f t="array" ref="H172">XLOOKUP(C172,'Master Data'!C:C,'Master Data'!F:F)</f>
        <v>#N/A</v>
      </c>
      <c r="I172" s="72" t="str">
        <f t="array" ref="I172">XLOOKUP(C172,'Master Data'!C:C,'Master Data'!G:G)</f>
        <v>#N/A</v>
      </c>
      <c r="J172" s="72" t="str">
        <f t="array" ref="J172">XLOOKUP(C172,'Master Data'!C:C,'Master Data'!H:H)</f>
        <v>#N/A</v>
      </c>
      <c r="K172" s="73"/>
      <c r="L172" s="149"/>
      <c r="M172" s="73"/>
      <c r="N172" s="73"/>
      <c r="O172" s="73"/>
      <c r="P172" s="73"/>
      <c r="Q172" s="73"/>
      <c r="R172" s="109"/>
      <c r="S172" s="4"/>
      <c r="T172" s="4"/>
      <c r="U172" s="4"/>
      <c r="V172" s="4"/>
      <c r="W172" s="4"/>
      <c r="X172" s="4"/>
      <c r="Y172" s="4"/>
      <c r="Z172" s="4"/>
      <c r="AA172" s="4"/>
      <c r="AB172" s="4"/>
      <c r="AC172" s="4"/>
      <c r="AD172" s="4"/>
      <c r="AE172" s="4"/>
      <c r="AF172" s="4"/>
    </row>
    <row r="173">
      <c r="A173" s="73"/>
      <c r="B173" s="73"/>
      <c r="C173" s="147"/>
      <c r="D173" s="103" t="str">
        <f t="array" ref="D173">XLOOKUP(C173,'Master Data'!C:C,'Master Data'!D:D)</f>
        <v>#N/A</v>
      </c>
      <c r="E173" s="104"/>
      <c r="F173" s="105" t="str">
        <f t="array" ref="F173">XLOOKUP(C173,'Master Data'!C:C,'Master Data'!D:D)</f>
        <v>#N/A</v>
      </c>
      <c r="G173" s="90" t="str">
        <f t="array" ref="G173">XLOOKUP(C173,'Master Data'!C:C,'Master Data'!E:E)</f>
        <v>#N/A</v>
      </c>
      <c r="H173" s="88" t="str">
        <f t="array" ref="H173">XLOOKUP(C173,'Master Data'!C:C,'Master Data'!F:F)</f>
        <v>#N/A</v>
      </c>
      <c r="I173" s="72" t="str">
        <f t="array" ref="I173">XLOOKUP(C173,'Master Data'!C:C,'Master Data'!G:G)</f>
        <v>#N/A</v>
      </c>
      <c r="J173" s="72" t="str">
        <f t="array" ref="J173">XLOOKUP(C173,'Master Data'!C:C,'Master Data'!H:H)</f>
        <v>#N/A</v>
      </c>
      <c r="K173" s="73"/>
      <c r="L173" s="149"/>
      <c r="M173" s="73"/>
      <c r="N173" s="73"/>
      <c r="O173" s="73"/>
      <c r="P173" s="73"/>
      <c r="Q173" s="73"/>
      <c r="R173" s="109"/>
      <c r="S173" s="4"/>
      <c r="T173" s="4"/>
      <c r="U173" s="4"/>
      <c r="V173" s="4"/>
      <c r="W173" s="4"/>
      <c r="X173" s="4"/>
      <c r="Y173" s="4"/>
      <c r="Z173" s="4"/>
      <c r="AA173" s="4"/>
      <c r="AB173" s="4"/>
      <c r="AC173" s="4"/>
      <c r="AD173" s="4"/>
      <c r="AE173" s="4"/>
      <c r="AF173" s="4"/>
    </row>
    <row r="174">
      <c r="A174" s="73"/>
      <c r="B174" s="73"/>
      <c r="C174" s="147"/>
      <c r="D174" s="103" t="str">
        <f t="array" ref="D174">XLOOKUP(C174,'Master Data'!C:C,'Master Data'!D:D)</f>
        <v>#N/A</v>
      </c>
      <c r="E174" s="104"/>
      <c r="F174" s="105" t="str">
        <f t="array" ref="F174">XLOOKUP(C174,'Master Data'!C:C,'Master Data'!D:D)</f>
        <v>#N/A</v>
      </c>
      <c r="G174" s="90" t="str">
        <f t="array" ref="G174">XLOOKUP(C174,'Master Data'!C:C,'Master Data'!E:E)</f>
        <v>#N/A</v>
      </c>
      <c r="H174" s="88" t="str">
        <f t="array" ref="H174">XLOOKUP(C174,'Master Data'!C:C,'Master Data'!F:F)</f>
        <v>#N/A</v>
      </c>
      <c r="I174" s="72" t="str">
        <f t="array" ref="I174">XLOOKUP(C174,'Master Data'!C:C,'Master Data'!G:G)</f>
        <v>#N/A</v>
      </c>
      <c r="J174" s="72" t="str">
        <f t="array" ref="J174">XLOOKUP(C174,'Master Data'!C:C,'Master Data'!H:H)</f>
        <v>#N/A</v>
      </c>
      <c r="K174" s="73"/>
      <c r="L174" s="149"/>
      <c r="M174" s="73"/>
      <c r="N174" s="73"/>
      <c r="O174" s="73"/>
      <c r="P174" s="73"/>
      <c r="Q174" s="73"/>
      <c r="R174" s="109"/>
      <c r="S174" s="4"/>
      <c r="T174" s="4"/>
      <c r="U174" s="4"/>
      <c r="V174" s="4"/>
      <c r="W174" s="4"/>
      <c r="X174" s="4"/>
      <c r="Y174" s="4"/>
      <c r="Z174" s="4"/>
      <c r="AA174" s="4"/>
      <c r="AB174" s="4"/>
      <c r="AC174" s="4"/>
      <c r="AD174" s="4"/>
      <c r="AE174" s="4"/>
      <c r="AF174" s="4"/>
    </row>
    <row r="175">
      <c r="A175" s="73"/>
      <c r="B175" s="73"/>
      <c r="C175" s="147"/>
      <c r="D175" s="103" t="str">
        <f t="array" ref="D175">XLOOKUP(C175,'Master Data'!C:C,'Master Data'!D:D)</f>
        <v>#N/A</v>
      </c>
      <c r="E175" s="104"/>
      <c r="F175" s="105" t="str">
        <f t="array" ref="F175">XLOOKUP(C175,'Master Data'!C:C,'Master Data'!D:D)</f>
        <v>#N/A</v>
      </c>
      <c r="G175" s="90" t="str">
        <f t="array" ref="G175">XLOOKUP(C175,'Master Data'!C:C,'Master Data'!E:E)</f>
        <v>#N/A</v>
      </c>
      <c r="H175" s="88" t="str">
        <f t="array" ref="H175">XLOOKUP(C175,'Master Data'!C:C,'Master Data'!F:F)</f>
        <v>#N/A</v>
      </c>
      <c r="I175" s="72" t="str">
        <f t="array" ref="I175">XLOOKUP(C175,'Master Data'!C:C,'Master Data'!G:G)</f>
        <v>#N/A</v>
      </c>
      <c r="J175" s="72" t="str">
        <f t="array" ref="J175">XLOOKUP(C175,'Master Data'!C:C,'Master Data'!H:H)</f>
        <v>#N/A</v>
      </c>
      <c r="K175" s="73"/>
      <c r="L175" s="149"/>
      <c r="M175" s="73"/>
      <c r="N175" s="73"/>
      <c r="O175" s="73"/>
      <c r="P175" s="73"/>
      <c r="Q175" s="73"/>
      <c r="R175" s="109"/>
      <c r="S175" s="4"/>
      <c r="T175" s="4"/>
      <c r="U175" s="4"/>
      <c r="V175" s="4"/>
      <c r="W175" s="4"/>
      <c r="X175" s="4"/>
      <c r="Y175" s="4"/>
      <c r="Z175" s="4"/>
      <c r="AA175" s="4"/>
      <c r="AB175" s="4"/>
      <c r="AC175" s="4"/>
      <c r="AD175" s="4"/>
      <c r="AE175" s="4"/>
      <c r="AF175" s="4"/>
    </row>
    <row r="176">
      <c r="A176" s="73"/>
      <c r="B176" s="73"/>
      <c r="C176" s="147"/>
      <c r="D176" s="103" t="str">
        <f t="array" ref="D176">XLOOKUP(C176,'Master Data'!C:C,'Master Data'!D:D)</f>
        <v>#N/A</v>
      </c>
      <c r="E176" s="104"/>
      <c r="F176" s="105" t="str">
        <f t="array" ref="F176">XLOOKUP(C176,'Master Data'!C:C,'Master Data'!D:D)</f>
        <v>#N/A</v>
      </c>
      <c r="G176" s="90" t="str">
        <f t="array" ref="G176">XLOOKUP(C176,'Master Data'!C:C,'Master Data'!E:E)</f>
        <v>#N/A</v>
      </c>
      <c r="H176" s="88" t="str">
        <f t="array" ref="H176">XLOOKUP(C176,'Master Data'!C:C,'Master Data'!F:F)</f>
        <v>#N/A</v>
      </c>
      <c r="I176" s="72" t="str">
        <f t="array" ref="I176">XLOOKUP(C176,'Master Data'!C:C,'Master Data'!G:G)</f>
        <v>#N/A</v>
      </c>
      <c r="J176" s="72" t="str">
        <f t="array" ref="J176">XLOOKUP(C176,'Master Data'!C:C,'Master Data'!H:H)</f>
        <v>#N/A</v>
      </c>
      <c r="K176" s="73"/>
      <c r="L176" s="149"/>
      <c r="M176" s="73"/>
      <c r="N176" s="73"/>
      <c r="O176" s="73"/>
      <c r="P176" s="73"/>
      <c r="Q176" s="73"/>
      <c r="R176" s="109"/>
      <c r="S176" s="4"/>
      <c r="T176" s="4"/>
      <c r="U176" s="4"/>
      <c r="V176" s="4"/>
      <c r="W176" s="4"/>
      <c r="X176" s="4"/>
      <c r="Y176" s="4"/>
      <c r="Z176" s="4"/>
      <c r="AA176" s="4"/>
      <c r="AB176" s="4"/>
      <c r="AC176" s="4"/>
      <c r="AD176" s="4"/>
      <c r="AE176" s="4"/>
      <c r="AF176" s="4"/>
    </row>
    <row r="177">
      <c r="A177" s="73"/>
      <c r="B177" s="73"/>
      <c r="C177" s="147"/>
      <c r="D177" s="103" t="str">
        <f t="array" ref="D177">XLOOKUP(C177,'Master Data'!C:C,'Master Data'!D:D)</f>
        <v>#N/A</v>
      </c>
      <c r="E177" s="104"/>
      <c r="F177" s="105" t="str">
        <f t="array" ref="F177">XLOOKUP(C177,'Master Data'!C:C,'Master Data'!D:D)</f>
        <v>#N/A</v>
      </c>
      <c r="G177" s="90" t="str">
        <f t="array" ref="G177">XLOOKUP(C177,'Master Data'!C:C,'Master Data'!E:E)</f>
        <v>#N/A</v>
      </c>
      <c r="H177" s="88" t="str">
        <f t="array" ref="H177">XLOOKUP(C177,'Master Data'!C:C,'Master Data'!F:F)</f>
        <v>#N/A</v>
      </c>
      <c r="I177" s="72" t="str">
        <f t="array" ref="I177">XLOOKUP(C177,'Master Data'!C:C,'Master Data'!G:G)</f>
        <v>#N/A</v>
      </c>
      <c r="J177" s="72" t="str">
        <f t="array" ref="J177">XLOOKUP(C177,'Master Data'!C:C,'Master Data'!H:H)</f>
        <v>#N/A</v>
      </c>
      <c r="K177" s="73"/>
      <c r="L177" s="149"/>
      <c r="M177" s="73"/>
      <c r="N177" s="73"/>
      <c r="O177" s="73"/>
      <c r="P177" s="73"/>
      <c r="Q177" s="73"/>
      <c r="R177" s="109"/>
      <c r="S177" s="4"/>
      <c r="T177" s="4"/>
      <c r="U177" s="4"/>
      <c r="V177" s="4"/>
      <c r="W177" s="4"/>
      <c r="X177" s="4"/>
      <c r="Y177" s="4"/>
      <c r="Z177" s="4"/>
      <c r="AA177" s="4"/>
      <c r="AB177" s="4"/>
      <c r="AC177" s="4"/>
      <c r="AD177" s="4"/>
      <c r="AE177" s="4"/>
      <c r="AF177" s="4"/>
    </row>
    <row r="178">
      <c r="A178" s="73"/>
      <c r="B178" s="73"/>
      <c r="C178" s="147"/>
      <c r="D178" s="103" t="str">
        <f t="array" ref="D178">XLOOKUP(C178,'Master Data'!C:C,'Master Data'!D:D)</f>
        <v>#N/A</v>
      </c>
      <c r="E178" s="104"/>
      <c r="F178" s="105" t="str">
        <f t="array" ref="F178">XLOOKUP(C178,'Master Data'!C:C,'Master Data'!D:D)</f>
        <v>#N/A</v>
      </c>
      <c r="G178" s="90" t="str">
        <f t="array" ref="G178">XLOOKUP(C178,'Master Data'!C:C,'Master Data'!E:E)</f>
        <v>#N/A</v>
      </c>
      <c r="H178" s="88" t="str">
        <f t="array" ref="H178">XLOOKUP(C178,'Master Data'!C:C,'Master Data'!F:F)</f>
        <v>#N/A</v>
      </c>
      <c r="I178" s="72" t="str">
        <f t="array" ref="I178">XLOOKUP(C178,'Master Data'!C:C,'Master Data'!G:G)</f>
        <v>#N/A</v>
      </c>
      <c r="J178" s="72" t="str">
        <f t="array" ref="J178">XLOOKUP(C178,'Master Data'!C:C,'Master Data'!H:H)</f>
        <v>#N/A</v>
      </c>
      <c r="K178" s="73"/>
      <c r="L178" s="149"/>
      <c r="M178" s="73"/>
      <c r="N178" s="73"/>
      <c r="O178" s="73"/>
      <c r="P178" s="73"/>
      <c r="Q178" s="73"/>
      <c r="R178" s="109"/>
      <c r="S178" s="4"/>
      <c r="T178" s="4"/>
      <c r="U178" s="4"/>
      <c r="V178" s="4"/>
      <c r="W178" s="4"/>
      <c r="X178" s="4"/>
      <c r="Y178" s="4"/>
      <c r="Z178" s="4"/>
      <c r="AA178" s="4"/>
      <c r="AB178" s="4"/>
      <c r="AC178" s="4"/>
      <c r="AD178" s="4"/>
      <c r="AE178" s="4"/>
      <c r="AF178" s="4"/>
    </row>
    <row r="179">
      <c r="A179" s="73"/>
      <c r="B179" s="73"/>
      <c r="C179" s="147"/>
      <c r="D179" s="103" t="str">
        <f t="array" ref="D179">XLOOKUP(C179,'Master Data'!C:C,'Master Data'!D:D)</f>
        <v>#N/A</v>
      </c>
      <c r="E179" s="104"/>
      <c r="F179" s="105" t="str">
        <f t="array" ref="F179">XLOOKUP(C179,'Master Data'!C:C,'Master Data'!D:D)</f>
        <v>#N/A</v>
      </c>
      <c r="G179" s="90" t="str">
        <f t="array" ref="G179">XLOOKUP(C179,'Master Data'!C:C,'Master Data'!E:E)</f>
        <v>#N/A</v>
      </c>
      <c r="H179" s="88" t="str">
        <f t="array" ref="H179">XLOOKUP(C179,'Master Data'!C:C,'Master Data'!F:F)</f>
        <v>#N/A</v>
      </c>
      <c r="I179" s="72" t="str">
        <f t="array" ref="I179">XLOOKUP(C179,'Master Data'!C:C,'Master Data'!G:G)</f>
        <v>#N/A</v>
      </c>
      <c r="J179" s="72" t="str">
        <f t="array" ref="J179">XLOOKUP(C179,'Master Data'!C:C,'Master Data'!H:H)</f>
        <v>#N/A</v>
      </c>
      <c r="K179" s="73"/>
      <c r="L179" s="149"/>
      <c r="M179" s="73"/>
      <c r="N179" s="73"/>
      <c r="O179" s="73"/>
      <c r="P179" s="73"/>
      <c r="Q179" s="73"/>
      <c r="R179" s="109"/>
      <c r="S179" s="4"/>
      <c r="T179" s="4"/>
      <c r="U179" s="4"/>
      <c r="V179" s="4"/>
      <c r="W179" s="4"/>
      <c r="X179" s="4"/>
      <c r="Y179" s="4"/>
      <c r="Z179" s="4"/>
      <c r="AA179" s="4"/>
      <c r="AB179" s="4"/>
      <c r="AC179" s="4"/>
      <c r="AD179" s="4"/>
      <c r="AE179" s="4"/>
      <c r="AF179" s="4"/>
    </row>
    <row r="180">
      <c r="A180" s="73"/>
      <c r="B180" s="73"/>
      <c r="C180" s="147"/>
      <c r="D180" s="103" t="str">
        <f t="array" ref="D180">XLOOKUP(C180,'Master Data'!C:C,'Master Data'!D:D)</f>
        <v>#N/A</v>
      </c>
      <c r="E180" s="104"/>
      <c r="F180" s="105" t="str">
        <f t="array" ref="F180">XLOOKUP(C180,'Master Data'!C:C,'Master Data'!D:D)</f>
        <v>#N/A</v>
      </c>
      <c r="G180" s="90" t="str">
        <f t="array" ref="G180">XLOOKUP(C180,'Master Data'!C:C,'Master Data'!E:E)</f>
        <v>#N/A</v>
      </c>
      <c r="H180" s="88" t="str">
        <f t="array" ref="H180">XLOOKUP(C180,'Master Data'!C:C,'Master Data'!F:F)</f>
        <v>#N/A</v>
      </c>
      <c r="I180" s="72" t="str">
        <f t="array" ref="I180">XLOOKUP(C180,'Master Data'!C:C,'Master Data'!G:G)</f>
        <v>#N/A</v>
      </c>
      <c r="J180" s="72" t="str">
        <f t="array" ref="J180">XLOOKUP(C180,'Master Data'!C:C,'Master Data'!H:H)</f>
        <v>#N/A</v>
      </c>
      <c r="K180" s="73"/>
      <c r="L180" s="149"/>
      <c r="M180" s="73"/>
      <c r="N180" s="73"/>
      <c r="O180" s="73"/>
      <c r="P180" s="73"/>
      <c r="Q180" s="73"/>
      <c r="R180" s="109"/>
      <c r="S180" s="4"/>
      <c r="T180" s="4"/>
      <c r="U180" s="4"/>
      <c r="V180" s="4"/>
      <c r="W180" s="4"/>
      <c r="X180" s="4"/>
      <c r="Y180" s="4"/>
      <c r="Z180" s="4"/>
      <c r="AA180" s="4"/>
      <c r="AB180" s="4"/>
      <c r="AC180" s="4"/>
      <c r="AD180" s="4"/>
      <c r="AE180" s="4"/>
      <c r="AF180" s="4"/>
    </row>
    <row r="181">
      <c r="A181" s="73"/>
      <c r="B181" s="73"/>
      <c r="C181" s="147"/>
      <c r="D181" s="103" t="str">
        <f t="array" ref="D181">XLOOKUP(C181,'Master Data'!C:C,'Master Data'!D:D)</f>
        <v>#N/A</v>
      </c>
      <c r="E181" s="104"/>
      <c r="F181" s="105" t="str">
        <f t="array" ref="F181">XLOOKUP(C181,'Master Data'!C:C,'Master Data'!D:D)</f>
        <v>#N/A</v>
      </c>
      <c r="G181" s="90" t="str">
        <f t="array" ref="G181">XLOOKUP(C181,'Master Data'!C:C,'Master Data'!E:E)</f>
        <v>#N/A</v>
      </c>
      <c r="H181" s="88" t="str">
        <f t="array" ref="H181">XLOOKUP(C181,'Master Data'!C:C,'Master Data'!F:F)</f>
        <v>#N/A</v>
      </c>
      <c r="I181" s="72" t="str">
        <f t="array" ref="I181">XLOOKUP(C181,'Master Data'!C:C,'Master Data'!G:G)</f>
        <v>#N/A</v>
      </c>
      <c r="J181" s="72" t="str">
        <f t="array" ref="J181">XLOOKUP(C181,'Master Data'!C:C,'Master Data'!H:H)</f>
        <v>#N/A</v>
      </c>
      <c r="K181" s="73"/>
      <c r="L181" s="149"/>
      <c r="M181" s="73"/>
      <c r="N181" s="73"/>
      <c r="O181" s="73"/>
      <c r="P181" s="73"/>
      <c r="Q181" s="73"/>
      <c r="R181" s="109"/>
      <c r="S181" s="4"/>
      <c r="T181" s="4"/>
      <c r="U181" s="4"/>
      <c r="V181" s="4"/>
      <c r="W181" s="4"/>
      <c r="X181" s="4"/>
      <c r="Y181" s="4"/>
      <c r="Z181" s="4"/>
      <c r="AA181" s="4"/>
      <c r="AB181" s="4"/>
      <c r="AC181" s="4"/>
      <c r="AD181" s="4"/>
      <c r="AE181" s="4"/>
      <c r="AF181" s="4"/>
    </row>
    <row r="182">
      <c r="A182" s="73"/>
      <c r="B182" s="73"/>
      <c r="C182" s="147"/>
      <c r="D182" s="103" t="str">
        <f t="array" ref="D182">XLOOKUP(C182,'Master Data'!C:C,'Master Data'!D:D)</f>
        <v>#N/A</v>
      </c>
      <c r="E182" s="104"/>
      <c r="F182" s="105" t="str">
        <f t="array" ref="F182">XLOOKUP(C182,'Master Data'!C:C,'Master Data'!D:D)</f>
        <v>#N/A</v>
      </c>
      <c r="G182" s="90" t="str">
        <f t="array" ref="G182">XLOOKUP(C182,'Master Data'!C:C,'Master Data'!E:E)</f>
        <v>#N/A</v>
      </c>
      <c r="H182" s="88" t="str">
        <f t="array" ref="H182">XLOOKUP(C182,'Master Data'!C:C,'Master Data'!F:F)</f>
        <v>#N/A</v>
      </c>
      <c r="I182" s="72" t="str">
        <f t="array" ref="I182">XLOOKUP(C182,'Master Data'!C:C,'Master Data'!G:G)</f>
        <v>#N/A</v>
      </c>
      <c r="J182" s="72" t="str">
        <f t="array" ref="J182">XLOOKUP(C182,'Master Data'!C:C,'Master Data'!H:H)</f>
        <v>#N/A</v>
      </c>
      <c r="K182" s="73"/>
      <c r="L182" s="149"/>
      <c r="M182" s="73"/>
      <c r="N182" s="73"/>
      <c r="O182" s="73"/>
      <c r="P182" s="73"/>
      <c r="Q182" s="73"/>
      <c r="R182" s="109"/>
      <c r="S182" s="4"/>
      <c r="T182" s="4"/>
      <c r="U182" s="4"/>
      <c r="V182" s="4"/>
      <c r="W182" s="4"/>
      <c r="X182" s="4"/>
      <c r="Y182" s="4"/>
      <c r="Z182" s="4"/>
      <c r="AA182" s="4"/>
      <c r="AB182" s="4"/>
      <c r="AC182" s="4"/>
      <c r="AD182" s="4"/>
      <c r="AE182" s="4"/>
      <c r="AF182" s="4"/>
    </row>
    <row r="183">
      <c r="A183" s="73"/>
      <c r="B183" s="73"/>
      <c r="C183" s="147"/>
      <c r="D183" s="103" t="str">
        <f t="array" ref="D183">XLOOKUP(C183,'Master Data'!C:C,'Master Data'!D:D)</f>
        <v>#N/A</v>
      </c>
      <c r="E183" s="104"/>
      <c r="F183" s="105" t="str">
        <f t="array" ref="F183">XLOOKUP(C183,'Master Data'!C:C,'Master Data'!D:D)</f>
        <v>#N/A</v>
      </c>
      <c r="G183" s="90" t="str">
        <f t="array" ref="G183">XLOOKUP(C183,'Master Data'!C:C,'Master Data'!E:E)</f>
        <v>#N/A</v>
      </c>
      <c r="H183" s="88" t="str">
        <f t="array" ref="H183">XLOOKUP(C183,'Master Data'!C:C,'Master Data'!F:F)</f>
        <v>#N/A</v>
      </c>
      <c r="I183" s="72" t="str">
        <f t="array" ref="I183">XLOOKUP(C183,'Master Data'!C:C,'Master Data'!G:G)</f>
        <v>#N/A</v>
      </c>
      <c r="J183" s="72" t="str">
        <f t="array" ref="J183">XLOOKUP(C183,'Master Data'!C:C,'Master Data'!H:H)</f>
        <v>#N/A</v>
      </c>
      <c r="K183" s="73"/>
      <c r="L183" s="149"/>
      <c r="M183" s="73"/>
      <c r="N183" s="73"/>
      <c r="O183" s="73"/>
      <c r="P183" s="73"/>
      <c r="Q183" s="73"/>
      <c r="R183" s="109"/>
      <c r="S183" s="4"/>
      <c r="T183" s="4"/>
      <c r="U183" s="4"/>
      <c r="V183" s="4"/>
      <c r="W183" s="4"/>
      <c r="X183" s="4"/>
      <c r="Y183" s="4"/>
      <c r="Z183" s="4"/>
      <c r="AA183" s="4"/>
      <c r="AB183" s="4"/>
      <c r="AC183" s="4"/>
      <c r="AD183" s="4"/>
      <c r="AE183" s="4"/>
      <c r="AF183" s="4"/>
    </row>
    <row r="184">
      <c r="A184" s="73"/>
      <c r="B184" s="73"/>
      <c r="C184" s="147"/>
      <c r="D184" s="103" t="str">
        <f t="array" ref="D184">XLOOKUP(C184,'Master Data'!C:C,'Master Data'!D:D)</f>
        <v>#N/A</v>
      </c>
      <c r="E184" s="104"/>
      <c r="F184" s="105" t="str">
        <f t="array" ref="F184">XLOOKUP(C184,'Master Data'!C:C,'Master Data'!D:D)</f>
        <v>#N/A</v>
      </c>
      <c r="G184" s="90" t="str">
        <f t="array" ref="G184">XLOOKUP(C184,'Master Data'!C:C,'Master Data'!E:E)</f>
        <v>#N/A</v>
      </c>
      <c r="H184" s="88" t="str">
        <f t="array" ref="H184">XLOOKUP(C184,'Master Data'!C:C,'Master Data'!F:F)</f>
        <v>#N/A</v>
      </c>
      <c r="I184" s="72" t="str">
        <f t="array" ref="I184">XLOOKUP(C184,'Master Data'!C:C,'Master Data'!G:G)</f>
        <v>#N/A</v>
      </c>
      <c r="J184" s="72" t="str">
        <f t="array" ref="J184">XLOOKUP(C184,'Master Data'!C:C,'Master Data'!H:H)</f>
        <v>#N/A</v>
      </c>
      <c r="K184" s="73"/>
      <c r="L184" s="149"/>
      <c r="M184" s="73"/>
      <c r="N184" s="73"/>
      <c r="O184" s="73"/>
      <c r="P184" s="73"/>
      <c r="Q184" s="73"/>
      <c r="R184" s="109"/>
      <c r="S184" s="4"/>
      <c r="T184" s="4"/>
      <c r="U184" s="4"/>
      <c r="V184" s="4"/>
      <c r="W184" s="4"/>
      <c r="X184" s="4"/>
      <c r="Y184" s="4"/>
      <c r="Z184" s="4"/>
      <c r="AA184" s="4"/>
      <c r="AB184" s="4"/>
      <c r="AC184" s="4"/>
      <c r="AD184" s="4"/>
      <c r="AE184" s="4"/>
      <c r="AF184" s="4"/>
    </row>
    <row r="185">
      <c r="A185" s="73"/>
      <c r="B185" s="73"/>
      <c r="C185" s="147"/>
      <c r="D185" s="103" t="str">
        <f t="array" ref="D185">XLOOKUP(C185,'Master Data'!C:C,'Master Data'!D:D)</f>
        <v>#N/A</v>
      </c>
      <c r="E185" s="104"/>
      <c r="F185" s="105" t="str">
        <f t="array" ref="F185">XLOOKUP(C185,'Master Data'!C:C,'Master Data'!D:D)</f>
        <v>#N/A</v>
      </c>
      <c r="G185" s="90" t="str">
        <f t="array" ref="G185">XLOOKUP(C185,'Master Data'!C:C,'Master Data'!E:E)</f>
        <v>#N/A</v>
      </c>
      <c r="H185" s="88" t="str">
        <f t="array" ref="H185">XLOOKUP(C185,'Master Data'!C:C,'Master Data'!F:F)</f>
        <v>#N/A</v>
      </c>
      <c r="I185" s="72" t="str">
        <f t="array" ref="I185">XLOOKUP(C185,'Master Data'!C:C,'Master Data'!G:G)</f>
        <v>#N/A</v>
      </c>
      <c r="J185" s="72" t="str">
        <f t="array" ref="J185">XLOOKUP(C185,'Master Data'!C:C,'Master Data'!H:H)</f>
        <v>#N/A</v>
      </c>
      <c r="K185" s="73"/>
      <c r="L185" s="149"/>
      <c r="M185" s="73"/>
      <c r="N185" s="73"/>
      <c r="O185" s="73"/>
      <c r="P185" s="73"/>
      <c r="Q185" s="73"/>
      <c r="R185" s="109"/>
      <c r="S185" s="4"/>
      <c r="T185" s="4"/>
      <c r="U185" s="4"/>
      <c r="V185" s="4"/>
      <c r="W185" s="4"/>
      <c r="X185" s="4"/>
      <c r="Y185" s="4"/>
      <c r="Z185" s="4"/>
      <c r="AA185" s="4"/>
      <c r="AB185" s="4"/>
      <c r="AC185" s="4"/>
      <c r="AD185" s="4"/>
      <c r="AE185" s="4"/>
      <c r="AF185" s="4"/>
    </row>
    <row r="186">
      <c r="A186" s="73"/>
      <c r="B186" s="73"/>
      <c r="C186" s="147"/>
      <c r="D186" s="103" t="str">
        <f t="array" ref="D186">XLOOKUP(C186,'Master Data'!C:C,'Master Data'!D:D)</f>
        <v>#N/A</v>
      </c>
      <c r="E186" s="104"/>
      <c r="F186" s="105" t="str">
        <f t="array" ref="F186">XLOOKUP(C186,'Master Data'!C:C,'Master Data'!D:D)</f>
        <v>#N/A</v>
      </c>
      <c r="G186" s="90" t="str">
        <f t="array" ref="G186">XLOOKUP(C186,'Master Data'!C:C,'Master Data'!E:E)</f>
        <v>#N/A</v>
      </c>
      <c r="H186" s="88" t="str">
        <f t="array" ref="H186">XLOOKUP(C186,'Master Data'!C:C,'Master Data'!F:F)</f>
        <v>#N/A</v>
      </c>
      <c r="I186" s="72" t="str">
        <f t="array" ref="I186">XLOOKUP(C186,'Master Data'!C:C,'Master Data'!G:G)</f>
        <v>#N/A</v>
      </c>
      <c r="J186" s="72" t="str">
        <f t="array" ref="J186">XLOOKUP(C186,'Master Data'!C:C,'Master Data'!H:H)</f>
        <v>#N/A</v>
      </c>
      <c r="K186" s="73"/>
      <c r="L186" s="149"/>
      <c r="M186" s="73"/>
      <c r="N186" s="73"/>
      <c r="O186" s="73"/>
      <c r="P186" s="73"/>
      <c r="Q186" s="73"/>
      <c r="R186" s="109"/>
      <c r="S186" s="4"/>
      <c r="T186" s="4"/>
      <c r="U186" s="4"/>
      <c r="V186" s="4"/>
      <c r="W186" s="4"/>
      <c r="X186" s="4"/>
      <c r="Y186" s="4"/>
      <c r="Z186" s="4"/>
      <c r="AA186" s="4"/>
      <c r="AB186" s="4"/>
      <c r="AC186" s="4"/>
      <c r="AD186" s="4"/>
      <c r="AE186" s="4"/>
      <c r="AF186" s="4"/>
    </row>
    <row r="187">
      <c r="A187" s="73"/>
      <c r="B187" s="73"/>
      <c r="C187" s="147"/>
      <c r="D187" s="103" t="str">
        <f t="array" ref="D187">XLOOKUP(C187,'Master Data'!C:C,'Master Data'!D:D)</f>
        <v>#N/A</v>
      </c>
      <c r="E187" s="104"/>
      <c r="F187" s="105" t="str">
        <f t="array" ref="F187">XLOOKUP(C187,'Master Data'!C:C,'Master Data'!D:D)</f>
        <v>#N/A</v>
      </c>
      <c r="G187" s="90" t="str">
        <f t="array" ref="G187">XLOOKUP(C187,'Master Data'!C:C,'Master Data'!E:E)</f>
        <v>#N/A</v>
      </c>
      <c r="H187" s="88" t="str">
        <f t="array" ref="H187">XLOOKUP(C187,'Master Data'!C:C,'Master Data'!F:F)</f>
        <v>#N/A</v>
      </c>
      <c r="I187" s="72" t="str">
        <f t="array" ref="I187">XLOOKUP(C187,'Master Data'!C:C,'Master Data'!G:G)</f>
        <v>#N/A</v>
      </c>
      <c r="J187" s="72" t="str">
        <f t="array" ref="J187">XLOOKUP(C187,'Master Data'!C:C,'Master Data'!H:H)</f>
        <v>#N/A</v>
      </c>
      <c r="K187" s="73"/>
      <c r="L187" s="149"/>
      <c r="M187" s="73"/>
      <c r="N187" s="73"/>
      <c r="O187" s="73"/>
      <c r="P187" s="73"/>
      <c r="Q187" s="73"/>
      <c r="R187" s="109"/>
      <c r="S187" s="4"/>
      <c r="T187" s="4"/>
      <c r="U187" s="4"/>
      <c r="V187" s="4"/>
      <c r="W187" s="4"/>
      <c r="X187" s="4"/>
      <c r="Y187" s="4"/>
      <c r="Z187" s="4"/>
      <c r="AA187" s="4"/>
      <c r="AB187" s="4"/>
      <c r="AC187" s="4"/>
      <c r="AD187" s="4"/>
      <c r="AE187" s="4"/>
      <c r="AF187" s="4"/>
    </row>
    <row r="188">
      <c r="A188" s="73"/>
      <c r="B188" s="73"/>
      <c r="C188" s="147"/>
      <c r="D188" s="103" t="str">
        <f t="array" ref="D188">XLOOKUP(C188,'Master Data'!C:C,'Master Data'!D:D)</f>
        <v>#N/A</v>
      </c>
      <c r="E188" s="104"/>
      <c r="F188" s="105" t="str">
        <f t="array" ref="F188">XLOOKUP(C188,'Master Data'!C:C,'Master Data'!D:D)</f>
        <v>#N/A</v>
      </c>
      <c r="G188" s="90" t="str">
        <f t="array" ref="G188">XLOOKUP(C188,'Master Data'!C:C,'Master Data'!E:E)</f>
        <v>#N/A</v>
      </c>
      <c r="H188" s="88" t="str">
        <f t="array" ref="H188">XLOOKUP(C188,'Master Data'!C:C,'Master Data'!F:F)</f>
        <v>#N/A</v>
      </c>
      <c r="I188" s="72" t="str">
        <f t="array" ref="I188">XLOOKUP(C188,'Master Data'!C:C,'Master Data'!G:G)</f>
        <v>#N/A</v>
      </c>
      <c r="J188" s="72" t="str">
        <f t="array" ref="J188">XLOOKUP(C188,'Master Data'!C:C,'Master Data'!H:H)</f>
        <v>#N/A</v>
      </c>
      <c r="K188" s="73"/>
      <c r="L188" s="149"/>
      <c r="M188" s="73"/>
      <c r="N188" s="73"/>
      <c r="O188" s="73"/>
      <c r="P188" s="73"/>
      <c r="Q188" s="73"/>
      <c r="R188" s="109"/>
      <c r="S188" s="4"/>
      <c r="T188" s="4"/>
      <c r="U188" s="4"/>
      <c r="V188" s="4"/>
      <c r="W188" s="4"/>
      <c r="X188" s="4"/>
      <c r="Y188" s="4"/>
      <c r="Z188" s="4"/>
      <c r="AA188" s="4"/>
      <c r="AB188" s="4"/>
      <c r="AC188" s="4"/>
      <c r="AD188" s="4"/>
      <c r="AE188" s="4"/>
      <c r="AF188" s="4"/>
    </row>
    <row r="189">
      <c r="A189" s="73"/>
      <c r="B189" s="73"/>
      <c r="C189" s="147"/>
      <c r="D189" s="103" t="str">
        <f t="array" ref="D189">XLOOKUP(C189,'Master Data'!C:C,'Master Data'!D:D)</f>
        <v>#N/A</v>
      </c>
      <c r="E189" s="104"/>
      <c r="F189" s="105" t="str">
        <f t="array" ref="F189">XLOOKUP(C189,'Master Data'!C:C,'Master Data'!D:D)</f>
        <v>#N/A</v>
      </c>
      <c r="G189" s="90" t="str">
        <f t="array" ref="G189">XLOOKUP(C189,'Master Data'!C:C,'Master Data'!E:E)</f>
        <v>#N/A</v>
      </c>
      <c r="H189" s="88" t="str">
        <f t="array" ref="H189">XLOOKUP(C189,'Master Data'!C:C,'Master Data'!F:F)</f>
        <v>#N/A</v>
      </c>
      <c r="I189" s="72" t="str">
        <f t="array" ref="I189">XLOOKUP(C189,'Master Data'!C:C,'Master Data'!G:G)</f>
        <v>#N/A</v>
      </c>
      <c r="J189" s="72" t="str">
        <f t="array" ref="J189">XLOOKUP(C189,'Master Data'!C:C,'Master Data'!H:H)</f>
        <v>#N/A</v>
      </c>
      <c r="K189" s="73"/>
      <c r="L189" s="149"/>
      <c r="M189" s="73"/>
      <c r="N189" s="73"/>
      <c r="O189" s="73"/>
      <c r="P189" s="73"/>
      <c r="Q189" s="73"/>
      <c r="R189" s="109"/>
      <c r="S189" s="4"/>
      <c r="T189" s="4"/>
      <c r="U189" s="4"/>
      <c r="V189" s="4"/>
      <c r="W189" s="4"/>
      <c r="X189" s="4"/>
      <c r="Y189" s="4"/>
      <c r="Z189" s="4"/>
      <c r="AA189" s="4"/>
      <c r="AB189" s="4"/>
      <c r="AC189" s="4"/>
      <c r="AD189" s="4"/>
      <c r="AE189" s="4"/>
      <c r="AF189" s="4"/>
    </row>
    <row r="190">
      <c r="A190" s="73"/>
      <c r="B190" s="73"/>
      <c r="C190" s="147"/>
      <c r="D190" s="103" t="str">
        <f t="array" ref="D190">XLOOKUP(C190,'Master Data'!C:C,'Master Data'!D:D)</f>
        <v>#N/A</v>
      </c>
      <c r="E190" s="104"/>
      <c r="F190" s="105" t="str">
        <f t="array" ref="F190">XLOOKUP(C190,'Master Data'!C:C,'Master Data'!D:D)</f>
        <v>#N/A</v>
      </c>
      <c r="G190" s="90" t="str">
        <f t="array" ref="G190">XLOOKUP(C190,'Master Data'!C:C,'Master Data'!E:E)</f>
        <v>#N/A</v>
      </c>
      <c r="H190" s="88" t="str">
        <f t="array" ref="H190">XLOOKUP(C190,'Master Data'!C:C,'Master Data'!F:F)</f>
        <v>#N/A</v>
      </c>
      <c r="I190" s="72" t="str">
        <f t="array" ref="I190">XLOOKUP(C190,'Master Data'!C:C,'Master Data'!G:G)</f>
        <v>#N/A</v>
      </c>
      <c r="J190" s="72" t="str">
        <f t="array" ref="J190">XLOOKUP(C190,'Master Data'!C:C,'Master Data'!H:H)</f>
        <v>#N/A</v>
      </c>
      <c r="K190" s="73"/>
      <c r="L190" s="149"/>
      <c r="M190" s="73"/>
      <c r="N190" s="73"/>
      <c r="O190" s="73"/>
      <c r="P190" s="73"/>
      <c r="Q190" s="73"/>
      <c r="R190" s="109"/>
      <c r="S190" s="4"/>
      <c r="T190" s="4"/>
      <c r="U190" s="4"/>
      <c r="V190" s="4"/>
      <c r="W190" s="4"/>
      <c r="X190" s="4"/>
      <c r="Y190" s="4"/>
      <c r="Z190" s="4"/>
      <c r="AA190" s="4"/>
      <c r="AB190" s="4"/>
      <c r="AC190" s="4"/>
      <c r="AD190" s="4"/>
      <c r="AE190" s="4"/>
      <c r="AF190" s="4"/>
    </row>
    <row r="191">
      <c r="A191" s="73"/>
      <c r="B191" s="73"/>
      <c r="C191" s="147"/>
      <c r="D191" s="103" t="str">
        <f t="array" ref="D191">XLOOKUP(C191,'Master Data'!C:C,'Master Data'!D:D)</f>
        <v>#N/A</v>
      </c>
      <c r="E191" s="104"/>
      <c r="F191" s="105" t="str">
        <f t="array" ref="F191">XLOOKUP(C191,'Master Data'!C:C,'Master Data'!D:D)</f>
        <v>#N/A</v>
      </c>
      <c r="G191" s="90" t="str">
        <f t="array" ref="G191">XLOOKUP(C191,'Master Data'!C:C,'Master Data'!E:E)</f>
        <v>#N/A</v>
      </c>
      <c r="H191" s="88" t="str">
        <f t="array" ref="H191">XLOOKUP(C191,'Master Data'!C:C,'Master Data'!F:F)</f>
        <v>#N/A</v>
      </c>
      <c r="I191" s="72" t="str">
        <f t="array" ref="I191">XLOOKUP(C191,'Master Data'!C:C,'Master Data'!G:G)</f>
        <v>#N/A</v>
      </c>
      <c r="J191" s="72" t="str">
        <f t="array" ref="J191">XLOOKUP(C191,'Master Data'!C:C,'Master Data'!H:H)</f>
        <v>#N/A</v>
      </c>
      <c r="K191" s="73"/>
      <c r="L191" s="149"/>
      <c r="M191" s="73"/>
      <c r="N191" s="73"/>
      <c r="O191" s="73"/>
      <c r="P191" s="73"/>
      <c r="Q191" s="73"/>
      <c r="R191" s="109"/>
      <c r="S191" s="4"/>
      <c r="T191" s="4"/>
      <c r="U191" s="4"/>
      <c r="V191" s="4"/>
      <c r="W191" s="4"/>
      <c r="X191" s="4"/>
      <c r="Y191" s="4"/>
      <c r="Z191" s="4"/>
      <c r="AA191" s="4"/>
      <c r="AB191" s="4"/>
      <c r="AC191" s="4"/>
      <c r="AD191" s="4"/>
      <c r="AE191" s="4"/>
      <c r="AF191" s="4"/>
    </row>
    <row r="192">
      <c r="A192" s="73"/>
      <c r="B192" s="73"/>
      <c r="C192" s="147"/>
      <c r="D192" s="103" t="str">
        <f t="array" ref="D192">XLOOKUP(C192,'Master Data'!C:C,'Master Data'!D:D)</f>
        <v>#N/A</v>
      </c>
      <c r="E192" s="104"/>
      <c r="F192" s="105" t="str">
        <f t="array" ref="F192">XLOOKUP(C192,'Master Data'!C:C,'Master Data'!D:D)</f>
        <v>#N/A</v>
      </c>
      <c r="G192" s="90" t="str">
        <f t="array" ref="G192">XLOOKUP(C192,'Master Data'!C:C,'Master Data'!E:E)</f>
        <v>#N/A</v>
      </c>
      <c r="H192" s="88" t="str">
        <f t="array" ref="H192">XLOOKUP(C192,'Master Data'!C:C,'Master Data'!F:F)</f>
        <v>#N/A</v>
      </c>
      <c r="I192" s="72" t="str">
        <f t="array" ref="I192">XLOOKUP(C192,'Master Data'!C:C,'Master Data'!G:G)</f>
        <v>#N/A</v>
      </c>
      <c r="J192" s="72" t="str">
        <f t="array" ref="J192">XLOOKUP(C192,'Master Data'!C:C,'Master Data'!H:H)</f>
        <v>#N/A</v>
      </c>
      <c r="K192" s="73"/>
      <c r="L192" s="149"/>
      <c r="M192" s="73"/>
      <c r="N192" s="73"/>
      <c r="O192" s="73"/>
      <c r="P192" s="73"/>
      <c r="Q192" s="73"/>
      <c r="R192" s="109"/>
      <c r="S192" s="4"/>
      <c r="T192" s="4"/>
      <c r="U192" s="4"/>
      <c r="V192" s="4"/>
      <c r="W192" s="4"/>
      <c r="X192" s="4"/>
      <c r="Y192" s="4"/>
      <c r="Z192" s="4"/>
      <c r="AA192" s="4"/>
      <c r="AB192" s="4"/>
      <c r="AC192" s="4"/>
      <c r="AD192" s="4"/>
      <c r="AE192" s="4"/>
      <c r="AF192" s="4"/>
    </row>
    <row r="193">
      <c r="A193" s="73"/>
      <c r="B193" s="73"/>
      <c r="C193" s="147"/>
      <c r="D193" s="103" t="str">
        <f t="array" ref="D193">XLOOKUP(C193,'Master Data'!C:C,'Master Data'!D:D)</f>
        <v>#N/A</v>
      </c>
      <c r="E193" s="104"/>
      <c r="F193" s="105" t="str">
        <f t="array" ref="F193">XLOOKUP(C193,'Master Data'!C:C,'Master Data'!D:D)</f>
        <v>#N/A</v>
      </c>
      <c r="G193" s="90" t="str">
        <f t="array" ref="G193">XLOOKUP(C193,'Master Data'!C:C,'Master Data'!E:E)</f>
        <v>#N/A</v>
      </c>
      <c r="H193" s="88" t="str">
        <f t="array" ref="H193">XLOOKUP(C193,'Master Data'!C:C,'Master Data'!F:F)</f>
        <v>#N/A</v>
      </c>
      <c r="I193" s="72" t="str">
        <f t="array" ref="I193">XLOOKUP(C193,'Master Data'!C:C,'Master Data'!G:G)</f>
        <v>#N/A</v>
      </c>
      <c r="J193" s="72" t="str">
        <f t="array" ref="J193">XLOOKUP(C193,'Master Data'!C:C,'Master Data'!H:H)</f>
        <v>#N/A</v>
      </c>
      <c r="K193" s="73"/>
      <c r="L193" s="149"/>
      <c r="M193" s="73"/>
      <c r="N193" s="73"/>
      <c r="O193" s="73"/>
      <c r="P193" s="73"/>
      <c r="Q193" s="73"/>
      <c r="R193" s="109"/>
      <c r="S193" s="4"/>
      <c r="T193" s="4"/>
      <c r="U193" s="4"/>
      <c r="V193" s="4"/>
      <c r="W193" s="4"/>
      <c r="X193" s="4"/>
      <c r="Y193" s="4"/>
      <c r="Z193" s="4"/>
      <c r="AA193" s="4"/>
      <c r="AB193" s="4"/>
      <c r="AC193" s="4"/>
      <c r="AD193" s="4"/>
      <c r="AE193" s="4"/>
      <c r="AF193" s="4"/>
    </row>
    <row r="194">
      <c r="A194" s="73"/>
      <c r="B194" s="73"/>
      <c r="C194" s="147"/>
      <c r="D194" s="103" t="str">
        <f t="array" ref="D194">XLOOKUP(C194,'Master Data'!C:C,'Master Data'!D:D)</f>
        <v>#N/A</v>
      </c>
      <c r="E194" s="104"/>
      <c r="F194" s="105" t="str">
        <f t="array" ref="F194">XLOOKUP(C194,'Master Data'!C:C,'Master Data'!D:D)</f>
        <v>#N/A</v>
      </c>
      <c r="G194" s="90" t="str">
        <f t="array" ref="G194">XLOOKUP(C194,'Master Data'!C:C,'Master Data'!E:E)</f>
        <v>#N/A</v>
      </c>
      <c r="H194" s="88" t="str">
        <f t="array" ref="H194">XLOOKUP(C194,'Master Data'!C:C,'Master Data'!F:F)</f>
        <v>#N/A</v>
      </c>
      <c r="I194" s="72" t="str">
        <f t="array" ref="I194">XLOOKUP(C194,'Master Data'!C:C,'Master Data'!G:G)</f>
        <v>#N/A</v>
      </c>
      <c r="J194" s="72" t="str">
        <f t="array" ref="J194">XLOOKUP(C194,'Master Data'!C:C,'Master Data'!H:H)</f>
        <v>#N/A</v>
      </c>
      <c r="K194" s="73"/>
      <c r="L194" s="149"/>
      <c r="M194" s="73"/>
      <c r="N194" s="73"/>
      <c r="O194" s="73"/>
      <c r="P194" s="73"/>
      <c r="Q194" s="73"/>
      <c r="R194" s="109"/>
      <c r="S194" s="4"/>
      <c r="T194" s="4"/>
      <c r="U194" s="4"/>
      <c r="V194" s="4"/>
      <c r="W194" s="4"/>
      <c r="X194" s="4"/>
      <c r="Y194" s="4"/>
      <c r="Z194" s="4"/>
      <c r="AA194" s="4"/>
      <c r="AB194" s="4"/>
      <c r="AC194" s="4"/>
      <c r="AD194" s="4"/>
      <c r="AE194" s="4"/>
      <c r="AF194" s="4"/>
    </row>
    <row r="195">
      <c r="A195" s="73"/>
      <c r="B195" s="73"/>
      <c r="C195" s="147"/>
      <c r="D195" s="103" t="str">
        <f t="array" ref="D195">XLOOKUP(C195,'Master Data'!C:C,'Master Data'!D:D)</f>
        <v>#N/A</v>
      </c>
      <c r="E195" s="104"/>
      <c r="F195" s="105" t="str">
        <f t="array" ref="F195">XLOOKUP(C195,'Master Data'!C:C,'Master Data'!D:D)</f>
        <v>#N/A</v>
      </c>
      <c r="G195" s="90" t="str">
        <f t="array" ref="G195">XLOOKUP(C195,'Master Data'!C:C,'Master Data'!E:E)</f>
        <v>#N/A</v>
      </c>
      <c r="H195" s="88" t="str">
        <f t="array" ref="H195">XLOOKUP(C195,'Master Data'!C:C,'Master Data'!F:F)</f>
        <v>#N/A</v>
      </c>
      <c r="I195" s="72" t="str">
        <f t="array" ref="I195">XLOOKUP(C195,'Master Data'!C:C,'Master Data'!G:G)</f>
        <v>#N/A</v>
      </c>
      <c r="J195" s="72" t="str">
        <f t="array" ref="J195">XLOOKUP(C195,'Master Data'!C:C,'Master Data'!H:H)</f>
        <v>#N/A</v>
      </c>
      <c r="K195" s="73"/>
      <c r="L195" s="149"/>
      <c r="M195" s="73"/>
      <c r="N195" s="73"/>
      <c r="O195" s="73"/>
      <c r="P195" s="73"/>
      <c r="Q195" s="73"/>
      <c r="R195" s="109"/>
      <c r="S195" s="4"/>
      <c r="T195" s="4"/>
      <c r="U195" s="4"/>
      <c r="V195" s="4"/>
      <c r="W195" s="4"/>
      <c r="X195" s="4"/>
      <c r="Y195" s="4"/>
      <c r="Z195" s="4"/>
      <c r="AA195" s="4"/>
      <c r="AB195" s="4"/>
      <c r="AC195" s="4"/>
      <c r="AD195" s="4"/>
      <c r="AE195" s="4"/>
      <c r="AF195" s="4"/>
    </row>
    <row r="196">
      <c r="A196" s="73"/>
      <c r="B196" s="73"/>
      <c r="C196" s="147"/>
      <c r="D196" s="103" t="str">
        <f t="array" ref="D196">XLOOKUP(C196,'Master Data'!C:C,'Master Data'!D:D)</f>
        <v>#N/A</v>
      </c>
      <c r="E196" s="104"/>
      <c r="F196" s="105" t="str">
        <f t="array" ref="F196">XLOOKUP(C196,'Master Data'!C:C,'Master Data'!D:D)</f>
        <v>#N/A</v>
      </c>
      <c r="G196" s="90" t="str">
        <f t="array" ref="G196">XLOOKUP(C196,'Master Data'!C:C,'Master Data'!E:E)</f>
        <v>#N/A</v>
      </c>
      <c r="H196" s="88" t="str">
        <f t="array" ref="H196">XLOOKUP(C196,'Master Data'!C:C,'Master Data'!F:F)</f>
        <v>#N/A</v>
      </c>
      <c r="I196" s="72" t="str">
        <f t="array" ref="I196">XLOOKUP(C196,'Master Data'!C:C,'Master Data'!G:G)</f>
        <v>#N/A</v>
      </c>
      <c r="J196" s="72" t="str">
        <f t="array" ref="J196">XLOOKUP(C196,'Master Data'!C:C,'Master Data'!H:H)</f>
        <v>#N/A</v>
      </c>
      <c r="K196" s="73"/>
      <c r="L196" s="149"/>
      <c r="M196" s="73"/>
      <c r="N196" s="73"/>
      <c r="O196" s="73"/>
      <c r="P196" s="73"/>
      <c r="Q196" s="73"/>
      <c r="R196" s="109"/>
      <c r="S196" s="4"/>
      <c r="T196" s="4"/>
      <c r="U196" s="4"/>
      <c r="V196" s="4"/>
      <c r="W196" s="4"/>
      <c r="X196" s="4"/>
      <c r="Y196" s="4"/>
      <c r="Z196" s="4"/>
      <c r="AA196" s="4"/>
      <c r="AB196" s="4"/>
      <c r="AC196" s="4"/>
      <c r="AD196" s="4"/>
      <c r="AE196" s="4"/>
      <c r="AF196" s="4"/>
    </row>
    <row r="197">
      <c r="A197" s="73"/>
      <c r="B197" s="73"/>
      <c r="C197" s="147"/>
      <c r="D197" s="103" t="str">
        <f t="array" ref="D197">XLOOKUP(C197,'Master Data'!C:C,'Master Data'!D:D)</f>
        <v>#N/A</v>
      </c>
      <c r="E197" s="104"/>
      <c r="F197" s="105" t="str">
        <f t="array" ref="F197">XLOOKUP(C197,'Master Data'!C:C,'Master Data'!D:D)</f>
        <v>#N/A</v>
      </c>
      <c r="G197" s="90" t="str">
        <f t="array" ref="G197">XLOOKUP(C197,'Master Data'!C:C,'Master Data'!E:E)</f>
        <v>#N/A</v>
      </c>
      <c r="H197" s="88" t="str">
        <f t="array" ref="H197">XLOOKUP(C197,'Master Data'!C:C,'Master Data'!F:F)</f>
        <v>#N/A</v>
      </c>
      <c r="I197" s="72" t="str">
        <f t="array" ref="I197">XLOOKUP(C197,'Master Data'!C:C,'Master Data'!G:G)</f>
        <v>#N/A</v>
      </c>
      <c r="J197" s="72" t="str">
        <f t="array" ref="J197">XLOOKUP(C197,'Master Data'!C:C,'Master Data'!H:H)</f>
        <v>#N/A</v>
      </c>
      <c r="K197" s="73"/>
      <c r="L197" s="149"/>
      <c r="M197" s="73"/>
      <c r="N197" s="73"/>
      <c r="O197" s="73"/>
      <c r="P197" s="73"/>
      <c r="Q197" s="73"/>
      <c r="R197" s="109"/>
      <c r="S197" s="4"/>
      <c r="T197" s="4"/>
      <c r="U197" s="4"/>
      <c r="V197" s="4"/>
      <c r="W197" s="4"/>
      <c r="X197" s="4"/>
      <c r="Y197" s="4"/>
      <c r="Z197" s="4"/>
      <c r="AA197" s="4"/>
      <c r="AB197" s="4"/>
      <c r="AC197" s="4"/>
      <c r="AD197" s="4"/>
      <c r="AE197" s="4"/>
      <c r="AF197" s="4"/>
    </row>
    <row r="198">
      <c r="A198" s="73"/>
      <c r="B198" s="73"/>
      <c r="C198" s="147"/>
      <c r="D198" s="103" t="str">
        <f t="array" ref="D198">XLOOKUP(C198,'Master Data'!C:C,'Master Data'!D:D)</f>
        <v>#N/A</v>
      </c>
      <c r="E198" s="104"/>
      <c r="F198" s="105" t="str">
        <f t="array" ref="F198">XLOOKUP(C198,'Master Data'!C:C,'Master Data'!D:D)</f>
        <v>#N/A</v>
      </c>
      <c r="G198" s="90" t="str">
        <f t="array" ref="G198">XLOOKUP(C198,'Master Data'!C:C,'Master Data'!E:E)</f>
        <v>#N/A</v>
      </c>
      <c r="H198" s="88" t="str">
        <f t="array" ref="H198">XLOOKUP(C198,'Master Data'!C:C,'Master Data'!F:F)</f>
        <v>#N/A</v>
      </c>
      <c r="I198" s="72" t="str">
        <f t="array" ref="I198">XLOOKUP(C198,'Master Data'!C:C,'Master Data'!G:G)</f>
        <v>#N/A</v>
      </c>
      <c r="J198" s="72" t="str">
        <f t="array" ref="J198">XLOOKUP(C198,'Master Data'!C:C,'Master Data'!H:H)</f>
        <v>#N/A</v>
      </c>
      <c r="K198" s="73"/>
      <c r="L198" s="149"/>
      <c r="M198" s="73"/>
      <c r="N198" s="73"/>
      <c r="O198" s="73"/>
      <c r="P198" s="73"/>
      <c r="Q198" s="73"/>
      <c r="R198" s="109"/>
      <c r="S198" s="4"/>
      <c r="T198" s="4"/>
      <c r="U198" s="4"/>
      <c r="V198" s="4"/>
      <c r="W198" s="4"/>
      <c r="X198" s="4"/>
      <c r="Y198" s="4"/>
      <c r="Z198" s="4"/>
      <c r="AA198" s="4"/>
      <c r="AB198" s="4"/>
      <c r="AC198" s="4"/>
      <c r="AD198" s="4"/>
      <c r="AE198" s="4"/>
      <c r="AF198" s="4"/>
    </row>
    <row r="199">
      <c r="A199" s="73"/>
      <c r="B199" s="73"/>
      <c r="C199" s="147"/>
      <c r="D199" s="103" t="str">
        <f t="array" ref="D199">XLOOKUP(C199,'Master Data'!C:C,'Master Data'!D:D)</f>
        <v>#N/A</v>
      </c>
      <c r="E199" s="104"/>
      <c r="F199" s="105" t="str">
        <f t="array" ref="F199">XLOOKUP(C199,'Master Data'!C:C,'Master Data'!D:D)</f>
        <v>#N/A</v>
      </c>
      <c r="G199" s="90" t="str">
        <f t="array" ref="G199">XLOOKUP(C199,'Master Data'!C:C,'Master Data'!E:E)</f>
        <v>#N/A</v>
      </c>
      <c r="H199" s="88" t="str">
        <f t="array" ref="H199">XLOOKUP(C199,'Master Data'!C:C,'Master Data'!F:F)</f>
        <v>#N/A</v>
      </c>
      <c r="I199" s="72" t="str">
        <f t="array" ref="I199">XLOOKUP(C199,'Master Data'!C:C,'Master Data'!G:G)</f>
        <v>#N/A</v>
      </c>
      <c r="J199" s="72" t="str">
        <f t="array" ref="J199">XLOOKUP(C199,'Master Data'!C:C,'Master Data'!H:H)</f>
        <v>#N/A</v>
      </c>
      <c r="K199" s="73"/>
      <c r="L199" s="149"/>
      <c r="M199" s="73"/>
      <c r="N199" s="73"/>
      <c r="O199" s="73"/>
      <c r="P199" s="73"/>
      <c r="Q199" s="73"/>
      <c r="R199" s="109"/>
      <c r="S199" s="4"/>
      <c r="T199" s="4"/>
      <c r="U199" s="4"/>
      <c r="V199" s="4"/>
      <c r="W199" s="4"/>
      <c r="X199" s="4"/>
      <c r="Y199" s="4"/>
      <c r="Z199" s="4"/>
      <c r="AA199" s="4"/>
      <c r="AB199" s="4"/>
      <c r="AC199" s="4"/>
      <c r="AD199" s="4"/>
      <c r="AE199" s="4"/>
      <c r="AF199" s="4"/>
    </row>
    <row r="200">
      <c r="A200" s="73"/>
      <c r="B200" s="73"/>
      <c r="C200" s="147"/>
      <c r="D200" s="103" t="str">
        <f t="array" ref="D200">XLOOKUP(C200,'Master Data'!C:C,'Master Data'!D:D)</f>
        <v>#N/A</v>
      </c>
      <c r="E200" s="104"/>
      <c r="F200" s="105" t="str">
        <f t="array" ref="F200">XLOOKUP(C200,'Master Data'!C:C,'Master Data'!D:D)</f>
        <v>#N/A</v>
      </c>
      <c r="G200" s="90" t="str">
        <f t="array" ref="G200">XLOOKUP(C200,'Master Data'!C:C,'Master Data'!E:E)</f>
        <v>#N/A</v>
      </c>
      <c r="H200" s="88" t="str">
        <f t="array" ref="H200">XLOOKUP(C200,'Master Data'!C:C,'Master Data'!F:F)</f>
        <v>#N/A</v>
      </c>
      <c r="I200" s="72" t="str">
        <f t="array" ref="I200">XLOOKUP(C200,'Master Data'!C:C,'Master Data'!G:G)</f>
        <v>#N/A</v>
      </c>
      <c r="J200" s="72" t="str">
        <f t="array" ref="J200">XLOOKUP(C200,'Master Data'!C:C,'Master Data'!H:H)</f>
        <v>#N/A</v>
      </c>
      <c r="K200" s="73"/>
      <c r="L200" s="149"/>
      <c r="M200" s="73"/>
      <c r="N200" s="73"/>
      <c r="O200" s="73"/>
      <c r="P200" s="73"/>
      <c r="Q200" s="73"/>
      <c r="R200" s="109"/>
      <c r="S200" s="4"/>
      <c r="T200" s="4"/>
      <c r="U200" s="4"/>
      <c r="V200" s="4"/>
      <c r="W200" s="4"/>
      <c r="X200" s="4"/>
      <c r="Y200" s="4"/>
      <c r="Z200" s="4"/>
      <c r="AA200" s="4"/>
      <c r="AB200" s="4"/>
      <c r="AC200" s="4"/>
      <c r="AD200" s="4"/>
      <c r="AE200" s="4"/>
      <c r="AF200" s="4"/>
    </row>
    <row r="201">
      <c r="A201" s="73"/>
      <c r="B201" s="73"/>
      <c r="C201" s="147"/>
      <c r="D201" s="103" t="str">
        <f t="array" ref="D201">XLOOKUP(C201,'Master Data'!C:C,'Master Data'!D:D)</f>
        <v>#N/A</v>
      </c>
      <c r="E201" s="104"/>
      <c r="F201" s="105" t="str">
        <f t="array" ref="F201">XLOOKUP(C201,'Master Data'!C:C,'Master Data'!D:D)</f>
        <v>#N/A</v>
      </c>
      <c r="G201" s="90" t="str">
        <f t="array" ref="G201">XLOOKUP(C201,'Master Data'!C:C,'Master Data'!E:E)</f>
        <v>#N/A</v>
      </c>
      <c r="H201" s="88" t="str">
        <f t="array" ref="H201">XLOOKUP(C201,'Master Data'!C:C,'Master Data'!F:F)</f>
        <v>#N/A</v>
      </c>
      <c r="I201" s="72" t="str">
        <f t="array" ref="I201">XLOOKUP(C201,'Master Data'!C:C,'Master Data'!G:G)</f>
        <v>#N/A</v>
      </c>
      <c r="J201" s="72" t="str">
        <f t="array" ref="J201">XLOOKUP(C201,'Master Data'!C:C,'Master Data'!H:H)</f>
        <v>#N/A</v>
      </c>
      <c r="K201" s="73"/>
      <c r="L201" s="149"/>
      <c r="M201" s="73"/>
      <c r="N201" s="73"/>
      <c r="O201" s="73"/>
      <c r="P201" s="73"/>
      <c r="Q201" s="73"/>
      <c r="R201" s="109"/>
      <c r="S201" s="4"/>
      <c r="T201" s="4"/>
      <c r="U201" s="4"/>
      <c r="V201" s="4"/>
      <c r="W201" s="4"/>
      <c r="X201" s="4"/>
      <c r="Y201" s="4"/>
      <c r="Z201" s="4"/>
      <c r="AA201" s="4"/>
      <c r="AB201" s="4"/>
      <c r="AC201" s="4"/>
      <c r="AD201" s="4"/>
      <c r="AE201" s="4"/>
      <c r="AF201" s="4"/>
    </row>
    <row r="202">
      <c r="A202" s="73"/>
      <c r="B202" s="73"/>
      <c r="C202" s="147"/>
      <c r="D202" s="103" t="str">
        <f t="array" ref="D202">XLOOKUP(C202,'Master Data'!C:C,'Master Data'!D:D)</f>
        <v>#N/A</v>
      </c>
      <c r="E202" s="104"/>
      <c r="F202" s="105" t="str">
        <f t="array" ref="F202">XLOOKUP(C202,'Master Data'!C:C,'Master Data'!D:D)</f>
        <v>#N/A</v>
      </c>
      <c r="G202" s="90" t="str">
        <f t="array" ref="G202">XLOOKUP(C202,'Master Data'!C:C,'Master Data'!E:E)</f>
        <v>#N/A</v>
      </c>
      <c r="H202" s="88" t="str">
        <f t="array" ref="H202">XLOOKUP(C202,'Master Data'!C:C,'Master Data'!F:F)</f>
        <v>#N/A</v>
      </c>
      <c r="I202" s="72" t="str">
        <f t="array" ref="I202">XLOOKUP(C202,'Master Data'!C:C,'Master Data'!G:G)</f>
        <v>#N/A</v>
      </c>
      <c r="J202" s="72" t="str">
        <f t="array" ref="J202">XLOOKUP(C202,'Master Data'!C:C,'Master Data'!H:H)</f>
        <v>#N/A</v>
      </c>
      <c r="K202" s="73"/>
      <c r="L202" s="149"/>
      <c r="M202" s="73"/>
      <c r="N202" s="73"/>
      <c r="O202" s="73"/>
      <c r="P202" s="73"/>
      <c r="Q202" s="73"/>
      <c r="R202" s="109"/>
      <c r="S202" s="4"/>
      <c r="T202" s="4"/>
      <c r="U202" s="4"/>
      <c r="V202" s="4"/>
      <c r="W202" s="4"/>
      <c r="X202" s="4"/>
      <c r="Y202" s="4"/>
      <c r="Z202" s="4"/>
      <c r="AA202" s="4"/>
      <c r="AB202" s="4"/>
      <c r="AC202" s="4"/>
      <c r="AD202" s="4"/>
      <c r="AE202" s="4"/>
      <c r="AF202" s="4"/>
    </row>
    <row r="203">
      <c r="A203" s="73"/>
      <c r="B203" s="73"/>
      <c r="C203" s="147"/>
      <c r="D203" s="103" t="str">
        <f t="array" ref="D203">XLOOKUP(C203,'Master Data'!C:C,'Master Data'!D:D)</f>
        <v>#N/A</v>
      </c>
      <c r="E203" s="104"/>
      <c r="F203" s="105" t="str">
        <f t="array" ref="F203">XLOOKUP(C203,'Master Data'!C:C,'Master Data'!D:D)</f>
        <v>#N/A</v>
      </c>
      <c r="G203" s="90" t="str">
        <f t="array" ref="G203">XLOOKUP(C203,'Master Data'!C:C,'Master Data'!E:E)</f>
        <v>#N/A</v>
      </c>
      <c r="H203" s="88" t="str">
        <f t="array" ref="H203">XLOOKUP(C203,'Master Data'!C:C,'Master Data'!F:F)</f>
        <v>#N/A</v>
      </c>
      <c r="I203" s="72" t="str">
        <f t="array" ref="I203">XLOOKUP(C203,'Master Data'!C:C,'Master Data'!G:G)</f>
        <v>#N/A</v>
      </c>
      <c r="J203" s="72" t="str">
        <f t="array" ref="J203">XLOOKUP(C203,'Master Data'!C:C,'Master Data'!H:H)</f>
        <v>#N/A</v>
      </c>
      <c r="K203" s="73"/>
      <c r="L203" s="149"/>
      <c r="M203" s="73"/>
      <c r="N203" s="73"/>
      <c r="O203" s="73"/>
      <c r="P203" s="73"/>
      <c r="Q203" s="73"/>
      <c r="R203" s="109"/>
      <c r="S203" s="4"/>
      <c r="T203" s="4"/>
      <c r="U203" s="4"/>
      <c r="V203" s="4"/>
      <c r="W203" s="4"/>
      <c r="X203" s="4"/>
      <c r="Y203" s="4"/>
      <c r="Z203" s="4"/>
      <c r="AA203" s="4"/>
      <c r="AB203" s="4"/>
      <c r="AC203" s="4"/>
      <c r="AD203" s="4"/>
      <c r="AE203" s="4"/>
      <c r="AF203" s="4"/>
    </row>
    <row r="204">
      <c r="A204" s="73"/>
      <c r="B204" s="73"/>
      <c r="C204" s="147"/>
      <c r="D204" s="103" t="str">
        <f t="array" ref="D204">XLOOKUP(C204,'Master Data'!C:C,'Master Data'!D:D)</f>
        <v>#N/A</v>
      </c>
      <c r="E204" s="104"/>
      <c r="F204" s="105" t="str">
        <f t="array" ref="F204">XLOOKUP(C204,'Master Data'!C:C,'Master Data'!D:D)</f>
        <v>#N/A</v>
      </c>
      <c r="G204" s="90" t="str">
        <f t="array" ref="G204">XLOOKUP(C204,'Master Data'!C:C,'Master Data'!E:E)</f>
        <v>#N/A</v>
      </c>
      <c r="H204" s="88" t="str">
        <f t="array" ref="H204">XLOOKUP(C204,'Master Data'!C:C,'Master Data'!F:F)</f>
        <v>#N/A</v>
      </c>
      <c r="I204" s="72" t="str">
        <f t="array" ref="I204">XLOOKUP(C204,'Master Data'!C:C,'Master Data'!G:G)</f>
        <v>#N/A</v>
      </c>
      <c r="J204" s="72" t="str">
        <f t="array" ref="J204">XLOOKUP(C204,'Master Data'!C:C,'Master Data'!H:H)</f>
        <v>#N/A</v>
      </c>
      <c r="K204" s="73"/>
      <c r="L204" s="149"/>
      <c r="M204" s="73"/>
      <c r="N204" s="73"/>
      <c r="O204" s="73"/>
      <c r="P204" s="73"/>
      <c r="Q204" s="73"/>
      <c r="R204" s="109"/>
      <c r="S204" s="4"/>
      <c r="T204" s="4"/>
      <c r="U204" s="4"/>
      <c r="V204" s="4"/>
      <c r="W204" s="4"/>
      <c r="X204" s="4"/>
      <c r="Y204" s="4"/>
      <c r="Z204" s="4"/>
      <c r="AA204" s="4"/>
      <c r="AB204" s="4"/>
      <c r="AC204" s="4"/>
      <c r="AD204" s="4"/>
      <c r="AE204" s="4"/>
      <c r="AF204" s="4"/>
    </row>
    <row r="205">
      <c r="A205" s="73"/>
      <c r="B205" s="73"/>
      <c r="C205" s="147"/>
      <c r="D205" s="103" t="str">
        <f t="array" ref="D205">XLOOKUP(C205,'Master Data'!C:C,'Master Data'!D:D)</f>
        <v>#N/A</v>
      </c>
      <c r="E205" s="104"/>
      <c r="F205" s="105" t="str">
        <f t="array" ref="F205">XLOOKUP(C205,'Master Data'!C:C,'Master Data'!D:D)</f>
        <v>#N/A</v>
      </c>
      <c r="G205" s="90" t="str">
        <f t="array" ref="G205">XLOOKUP(C205,'Master Data'!C:C,'Master Data'!E:E)</f>
        <v>#N/A</v>
      </c>
      <c r="H205" s="88" t="str">
        <f t="array" ref="H205">XLOOKUP(C205,'Master Data'!C:C,'Master Data'!F:F)</f>
        <v>#N/A</v>
      </c>
      <c r="I205" s="72" t="str">
        <f t="array" ref="I205">XLOOKUP(C205,'Master Data'!C:C,'Master Data'!G:G)</f>
        <v>#N/A</v>
      </c>
      <c r="J205" s="72" t="str">
        <f t="array" ref="J205">XLOOKUP(C205,'Master Data'!C:C,'Master Data'!H:H)</f>
        <v>#N/A</v>
      </c>
      <c r="K205" s="73"/>
      <c r="L205" s="149"/>
      <c r="M205" s="73"/>
      <c r="N205" s="73"/>
      <c r="O205" s="73"/>
      <c r="P205" s="73"/>
      <c r="Q205" s="73"/>
      <c r="R205" s="109"/>
      <c r="S205" s="4"/>
      <c r="T205" s="4"/>
      <c r="U205" s="4"/>
      <c r="V205" s="4"/>
      <c r="W205" s="4"/>
      <c r="X205" s="4"/>
      <c r="Y205" s="4"/>
      <c r="Z205" s="4"/>
      <c r="AA205" s="4"/>
      <c r="AB205" s="4"/>
      <c r="AC205" s="4"/>
      <c r="AD205" s="4"/>
      <c r="AE205" s="4"/>
      <c r="AF205" s="4"/>
    </row>
    <row r="206">
      <c r="A206" s="73"/>
      <c r="B206" s="73"/>
      <c r="C206" s="147"/>
      <c r="D206" s="103" t="str">
        <f t="array" ref="D206">XLOOKUP(C206,'Master Data'!C:C,'Master Data'!D:D)</f>
        <v>#N/A</v>
      </c>
      <c r="E206" s="104"/>
      <c r="F206" s="105" t="str">
        <f t="array" ref="F206">XLOOKUP(C206,'Master Data'!C:C,'Master Data'!D:D)</f>
        <v>#N/A</v>
      </c>
      <c r="G206" s="90" t="str">
        <f t="array" ref="G206">XLOOKUP(C206,'Master Data'!C:C,'Master Data'!E:E)</f>
        <v>#N/A</v>
      </c>
      <c r="H206" s="88" t="str">
        <f t="array" ref="H206">XLOOKUP(C206,'Master Data'!C:C,'Master Data'!F:F)</f>
        <v>#N/A</v>
      </c>
      <c r="I206" s="72" t="str">
        <f t="array" ref="I206">XLOOKUP(C206,'Master Data'!C:C,'Master Data'!G:G)</f>
        <v>#N/A</v>
      </c>
      <c r="J206" s="72" t="str">
        <f t="array" ref="J206">XLOOKUP(C206,'Master Data'!C:C,'Master Data'!H:H)</f>
        <v>#N/A</v>
      </c>
      <c r="K206" s="73"/>
      <c r="L206" s="149"/>
      <c r="M206" s="73"/>
      <c r="N206" s="73"/>
      <c r="O206" s="73"/>
      <c r="P206" s="73"/>
      <c r="Q206" s="73"/>
      <c r="R206" s="109"/>
      <c r="S206" s="4"/>
      <c r="T206" s="4"/>
      <c r="U206" s="4"/>
      <c r="V206" s="4"/>
      <c r="W206" s="4"/>
      <c r="X206" s="4"/>
      <c r="Y206" s="4"/>
      <c r="Z206" s="4"/>
      <c r="AA206" s="4"/>
      <c r="AB206" s="4"/>
      <c r="AC206" s="4"/>
      <c r="AD206" s="4"/>
      <c r="AE206" s="4"/>
      <c r="AF206" s="4"/>
    </row>
    <row r="207">
      <c r="A207" s="73"/>
      <c r="B207" s="73"/>
      <c r="C207" s="147"/>
      <c r="D207" s="103" t="str">
        <f t="array" ref="D207">XLOOKUP(C207,'Master Data'!C:C,'Master Data'!D:D)</f>
        <v>#N/A</v>
      </c>
      <c r="E207" s="104"/>
      <c r="F207" s="105" t="str">
        <f t="array" ref="F207">XLOOKUP(C207,'Master Data'!C:C,'Master Data'!D:D)</f>
        <v>#N/A</v>
      </c>
      <c r="G207" s="90" t="str">
        <f t="array" ref="G207">XLOOKUP(C207,'Master Data'!C:C,'Master Data'!E:E)</f>
        <v>#N/A</v>
      </c>
      <c r="H207" s="88" t="str">
        <f t="array" ref="H207">XLOOKUP(C207,'Master Data'!C:C,'Master Data'!F:F)</f>
        <v>#N/A</v>
      </c>
      <c r="I207" s="72" t="str">
        <f t="array" ref="I207">XLOOKUP(C207,'Master Data'!C:C,'Master Data'!G:G)</f>
        <v>#N/A</v>
      </c>
      <c r="J207" s="72" t="str">
        <f t="array" ref="J207">XLOOKUP(C207,'Master Data'!C:C,'Master Data'!H:H)</f>
        <v>#N/A</v>
      </c>
      <c r="K207" s="73"/>
      <c r="L207" s="149"/>
      <c r="M207" s="73"/>
      <c r="N207" s="73"/>
      <c r="O207" s="73"/>
      <c r="P207" s="73"/>
      <c r="Q207" s="73"/>
      <c r="R207" s="109"/>
      <c r="S207" s="4"/>
      <c r="T207" s="4"/>
      <c r="U207" s="4"/>
      <c r="V207" s="4"/>
      <c r="W207" s="4"/>
      <c r="X207" s="4"/>
      <c r="Y207" s="4"/>
      <c r="Z207" s="4"/>
      <c r="AA207" s="4"/>
      <c r="AB207" s="4"/>
      <c r="AC207" s="4"/>
      <c r="AD207" s="4"/>
      <c r="AE207" s="4"/>
      <c r="AF207" s="4"/>
    </row>
    <row r="208">
      <c r="A208" s="73"/>
      <c r="B208" s="73"/>
      <c r="C208" s="147"/>
      <c r="D208" s="103" t="str">
        <f t="array" ref="D208">XLOOKUP(C208,'Master Data'!C:C,'Master Data'!D:D)</f>
        <v>#N/A</v>
      </c>
      <c r="E208" s="104"/>
      <c r="F208" s="105" t="str">
        <f t="array" ref="F208">XLOOKUP(C208,'Master Data'!C:C,'Master Data'!D:D)</f>
        <v>#N/A</v>
      </c>
      <c r="G208" s="90" t="str">
        <f t="array" ref="G208">XLOOKUP(C208,'Master Data'!C:C,'Master Data'!E:E)</f>
        <v>#N/A</v>
      </c>
      <c r="H208" s="88" t="str">
        <f t="array" ref="H208">XLOOKUP(C208,'Master Data'!C:C,'Master Data'!F:F)</f>
        <v>#N/A</v>
      </c>
      <c r="I208" s="72" t="str">
        <f t="array" ref="I208">XLOOKUP(C208,'Master Data'!C:C,'Master Data'!G:G)</f>
        <v>#N/A</v>
      </c>
      <c r="J208" s="72" t="str">
        <f t="array" ref="J208">XLOOKUP(C208,'Master Data'!C:C,'Master Data'!H:H)</f>
        <v>#N/A</v>
      </c>
      <c r="K208" s="73"/>
      <c r="L208" s="149"/>
      <c r="M208" s="73"/>
      <c r="N208" s="73"/>
      <c r="O208" s="73"/>
      <c r="P208" s="73"/>
      <c r="Q208" s="73"/>
      <c r="R208" s="109"/>
      <c r="S208" s="4"/>
      <c r="T208" s="4"/>
      <c r="U208" s="4"/>
      <c r="V208" s="4"/>
      <c r="W208" s="4"/>
      <c r="X208" s="4"/>
      <c r="Y208" s="4"/>
      <c r="Z208" s="4"/>
      <c r="AA208" s="4"/>
      <c r="AB208" s="4"/>
      <c r="AC208" s="4"/>
      <c r="AD208" s="4"/>
      <c r="AE208" s="4"/>
      <c r="AF208" s="4"/>
    </row>
    <row r="209">
      <c r="A209" s="73"/>
      <c r="B209" s="73"/>
      <c r="C209" s="147"/>
      <c r="D209" s="103" t="str">
        <f t="array" ref="D209">XLOOKUP(C209,'Master Data'!C:C,'Master Data'!D:D)</f>
        <v>#N/A</v>
      </c>
      <c r="E209" s="104"/>
      <c r="F209" s="105" t="str">
        <f t="array" ref="F209">XLOOKUP(C209,'Master Data'!C:C,'Master Data'!D:D)</f>
        <v>#N/A</v>
      </c>
      <c r="G209" s="90" t="str">
        <f t="array" ref="G209">XLOOKUP(C209,'Master Data'!C:C,'Master Data'!E:E)</f>
        <v>#N/A</v>
      </c>
      <c r="H209" s="88" t="str">
        <f t="array" ref="H209">XLOOKUP(C209,'Master Data'!C:C,'Master Data'!F:F)</f>
        <v>#N/A</v>
      </c>
      <c r="I209" s="72" t="str">
        <f t="array" ref="I209">XLOOKUP(C209,'Master Data'!C:C,'Master Data'!G:G)</f>
        <v>#N/A</v>
      </c>
      <c r="J209" s="72" t="str">
        <f t="array" ref="J209">XLOOKUP(C209,'Master Data'!C:C,'Master Data'!H:H)</f>
        <v>#N/A</v>
      </c>
      <c r="K209" s="73"/>
      <c r="L209" s="149"/>
      <c r="M209" s="73"/>
      <c r="N209" s="73"/>
      <c r="O209" s="73"/>
      <c r="P209" s="73"/>
      <c r="Q209" s="73"/>
      <c r="R209" s="109"/>
      <c r="S209" s="4"/>
      <c r="T209" s="4"/>
      <c r="U209" s="4"/>
      <c r="V209" s="4"/>
      <c r="W209" s="4"/>
      <c r="X209" s="4"/>
      <c r="Y209" s="4"/>
      <c r="Z209" s="4"/>
      <c r="AA209" s="4"/>
      <c r="AB209" s="4"/>
      <c r="AC209" s="4"/>
      <c r="AD209" s="4"/>
      <c r="AE209" s="4"/>
      <c r="AF209" s="4"/>
    </row>
    <row r="210">
      <c r="A210" s="73"/>
      <c r="B210" s="73"/>
      <c r="C210" s="147"/>
      <c r="D210" s="103" t="str">
        <f t="array" ref="D210">XLOOKUP(C210,'Master Data'!C:C,'Master Data'!D:D)</f>
        <v>#N/A</v>
      </c>
      <c r="E210" s="104"/>
      <c r="F210" s="105" t="str">
        <f t="array" ref="F210">XLOOKUP(C210,'Master Data'!C:C,'Master Data'!D:D)</f>
        <v>#N/A</v>
      </c>
      <c r="G210" s="90" t="str">
        <f t="array" ref="G210">XLOOKUP(C210,'Master Data'!C:C,'Master Data'!E:E)</f>
        <v>#N/A</v>
      </c>
      <c r="H210" s="88" t="str">
        <f t="array" ref="H210">XLOOKUP(C210,'Master Data'!C:C,'Master Data'!F:F)</f>
        <v>#N/A</v>
      </c>
      <c r="I210" s="72" t="str">
        <f t="array" ref="I210">XLOOKUP(C210,'Master Data'!C:C,'Master Data'!G:G)</f>
        <v>#N/A</v>
      </c>
      <c r="J210" s="72" t="str">
        <f t="array" ref="J210">XLOOKUP(C210,'Master Data'!C:C,'Master Data'!H:H)</f>
        <v>#N/A</v>
      </c>
      <c r="K210" s="73"/>
      <c r="L210" s="149"/>
      <c r="M210" s="73"/>
      <c r="N210" s="73"/>
      <c r="O210" s="73"/>
      <c r="P210" s="73"/>
      <c r="Q210" s="73"/>
      <c r="R210" s="109"/>
      <c r="S210" s="4"/>
      <c r="T210" s="4"/>
      <c r="U210" s="4"/>
      <c r="V210" s="4"/>
      <c r="W210" s="4"/>
      <c r="X210" s="4"/>
      <c r="Y210" s="4"/>
      <c r="Z210" s="4"/>
      <c r="AA210" s="4"/>
      <c r="AB210" s="4"/>
      <c r="AC210" s="4"/>
      <c r="AD210" s="4"/>
      <c r="AE210" s="4"/>
      <c r="AF210" s="4"/>
    </row>
    <row r="211">
      <c r="A211" s="73"/>
      <c r="B211" s="73"/>
      <c r="C211" s="147"/>
      <c r="D211" s="103" t="str">
        <f t="array" ref="D211">XLOOKUP(C211,'Master Data'!C:C,'Master Data'!D:D)</f>
        <v>#N/A</v>
      </c>
      <c r="E211" s="104"/>
      <c r="F211" s="105" t="str">
        <f t="array" ref="F211">XLOOKUP(C211,'Master Data'!C:C,'Master Data'!D:D)</f>
        <v>#N/A</v>
      </c>
      <c r="G211" s="90" t="str">
        <f t="array" ref="G211">XLOOKUP(C211,'Master Data'!C:C,'Master Data'!E:E)</f>
        <v>#N/A</v>
      </c>
      <c r="H211" s="88" t="str">
        <f t="array" ref="H211">XLOOKUP(C211,'Master Data'!C:C,'Master Data'!F:F)</f>
        <v>#N/A</v>
      </c>
      <c r="I211" s="72" t="str">
        <f t="array" ref="I211">XLOOKUP(C211,'Master Data'!C:C,'Master Data'!G:G)</f>
        <v>#N/A</v>
      </c>
      <c r="J211" s="72" t="str">
        <f t="array" ref="J211">XLOOKUP(C211,'Master Data'!C:C,'Master Data'!H:H)</f>
        <v>#N/A</v>
      </c>
      <c r="K211" s="73"/>
      <c r="L211" s="149"/>
      <c r="M211" s="73"/>
      <c r="N211" s="73"/>
      <c r="O211" s="73"/>
      <c r="P211" s="73"/>
      <c r="Q211" s="73"/>
      <c r="R211" s="109"/>
      <c r="S211" s="4"/>
      <c r="T211" s="4"/>
      <c r="U211" s="4"/>
      <c r="V211" s="4"/>
      <c r="W211" s="4"/>
      <c r="X211" s="4"/>
      <c r="Y211" s="4"/>
      <c r="Z211" s="4"/>
      <c r="AA211" s="4"/>
      <c r="AB211" s="4"/>
      <c r="AC211" s="4"/>
      <c r="AD211" s="4"/>
      <c r="AE211" s="4"/>
      <c r="AF211" s="4"/>
    </row>
    <row r="212">
      <c r="A212" s="73"/>
      <c r="B212" s="73"/>
      <c r="C212" s="147"/>
      <c r="D212" s="103" t="str">
        <f t="array" ref="D212">XLOOKUP(C212,'Master Data'!C:C,'Master Data'!D:D)</f>
        <v>#N/A</v>
      </c>
      <c r="E212" s="104"/>
      <c r="F212" s="105" t="str">
        <f t="array" ref="F212">XLOOKUP(C212,'Master Data'!C:C,'Master Data'!D:D)</f>
        <v>#N/A</v>
      </c>
      <c r="G212" s="90" t="str">
        <f t="array" ref="G212">XLOOKUP(C212,'Master Data'!C:C,'Master Data'!E:E)</f>
        <v>#N/A</v>
      </c>
      <c r="H212" s="88" t="str">
        <f t="array" ref="H212">XLOOKUP(C212,'Master Data'!C:C,'Master Data'!F:F)</f>
        <v>#N/A</v>
      </c>
      <c r="I212" s="72" t="str">
        <f t="array" ref="I212">XLOOKUP(C212,'Master Data'!C:C,'Master Data'!G:G)</f>
        <v>#N/A</v>
      </c>
      <c r="J212" s="72" t="str">
        <f t="array" ref="J212">XLOOKUP(C212,'Master Data'!C:C,'Master Data'!H:H)</f>
        <v>#N/A</v>
      </c>
      <c r="K212" s="73"/>
      <c r="L212" s="149"/>
      <c r="M212" s="73"/>
      <c r="N212" s="73"/>
      <c r="O212" s="73"/>
      <c r="P212" s="73"/>
      <c r="Q212" s="73"/>
      <c r="R212" s="109"/>
      <c r="S212" s="4"/>
      <c r="T212" s="4"/>
      <c r="U212" s="4"/>
      <c r="V212" s="4"/>
      <c r="W212" s="4"/>
      <c r="X212" s="4"/>
      <c r="Y212" s="4"/>
      <c r="Z212" s="4"/>
      <c r="AA212" s="4"/>
      <c r="AB212" s="4"/>
      <c r="AC212" s="4"/>
      <c r="AD212" s="4"/>
      <c r="AE212" s="4"/>
      <c r="AF212" s="4"/>
    </row>
    <row r="213">
      <c r="A213" s="73"/>
      <c r="B213" s="73"/>
      <c r="C213" s="147"/>
      <c r="D213" s="103" t="str">
        <f t="array" ref="D213">XLOOKUP(C213,'Master Data'!C:C,'Master Data'!D:D)</f>
        <v>#N/A</v>
      </c>
      <c r="E213" s="104"/>
      <c r="F213" s="105" t="str">
        <f t="array" ref="F213">XLOOKUP(C213,'Master Data'!C:C,'Master Data'!D:D)</f>
        <v>#N/A</v>
      </c>
      <c r="G213" s="90" t="str">
        <f t="array" ref="G213">XLOOKUP(C213,'Master Data'!C:C,'Master Data'!E:E)</f>
        <v>#N/A</v>
      </c>
      <c r="H213" s="88" t="str">
        <f t="array" ref="H213">XLOOKUP(C213,'Master Data'!C:C,'Master Data'!F:F)</f>
        <v>#N/A</v>
      </c>
      <c r="I213" s="72" t="str">
        <f t="array" ref="I213">XLOOKUP(C213,'Master Data'!C:C,'Master Data'!G:G)</f>
        <v>#N/A</v>
      </c>
      <c r="J213" s="72" t="str">
        <f t="array" ref="J213">XLOOKUP(C213,'Master Data'!C:C,'Master Data'!H:H)</f>
        <v>#N/A</v>
      </c>
      <c r="K213" s="73"/>
      <c r="L213" s="149"/>
      <c r="M213" s="73"/>
      <c r="N213" s="73"/>
      <c r="O213" s="73"/>
      <c r="P213" s="73"/>
      <c r="Q213" s="73"/>
      <c r="R213" s="109"/>
      <c r="S213" s="4"/>
      <c r="T213" s="4"/>
      <c r="U213" s="4"/>
      <c r="V213" s="4"/>
      <c r="W213" s="4"/>
      <c r="X213" s="4"/>
      <c r="Y213" s="4"/>
      <c r="Z213" s="4"/>
      <c r="AA213" s="4"/>
      <c r="AB213" s="4"/>
      <c r="AC213" s="4"/>
      <c r="AD213" s="4"/>
      <c r="AE213" s="4"/>
      <c r="AF213" s="4"/>
    </row>
    <row r="214">
      <c r="A214" s="73"/>
      <c r="B214" s="73"/>
      <c r="C214" s="147"/>
      <c r="D214" s="103" t="str">
        <f t="array" ref="D214">XLOOKUP(C214,'Master Data'!C:C,'Master Data'!D:D)</f>
        <v>#N/A</v>
      </c>
      <c r="E214" s="104"/>
      <c r="F214" s="105" t="str">
        <f t="array" ref="F214">XLOOKUP(C214,'Master Data'!C:C,'Master Data'!D:D)</f>
        <v>#N/A</v>
      </c>
      <c r="G214" s="90" t="str">
        <f t="array" ref="G214">XLOOKUP(C214,'Master Data'!C:C,'Master Data'!E:E)</f>
        <v>#N/A</v>
      </c>
      <c r="H214" s="88" t="str">
        <f t="array" ref="H214">XLOOKUP(C214,'Master Data'!C:C,'Master Data'!F:F)</f>
        <v>#N/A</v>
      </c>
      <c r="I214" s="72" t="str">
        <f t="array" ref="I214">XLOOKUP(C214,'Master Data'!C:C,'Master Data'!G:G)</f>
        <v>#N/A</v>
      </c>
      <c r="J214" s="72" t="str">
        <f t="array" ref="J214">XLOOKUP(C214,'Master Data'!C:C,'Master Data'!H:H)</f>
        <v>#N/A</v>
      </c>
      <c r="K214" s="73"/>
      <c r="L214" s="149"/>
      <c r="M214" s="73"/>
      <c r="N214" s="73"/>
      <c r="O214" s="73"/>
      <c r="P214" s="73"/>
      <c r="Q214" s="73"/>
      <c r="R214" s="109"/>
      <c r="S214" s="4"/>
      <c r="T214" s="4"/>
      <c r="U214" s="4"/>
      <c r="V214" s="4"/>
      <c r="W214" s="4"/>
      <c r="X214" s="4"/>
      <c r="Y214" s="4"/>
      <c r="Z214" s="4"/>
      <c r="AA214" s="4"/>
      <c r="AB214" s="4"/>
      <c r="AC214" s="4"/>
      <c r="AD214" s="4"/>
      <c r="AE214" s="4"/>
      <c r="AF214" s="4"/>
    </row>
    <row r="215">
      <c r="A215" s="73"/>
      <c r="B215" s="73"/>
      <c r="C215" s="147"/>
      <c r="D215" s="103" t="str">
        <f t="array" ref="D215">XLOOKUP(C215,'Master Data'!C:C,'Master Data'!D:D)</f>
        <v>#N/A</v>
      </c>
      <c r="E215" s="104"/>
      <c r="F215" s="105" t="str">
        <f t="array" ref="F215">XLOOKUP(C215,'Master Data'!C:C,'Master Data'!D:D)</f>
        <v>#N/A</v>
      </c>
      <c r="G215" s="90" t="str">
        <f t="array" ref="G215">XLOOKUP(C215,'Master Data'!C:C,'Master Data'!E:E)</f>
        <v>#N/A</v>
      </c>
      <c r="H215" s="88" t="str">
        <f t="array" ref="H215">XLOOKUP(C215,'Master Data'!C:C,'Master Data'!F:F)</f>
        <v>#N/A</v>
      </c>
      <c r="I215" s="72" t="str">
        <f t="array" ref="I215">XLOOKUP(C215,'Master Data'!C:C,'Master Data'!G:G)</f>
        <v>#N/A</v>
      </c>
      <c r="J215" s="72" t="str">
        <f t="array" ref="J215">XLOOKUP(C215,'Master Data'!C:C,'Master Data'!H:H)</f>
        <v>#N/A</v>
      </c>
      <c r="K215" s="73"/>
      <c r="L215" s="149"/>
      <c r="M215" s="73"/>
      <c r="N215" s="73"/>
      <c r="O215" s="73"/>
      <c r="P215" s="73"/>
      <c r="Q215" s="73"/>
      <c r="R215" s="109"/>
      <c r="S215" s="4"/>
      <c r="T215" s="4"/>
      <c r="U215" s="4"/>
      <c r="V215" s="4"/>
      <c r="W215" s="4"/>
      <c r="X215" s="4"/>
      <c r="Y215" s="4"/>
      <c r="Z215" s="4"/>
      <c r="AA215" s="4"/>
      <c r="AB215" s="4"/>
      <c r="AC215" s="4"/>
      <c r="AD215" s="4"/>
      <c r="AE215" s="4"/>
      <c r="AF215" s="4"/>
    </row>
    <row r="216">
      <c r="A216" s="73"/>
      <c r="B216" s="73"/>
      <c r="C216" s="147"/>
      <c r="D216" s="103" t="str">
        <f t="array" ref="D216">XLOOKUP(C216,'Master Data'!C:C,'Master Data'!D:D)</f>
        <v>#N/A</v>
      </c>
      <c r="E216" s="104"/>
      <c r="F216" s="105" t="str">
        <f t="array" ref="F216">XLOOKUP(C216,'Master Data'!C:C,'Master Data'!D:D)</f>
        <v>#N/A</v>
      </c>
      <c r="G216" s="90" t="str">
        <f t="array" ref="G216">XLOOKUP(C216,'Master Data'!C:C,'Master Data'!E:E)</f>
        <v>#N/A</v>
      </c>
      <c r="H216" s="88" t="str">
        <f t="array" ref="H216">XLOOKUP(C216,'Master Data'!C:C,'Master Data'!F:F)</f>
        <v>#N/A</v>
      </c>
      <c r="I216" s="72" t="str">
        <f t="array" ref="I216">XLOOKUP(C216,'Master Data'!C:C,'Master Data'!G:G)</f>
        <v>#N/A</v>
      </c>
      <c r="J216" s="72" t="str">
        <f t="array" ref="J216">XLOOKUP(C216,'Master Data'!C:C,'Master Data'!H:H)</f>
        <v>#N/A</v>
      </c>
      <c r="K216" s="73"/>
      <c r="L216" s="149"/>
      <c r="M216" s="73"/>
      <c r="N216" s="73"/>
      <c r="O216" s="73"/>
      <c r="P216" s="73"/>
      <c r="Q216" s="73"/>
      <c r="R216" s="109"/>
      <c r="S216" s="4"/>
      <c r="T216" s="4"/>
      <c r="U216" s="4"/>
      <c r="V216" s="4"/>
      <c r="W216" s="4"/>
      <c r="X216" s="4"/>
      <c r="Y216" s="4"/>
      <c r="Z216" s="4"/>
      <c r="AA216" s="4"/>
      <c r="AB216" s="4"/>
      <c r="AC216" s="4"/>
      <c r="AD216" s="4"/>
      <c r="AE216" s="4"/>
      <c r="AF216" s="4"/>
    </row>
    <row r="217">
      <c r="A217" s="73"/>
      <c r="B217" s="73"/>
      <c r="C217" s="147"/>
      <c r="D217" s="103" t="str">
        <f t="array" ref="D217">XLOOKUP(C217,'Master Data'!C:C,'Master Data'!D:D)</f>
        <v>#N/A</v>
      </c>
      <c r="E217" s="104"/>
      <c r="F217" s="105" t="str">
        <f t="array" ref="F217">XLOOKUP(C217,'Master Data'!C:C,'Master Data'!D:D)</f>
        <v>#N/A</v>
      </c>
      <c r="G217" s="90" t="str">
        <f t="array" ref="G217">XLOOKUP(C217,'Master Data'!C:C,'Master Data'!E:E)</f>
        <v>#N/A</v>
      </c>
      <c r="H217" s="88" t="str">
        <f t="array" ref="H217">XLOOKUP(C217,'Master Data'!C:C,'Master Data'!F:F)</f>
        <v>#N/A</v>
      </c>
      <c r="I217" s="72" t="str">
        <f t="array" ref="I217">XLOOKUP(C217,'Master Data'!C:C,'Master Data'!G:G)</f>
        <v>#N/A</v>
      </c>
      <c r="J217" s="72" t="str">
        <f t="array" ref="J217">XLOOKUP(C217,'Master Data'!C:C,'Master Data'!H:H)</f>
        <v>#N/A</v>
      </c>
      <c r="K217" s="73"/>
      <c r="L217" s="149"/>
      <c r="M217" s="73"/>
      <c r="N217" s="73"/>
      <c r="O217" s="73"/>
      <c r="P217" s="73"/>
      <c r="Q217" s="73"/>
      <c r="R217" s="109"/>
      <c r="S217" s="4"/>
      <c r="T217" s="4"/>
      <c r="U217" s="4"/>
      <c r="V217" s="4"/>
      <c r="W217" s="4"/>
      <c r="X217" s="4"/>
      <c r="Y217" s="4"/>
      <c r="Z217" s="4"/>
      <c r="AA217" s="4"/>
      <c r="AB217" s="4"/>
      <c r="AC217" s="4"/>
      <c r="AD217" s="4"/>
      <c r="AE217" s="4"/>
      <c r="AF217" s="4"/>
    </row>
    <row r="218">
      <c r="A218" s="73"/>
      <c r="B218" s="73"/>
      <c r="C218" s="147"/>
      <c r="D218" s="103" t="str">
        <f t="array" ref="D218">XLOOKUP(C218,'Master Data'!C:C,'Master Data'!D:D)</f>
        <v>#N/A</v>
      </c>
      <c r="E218" s="104"/>
      <c r="F218" s="105" t="str">
        <f t="array" ref="F218">XLOOKUP(C218,'Master Data'!C:C,'Master Data'!D:D)</f>
        <v>#N/A</v>
      </c>
      <c r="G218" s="90" t="str">
        <f t="array" ref="G218">XLOOKUP(C218,'Master Data'!C:C,'Master Data'!E:E)</f>
        <v>#N/A</v>
      </c>
      <c r="H218" s="88" t="str">
        <f t="array" ref="H218">XLOOKUP(C218,'Master Data'!C:C,'Master Data'!F:F)</f>
        <v>#N/A</v>
      </c>
      <c r="I218" s="72" t="str">
        <f t="array" ref="I218">XLOOKUP(C218,'Master Data'!C:C,'Master Data'!G:G)</f>
        <v>#N/A</v>
      </c>
      <c r="J218" s="72" t="str">
        <f t="array" ref="J218">XLOOKUP(C218,'Master Data'!C:C,'Master Data'!H:H)</f>
        <v>#N/A</v>
      </c>
      <c r="K218" s="73"/>
      <c r="L218" s="149"/>
      <c r="M218" s="73"/>
      <c r="N218" s="73"/>
      <c r="O218" s="73"/>
      <c r="P218" s="73"/>
      <c r="Q218" s="73"/>
      <c r="R218" s="109"/>
      <c r="S218" s="4"/>
      <c r="T218" s="4"/>
      <c r="U218" s="4"/>
      <c r="V218" s="4"/>
      <c r="W218" s="4"/>
      <c r="X218" s="4"/>
      <c r="Y218" s="4"/>
      <c r="Z218" s="4"/>
      <c r="AA218" s="4"/>
      <c r="AB218" s="4"/>
      <c r="AC218" s="4"/>
      <c r="AD218" s="4"/>
      <c r="AE218" s="4"/>
      <c r="AF218" s="4"/>
    </row>
    <row r="219">
      <c r="A219" s="73"/>
      <c r="B219" s="73"/>
      <c r="C219" s="147"/>
      <c r="D219" s="103" t="str">
        <f t="array" ref="D219">XLOOKUP(C219,'Master Data'!C:C,'Master Data'!D:D)</f>
        <v>#N/A</v>
      </c>
      <c r="E219" s="104"/>
      <c r="F219" s="105" t="str">
        <f t="array" ref="F219">XLOOKUP(C219,'Master Data'!C:C,'Master Data'!D:D)</f>
        <v>#N/A</v>
      </c>
      <c r="G219" s="90" t="str">
        <f t="array" ref="G219">XLOOKUP(C219,'Master Data'!C:C,'Master Data'!E:E)</f>
        <v>#N/A</v>
      </c>
      <c r="H219" s="88" t="str">
        <f t="array" ref="H219">XLOOKUP(C219,'Master Data'!C:C,'Master Data'!F:F)</f>
        <v>#N/A</v>
      </c>
      <c r="I219" s="72" t="str">
        <f t="array" ref="I219">XLOOKUP(C219,'Master Data'!C:C,'Master Data'!G:G)</f>
        <v>#N/A</v>
      </c>
      <c r="J219" s="72" t="str">
        <f t="array" ref="J219">XLOOKUP(C219,'Master Data'!C:C,'Master Data'!H:H)</f>
        <v>#N/A</v>
      </c>
      <c r="K219" s="73"/>
      <c r="L219" s="149"/>
      <c r="M219" s="73"/>
      <c r="N219" s="73"/>
      <c r="O219" s="73"/>
      <c r="P219" s="73"/>
      <c r="Q219" s="73"/>
      <c r="R219" s="109"/>
      <c r="S219" s="4"/>
      <c r="T219" s="4"/>
      <c r="U219" s="4"/>
      <c r="V219" s="4"/>
      <c r="W219" s="4"/>
      <c r="X219" s="4"/>
      <c r="Y219" s="4"/>
      <c r="Z219" s="4"/>
      <c r="AA219" s="4"/>
      <c r="AB219" s="4"/>
      <c r="AC219" s="4"/>
      <c r="AD219" s="4"/>
      <c r="AE219" s="4"/>
      <c r="AF219" s="4"/>
    </row>
    <row r="220">
      <c r="A220" s="73"/>
      <c r="B220" s="73"/>
      <c r="C220" s="147"/>
      <c r="D220" s="103" t="str">
        <f t="array" ref="D220">XLOOKUP(C220,'Master Data'!C:C,'Master Data'!D:D)</f>
        <v>#N/A</v>
      </c>
      <c r="E220" s="104"/>
      <c r="F220" s="105" t="str">
        <f t="array" ref="F220">XLOOKUP(C220,'Master Data'!C:C,'Master Data'!D:D)</f>
        <v>#N/A</v>
      </c>
      <c r="G220" s="90" t="str">
        <f t="array" ref="G220">XLOOKUP(C220,'Master Data'!C:C,'Master Data'!E:E)</f>
        <v>#N/A</v>
      </c>
      <c r="H220" s="88" t="str">
        <f t="array" ref="H220">XLOOKUP(C220,'Master Data'!C:C,'Master Data'!F:F)</f>
        <v>#N/A</v>
      </c>
      <c r="I220" s="72" t="str">
        <f t="array" ref="I220">XLOOKUP(C220,'Master Data'!C:C,'Master Data'!G:G)</f>
        <v>#N/A</v>
      </c>
      <c r="J220" s="72" t="str">
        <f t="array" ref="J220">XLOOKUP(C220,'Master Data'!C:C,'Master Data'!H:H)</f>
        <v>#N/A</v>
      </c>
      <c r="K220" s="73"/>
      <c r="L220" s="149"/>
      <c r="M220" s="73"/>
      <c r="N220" s="73"/>
      <c r="O220" s="73"/>
      <c r="P220" s="73"/>
      <c r="Q220" s="73"/>
      <c r="R220" s="109"/>
      <c r="S220" s="4"/>
      <c r="T220" s="4"/>
      <c r="U220" s="4"/>
      <c r="V220" s="4"/>
      <c r="W220" s="4"/>
      <c r="X220" s="4"/>
      <c r="Y220" s="4"/>
      <c r="Z220" s="4"/>
      <c r="AA220" s="4"/>
      <c r="AB220" s="4"/>
      <c r="AC220" s="4"/>
      <c r="AD220" s="4"/>
      <c r="AE220" s="4"/>
      <c r="AF220" s="4"/>
    </row>
    <row r="221">
      <c r="A221" s="73"/>
      <c r="B221" s="73"/>
      <c r="C221" s="147"/>
      <c r="D221" s="103" t="str">
        <f t="array" ref="D221">XLOOKUP(C221,'Master Data'!C:C,'Master Data'!D:D)</f>
        <v>#N/A</v>
      </c>
      <c r="E221" s="104"/>
      <c r="F221" s="105" t="str">
        <f t="array" ref="F221">XLOOKUP(C221,'Master Data'!C:C,'Master Data'!D:D)</f>
        <v>#N/A</v>
      </c>
      <c r="G221" s="90" t="str">
        <f t="array" ref="G221">XLOOKUP(C221,'Master Data'!C:C,'Master Data'!E:E)</f>
        <v>#N/A</v>
      </c>
      <c r="H221" s="88" t="str">
        <f t="array" ref="H221">XLOOKUP(C221,'Master Data'!C:C,'Master Data'!F:F)</f>
        <v>#N/A</v>
      </c>
      <c r="I221" s="72" t="str">
        <f t="array" ref="I221">XLOOKUP(C221,'Master Data'!C:C,'Master Data'!G:G)</f>
        <v>#N/A</v>
      </c>
      <c r="J221" s="72" t="str">
        <f t="array" ref="J221">XLOOKUP(C221,'Master Data'!C:C,'Master Data'!H:H)</f>
        <v>#N/A</v>
      </c>
      <c r="K221" s="73"/>
      <c r="L221" s="149"/>
      <c r="M221" s="73"/>
      <c r="N221" s="73"/>
      <c r="O221" s="73"/>
      <c r="P221" s="73"/>
      <c r="Q221" s="73"/>
      <c r="R221" s="109"/>
      <c r="S221" s="4"/>
      <c r="T221" s="4"/>
      <c r="U221" s="4"/>
      <c r="V221" s="4"/>
      <c r="W221" s="4"/>
      <c r="X221" s="4"/>
      <c r="Y221" s="4"/>
      <c r="Z221" s="4"/>
      <c r="AA221" s="4"/>
      <c r="AB221" s="4"/>
      <c r="AC221" s="4"/>
      <c r="AD221" s="4"/>
      <c r="AE221" s="4"/>
      <c r="AF221" s="4"/>
    </row>
    <row r="222">
      <c r="A222" s="73"/>
      <c r="B222" s="73"/>
      <c r="C222" s="147"/>
      <c r="D222" s="103" t="str">
        <f t="array" ref="D222">XLOOKUP(C222,'Master Data'!C:C,'Master Data'!D:D)</f>
        <v>#N/A</v>
      </c>
      <c r="E222" s="104"/>
      <c r="F222" s="105" t="str">
        <f t="array" ref="F222">XLOOKUP(C222,'Master Data'!C:C,'Master Data'!D:D)</f>
        <v>#N/A</v>
      </c>
      <c r="G222" s="90" t="str">
        <f t="array" ref="G222">XLOOKUP(C222,'Master Data'!C:C,'Master Data'!E:E)</f>
        <v>#N/A</v>
      </c>
      <c r="H222" s="88" t="str">
        <f t="array" ref="H222">XLOOKUP(C222,'Master Data'!C:C,'Master Data'!F:F)</f>
        <v>#N/A</v>
      </c>
      <c r="I222" s="72" t="str">
        <f t="array" ref="I222">XLOOKUP(C222,'Master Data'!C:C,'Master Data'!G:G)</f>
        <v>#N/A</v>
      </c>
      <c r="J222" s="72" t="str">
        <f t="array" ref="J222">XLOOKUP(C222,'Master Data'!C:C,'Master Data'!H:H)</f>
        <v>#N/A</v>
      </c>
      <c r="K222" s="73"/>
      <c r="L222" s="149"/>
      <c r="M222" s="73"/>
      <c r="N222" s="73"/>
      <c r="O222" s="73"/>
      <c r="P222" s="73"/>
      <c r="Q222" s="73"/>
      <c r="R222" s="109"/>
      <c r="S222" s="4"/>
      <c r="T222" s="4"/>
      <c r="U222" s="4"/>
      <c r="V222" s="4"/>
      <c r="W222" s="4"/>
      <c r="X222" s="4"/>
      <c r="Y222" s="4"/>
      <c r="Z222" s="4"/>
      <c r="AA222" s="4"/>
      <c r="AB222" s="4"/>
      <c r="AC222" s="4"/>
      <c r="AD222" s="4"/>
      <c r="AE222" s="4"/>
      <c r="AF222" s="4"/>
    </row>
    <row r="223">
      <c r="A223" s="73"/>
      <c r="B223" s="73"/>
      <c r="C223" s="147"/>
      <c r="D223" s="103" t="str">
        <f t="array" ref="D223">XLOOKUP(C223,'Master Data'!C:C,'Master Data'!D:D)</f>
        <v>#N/A</v>
      </c>
      <c r="E223" s="104"/>
      <c r="F223" s="105" t="str">
        <f t="array" ref="F223">XLOOKUP(C223,'Master Data'!C:C,'Master Data'!D:D)</f>
        <v>#N/A</v>
      </c>
      <c r="G223" s="90" t="str">
        <f t="array" ref="G223">XLOOKUP(C223,'Master Data'!C:C,'Master Data'!E:E)</f>
        <v>#N/A</v>
      </c>
      <c r="H223" s="88" t="str">
        <f t="array" ref="H223">XLOOKUP(C223,'Master Data'!C:C,'Master Data'!F:F)</f>
        <v>#N/A</v>
      </c>
      <c r="I223" s="72" t="str">
        <f t="array" ref="I223">XLOOKUP(C223,'Master Data'!C:C,'Master Data'!G:G)</f>
        <v>#N/A</v>
      </c>
      <c r="J223" s="72" t="str">
        <f t="array" ref="J223">XLOOKUP(C223,'Master Data'!C:C,'Master Data'!H:H)</f>
        <v>#N/A</v>
      </c>
      <c r="K223" s="73"/>
      <c r="L223" s="149"/>
      <c r="M223" s="73"/>
      <c r="N223" s="73"/>
      <c r="O223" s="73"/>
      <c r="P223" s="73"/>
      <c r="Q223" s="73"/>
      <c r="R223" s="109"/>
      <c r="S223" s="4"/>
      <c r="T223" s="4"/>
      <c r="U223" s="4"/>
      <c r="V223" s="4"/>
      <c r="W223" s="4"/>
      <c r="X223" s="4"/>
      <c r="Y223" s="4"/>
      <c r="Z223" s="4"/>
      <c r="AA223" s="4"/>
      <c r="AB223" s="4"/>
      <c r="AC223" s="4"/>
      <c r="AD223" s="4"/>
      <c r="AE223" s="4"/>
      <c r="AF223" s="4"/>
    </row>
    <row r="224">
      <c r="A224" s="73"/>
      <c r="B224" s="73"/>
      <c r="C224" s="147"/>
      <c r="D224" s="103" t="str">
        <f t="array" ref="D224">XLOOKUP(C224,'Master Data'!C:C,'Master Data'!D:D)</f>
        <v>#N/A</v>
      </c>
      <c r="E224" s="104"/>
      <c r="F224" s="105" t="str">
        <f t="array" ref="F224">XLOOKUP(C224,'Master Data'!C:C,'Master Data'!D:D)</f>
        <v>#N/A</v>
      </c>
      <c r="G224" s="90" t="str">
        <f t="array" ref="G224">XLOOKUP(C224,'Master Data'!C:C,'Master Data'!E:E)</f>
        <v>#N/A</v>
      </c>
      <c r="H224" s="88" t="str">
        <f t="array" ref="H224">XLOOKUP(C224,'Master Data'!C:C,'Master Data'!F:F)</f>
        <v>#N/A</v>
      </c>
      <c r="I224" s="72" t="str">
        <f t="array" ref="I224">XLOOKUP(C224,'Master Data'!C:C,'Master Data'!G:G)</f>
        <v>#N/A</v>
      </c>
      <c r="J224" s="72" t="str">
        <f t="array" ref="J224">XLOOKUP(C224,'Master Data'!C:C,'Master Data'!H:H)</f>
        <v>#N/A</v>
      </c>
      <c r="K224" s="73"/>
      <c r="L224" s="149"/>
      <c r="M224" s="73"/>
      <c r="N224" s="73"/>
      <c r="O224" s="73"/>
      <c r="P224" s="73"/>
      <c r="Q224" s="73"/>
      <c r="R224" s="109"/>
      <c r="S224" s="4"/>
      <c r="T224" s="4"/>
      <c r="U224" s="4"/>
      <c r="V224" s="4"/>
      <c r="W224" s="4"/>
      <c r="X224" s="4"/>
      <c r="Y224" s="4"/>
      <c r="Z224" s="4"/>
      <c r="AA224" s="4"/>
      <c r="AB224" s="4"/>
      <c r="AC224" s="4"/>
      <c r="AD224" s="4"/>
      <c r="AE224" s="4"/>
      <c r="AF224" s="4"/>
    </row>
    <row r="225">
      <c r="A225" s="73"/>
      <c r="B225" s="73"/>
      <c r="C225" s="147"/>
      <c r="D225" s="103" t="str">
        <f t="array" ref="D225">XLOOKUP(C225,'Master Data'!C:C,'Master Data'!D:D)</f>
        <v>#N/A</v>
      </c>
      <c r="E225" s="104"/>
      <c r="F225" s="105" t="str">
        <f t="array" ref="F225">XLOOKUP(C225,'Master Data'!C:C,'Master Data'!D:D)</f>
        <v>#N/A</v>
      </c>
      <c r="G225" s="90" t="str">
        <f t="array" ref="G225">XLOOKUP(C225,'Master Data'!C:C,'Master Data'!E:E)</f>
        <v>#N/A</v>
      </c>
      <c r="H225" s="88" t="str">
        <f t="array" ref="H225">XLOOKUP(C225,'Master Data'!C:C,'Master Data'!F:F)</f>
        <v>#N/A</v>
      </c>
      <c r="I225" s="72" t="str">
        <f t="array" ref="I225">XLOOKUP(C225,'Master Data'!C:C,'Master Data'!G:G)</f>
        <v>#N/A</v>
      </c>
      <c r="J225" s="72" t="str">
        <f t="array" ref="J225">XLOOKUP(C225,'Master Data'!C:C,'Master Data'!H:H)</f>
        <v>#N/A</v>
      </c>
      <c r="K225" s="73"/>
      <c r="L225" s="149"/>
      <c r="M225" s="73"/>
      <c r="N225" s="73"/>
      <c r="O225" s="73"/>
      <c r="P225" s="73"/>
      <c r="Q225" s="73"/>
      <c r="R225" s="109"/>
      <c r="S225" s="4"/>
      <c r="T225" s="4"/>
      <c r="U225" s="4"/>
      <c r="V225" s="4"/>
      <c r="W225" s="4"/>
      <c r="X225" s="4"/>
      <c r="Y225" s="4"/>
      <c r="Z225" s="4"/>
      <c r="AA225" s="4"/>
      <c r="AB225" s="4"/>
      <c r="AC225" s="4"/>
      <c r="AD225" s="4"/>
      <c r="AE225" s="4"/>
      <c r="AF225" s="4"/>
    </row>
    <row r="226">
      <c r="A226" s="73"/>
      <c r="B226" s="73"/>
      <c r="C226" s="147"/>
      <c r="D226" s="103" t="str">
        <f t="array" ref="D226">XLOOKUP(C226,'Master Data'!C:C,'Master Data'!D:D)</f>
        <v>#N/A</v>
      </c>
      <c r="E226" s="104"/>
      <c r="F226" s="105" t="str">
        <f t="array" ref="F226">XLOOKUP(C226,'Master Data'!C:C,'Master Data'!D:D)</f>
        <v>#N/A</v>
      </c>
      <c r="G226" s="90" t="str">
        <f t="array" ref="G226">XLOOKUP(C226,'Master Data'!C:C,'Master Data'!E:E)</f>
        <v>#N/A</v>
      </c>
      <c r="H226" s="88" t="str">
        <f t="array" ref="H226">XLOOKUP(C226,'Master Data'!C:C,'Master Data'!F:F)</f>
        <v>#N/A</v>
      </c>
      <c r="I226" s="72" t="str">
        <f t="array" ref="I226">XLOOKUP(C226,'Master Data'!C:C,'Master Data'!G:G)</f>
        <v>#N/A</v>
      </c>
      <c r="J226" s="72" t="str">
        <f t="array" ref="J226">XLOOKUP(C226,'Master Data'!C:C,'Master Data'!H:H)</f>
        <v>#N/A</v>
      </c>
      <c r="K226" s="73"/>
      <c r="L226" s="149"/>
      <c r="M226" s="73"/>
      <c r="N226" s="73"/>
      <c r="O226" s="73"/>
      <c r="P226" s="73"/>
      <c r="Q226" s="73"/>
      <c r="R226" s="109"/>
      <c r="S226" s="4"/>
      <c r="T226" s="4"/>
      <c r="U226" s="4"/>
      <c r="V226" s="4"/>
      <c r="W226" s="4"/>
      <c r="X226" s="4"/>
      <c r="Y226" s="4"/>
      <c r="Z226" s="4"/>
      <c r="AA226" s="4"/>
      <c r="AB226" s="4"/>
      <c r="AC226" s="4"/>
      <c r="AD226" s="4"/>
      <c r="AE226" s="4"/>
      <c r="AF226" s="4"/>
    </row>
    <row r="227">
      <c r="A227" s="73"/>
      <c r="B227" s="73"/>
      <c r="C227" s="147"/>
      <c r="D227" s="103" t="str">
        <f t="array" ref="D227">XLOOKUP(C227,'Master Data'!C:C,'Master Data'!D:D)</f>
        <v>#N/A</v>
      </c>
      <c r="E227" s="104"/>
      <c r="F227" s="105" t="str">
        <f t="array" ref="F227">XLOOKUP(C227,'Master Data'!C:C,'Master Data'!D:D)</f>
        <v>#N/A</v>
      </c>
      <c r="G227" s="90" t="str">
        <f t="array" ref="G227">XLOOKUP(C227,'Master Data'!C:C,'Master Data'!E:E)</f>
        <v>#N/A</v>
      </c>
      <c r="H227" s="88" t="str">
        <f t="array" ref="H227">XLOOKUP(C227,'Master Data'!C:C,'Master Data'!F:F)</f>
        <v>#N/A</v>
      </c>
      <c r="I227" s="72" t="str">
        <f t="array" ref="I227">XLOOKUP(C227,'Master Data'!C:C,'Master Data'!G:G)</f>
        <v>#N/A</v>
      </c>
      <c r="J227" s="72" t="str">
        <f t="array" ref="J227">XLOOKUP(C227,'Master Data'!C:C,'Master Data'!H:H)</f>
        <v>#N/A</v>
      </c>
      <c r="K227" s="73"/>
      <c r="L227" s="149"/>
      <c r="M227" s="73"/>
      <c r="N227" s="73"/>
      <c r="O227" s="73"/>
      <c r="P227" s="73"/>
      <c r="Q227" s="73"/>
      <c r="R227" s="109"/>
      <c r="S227" s="4"/>
      <c r="T227" s="4"/>
      <c r="U227" s="4"/>
      <c r="V227" s="4"/>
      <c r="W227" s="4"/>
      <c r="X227" s="4"/>
      <c r="Y227" s="4"/>
      <c r="Z227" s="4"/>
      <c r="AA227" s="4"/>
      <c r="AB227" s="4"/>
      <c r="AC227" s="4"/>
      <c r="AD227" s="4"/>
      <c r="AE227" s="4"/>
      <c r="AF227" s="4"/>
    </row>
    <row r="228">
      <c r="A228" s="73"/>
      <c r="B228" s="73"/>
      <c r="C228" s="147"/>
      <c r="D228" s="103" t="str">
        <f t="array" ref="D228">XLOOKUP(C228,'Master Data'!C:C,'Master Data'!D:D)</f>
        <v>#N/A</v>
      </c>
      <c r="E228" s="104"/>
      <c r="F228" s="105" t="str">
        <f t="array" ref="F228">XLOOKUP(C228,'Master Data'!C:C,'Master Data'!D:D)</f>
        <v>#N/A</v>
      </c>
      <c r="G228" s="90" t="str">
        <f t="array" ref="G228">XLOOKUP(C228,'Master Data'!C:C,'Master Data'!E:E)</f>
        <v>#N/A</v>
      </c>
      <c r="H228" s="88" t="str">
        <f t="array" ref="H228">XLOOKUP(C228,'Master Data'!C:C,'Master Data'!F:F)</f>
        <v>#N/A</v>
      </c>
      <c r="I228" s="72" t="str">
        <f t="array" ref="I228">XLOOKUP(C228,'Master Data'!C:C,'Master Data'!G:G)</f>
        <v>#N/A</v>
      </c>
      <c r="J228" s="72" t="str">
        <f t="array" ref="J228">XLOOKUP(C228,'Master Data'!C:C,'Master Data'!H:H)</f>
        <v>#N/A</v>
      </c>
      <c r="K228" s="73"/>
      <c r="L228" s="149"/>
      <c r="M228" s="73"/>
      <c r="N228" s="73"/>
      <c r="O228" s="73"/>
      <c r="P228" s="73"/>
      <c r="Q228" s="73"/>
      <c r="R228" s="109"/>
      <c r="S228" s="4"/>
      <c r="T228" s="4"/>
      <c r="U228" s="4"/>
      <c r="V228" s="4"/>
      <c r="W228" s="4"/>
      <c r="X228" s="4"/>
      <c r="Y228" s="4"/>
      <c r="Z228" s="4"/>
      <c r="AA228" s="4"/>
      <c r="AB228" s="4"/>
      <c r="AC228" s="4"/>
      <c r="AD228" s="4"/>
      <c r="AE228" s="4"/>
      <c r="AF228" s="4"/>
    </row>
    <row r="229">
      <c r="A229" s="73"/>
      <c r="B229" s="73"/>
      <c r="C229" s="147"/>
      <c r="D229" s="103" t="str">
        <f t="array" ref="D229">XLOOKUP(C229,'Master Data'!C:C,'Master Data'!D:D)</f>
        <v>#N/A</v>
      </c>
      <c r="E229" s="104"/>
      <c r="F229" s="105" t="str">
        <f t="array" ref="F229">XLOOKUP(C229,'Master Data'!C:C,'Master Data'!D:D)</f>
        <v>#N/A</v>
      </c>
      <c r="G229" s="90" t="str">
        <f t="array" ref="G229">XLOOKUP(C229,'Master Data'!C:C,'Master Data'!E:E)</f>
        <v>#N/A</v>
      </c>
      <c r="H229" s="88" t="str">
        <f t="array" ref="H229">XLOOKUP(C229,'Master Data'!C:C,'Master Data'!F:F)</f>
        <v>#N/A</v>
      </c>
      <c r="I229" s="72" t="str">
        <f t="array" ref="I229">XLOOKUP(C229,'Master Data'!C:C,'Master Data'!G:G)</f>
        <v>#N/A</v>
      </c>
      <c r="J229" s="72" t="str">
        <f t="array" ref="J229">XLOOKUP(C229,'Master Data'!C:C,'Master Data'!H:H)</f>
        <v>#N/A</v>
      </c>
      <c r="K229" s="73"/>
      <c r="L229" s="149"/>
      <c r="M229" s="73"/>
      <c r="N229" s="73"/>
      <c r="O229" s="73"/>
      <c r="P229" s="73"/>
      <c r="Q229" s="73"/>
      <c r="R229" s="109"/>
      <c r="S229" s="4"/>
      <c r="T229" s="4"/>
      <c r="U229" s="4"/>
      <c r="V229" s="4"/>
      <c r="W229" s="4"/>
      <c r="X229" s="4"/>
      <c r="Y229" s="4"/>
      <c r="Z229" s="4"/>
      <c r="AA229" s="4"/>
      <c r="AB229" s="4"/>
      <c r="AC229" s="4"/>
      <c r="AD229" s="4"/>
      <c r="AE229" s="4"/>
      <c r="AF229" s="4"/>
    </row>
    <row r="230">
      <c r="A230" s="73"/>
      <c r="B230" s="73"/>
      <c r="C230" s="147"/>
      <c r="D230" s="103" t="str">
        <f t="array" ref="D230">XLOOKUP(C230,'Master Data'!C:C,'Master Data'!D:D)</f>
        <v>#N/A</v>
      </c>
      <c r="E230" s="104"/>
      <c r="F230" s="105" t="str">
        <f t="array" ref="F230">XLOOKUP(C230,'Master Data'!C:C,'Master Data'!D:D)</f>
        <v>#N/A</v>
      </c>
      <c r="G230" s="90" t="str">
        <f t="array" ref="G230">XLOOKUP(C230,'Master Data'!C:C,'Master Data'!E:E)</f>
        <v>#N/A</v>
      </c>
      <c r="H230" s="88" t="str">
        <f t="array" ref="H230">XLOOKUP(C230,'Master Data'!C:C,'Master Data'!F:F)</f>
        <v>#N/A</v>
      </c>
      <c r="I230" s="72" t="str">
        <f t="array" ref="I230">XLOOKUP(C230,'Master Data'!C:C,'Master Data'!G:G)</f>
        <v>#N/A</v>
      </c>
      <c r="J230" s="72" t="str">
        <f t="array" ref="J230">XLOOKUP(C230,'Master Data'!C:C,'Master Data'!H:H)</f>
        <v>#N/A</v>
      </c>
      <c r="K230" s="73"/>
      <c r="L230" s="149"/>
      <c r="M230" s="73"/>
      <c r="N230" s="73"/>
      <c r="O230" s="73"/>
      <c r="P230" s="73"/>
      <c r="Q230" s="73"/>
      <c r="R230" s="109"/>
      <c r="S230" s="4"/>
      <c r="T230" s="4"/>
      <c r="U230" s="4"/>
      <c r="V230" s="4"/>
      <c r="W230" s="4"/>
      <c r="X230" s="4"/>
      <c r="Y230" s="4"/>
      <c r="Z230" s="4"/>
      <c r="AA230" s="4"/>
      <c r="AB230" s="4"/>
      <c r="AC230" s="4"/>
      <c r="AD230" s="4"/>
      <c r="AE230" s="4"/>
      <c r="AF230" s="4"/>
    </row>
    <row r="231">
      <c r="A231" s="73"/>
      <c r="B231" s="73"/>
      <c r="C231" s="147"/>
      <c r="D231" s="103" t="str">
        <f t="array" ref="D231">XLOOKUP(C231,'Master Data'!C:C,'Master Data'!D:D)</f>
        <v>#N/A</v>
      </c>
      <c r="E231" s="104"/>
      <c r="F231" s="105" t="str">
        <f t="array" ref="F231">XLOOKUP(C231,'Master Data'!C:C,'Master Data'!D:D)</f>
        <v>#N/A</v>
      </c>
      <c r="G231" s="90" t="str">
        <f t="array" ref="G231">XLOOKUP(C231,'Master Data'!C:C,'Master Data'!E:E)</f>
        <v>#N/A</v>
      </c>
      <c r="H231" s="88" t="str">
        <f t="array" ref="H231">XLOOKUP(C231,'Master Data'!C:C,'Master Data'!F:F)</f>
        <v>#N/A</v>
      </c>
      <c r="I231" s="72" t="str">
        <f t="array" ref="I231">XLOOKUP(C231,'Master Data'!C:C,'Master Data'!G:G)</f>
        <v>#N/A</v>
      </c>
      <c r="J231" s="72" t="str">
        <f t="array" ref="J231">XLOOKUP(C231,'Master Data'!C:C,'Master Data'!H:H)</f>
        <v>#N/A</v>
      </c>
      <c r="K231" s="73"/>
      <c r="L231" s="149"/>
      <c r="M231" s="73"/>
      <c r="N231" s="73"/>
      <c r="O231" s="73"/>
      <c r="P231" s="73"/>
      <c r="Q231" s="73"/>
      <c r="R231" s="109"/>
      <c r="S231" s="4"/>
      <c r="T231" s="4"/>
      <c r="U231" s="4"/>
      <c r="V231" s="4"/>
      <c r="W231" s="4"/>
      <c r="X231" s="4"/>
      <c r="Y231" s="4"/>
      <c r="Z231" s="4"/>
      <c r="AA231" s="4"/>
      <c r="AB231" s="4"/>
      <c r="AC231" s="4"/>
      <c r="AD231" s="4"/>
      <c r="AE231" s="4"/>
      <c r="AF231" s="4"/>
    </row>
    <row r="232">
      <c r="A232" s="73"/>
      <c r="B232" s="73"/>
      <c r="C232" s="147"/>
      <c r="D232" s="103" t="str">
        <f t="array" ref="D232">XLOOKUP(C232,'Master Data'!C:C,'Master Data'!D:D)</f>
        <v>#N/A</v>
      </c>
      <c r="E232" s="104"/>
      <c r="F232" s="105" t="str">
        <f t="array" ref="F232">XLOOKUP(C232,'Master Data'!C:C,'Master Data'!D:D)</f>
        <v>#N/A</v>
      </c>
      <c r="G232" s="90" t="str">
        <f t="array" ref="G232">XLOOKUP(C232,'Master Data'!C:C,'Master Data'!E:E)</f>
        <v>#N/A</v>
      </c>
      <c r="H232" s="88" t="str">
        <f t="array" ref="H232">XLOOKUP(C232,'Master Data'!C:C,'Master Data'!F:F)</f>
        <v>#N/A</v>
      </c>
      <c r="I232" s="72" t="str">
        <f t="array" ref="I232">XLOOKUP(C232,'Master Data'!C:C,'Master Data'!G:G)</f>
        <v>#N/A</v>
      </c>
      <c r="J232" s="72" t="str">
        <f t="array" ref="J232">XLOOKUP(C232,'Master Data'!C:C,'Master Data'!H:H)</f>
        <v>#N/A</v>
      </c>
      <c r="K232" s="73"/>
      <c r="L232" s="149"/>
      <c r="M232" s="73"/>
      <c r="N232" s="73"/>
      <c r="O232" s="73"/>
      <c r="P232" s="73"/>
      <c r="Q232" s="73"/>
      <c r="R232" s="109"/>
      <c r="S232" s="4"/>
      <c r="T232" s="4"/>
      <c r="U232" s="4"/>
      <c r="V232" s="4"/>
      <c r="W232" s="4"/>
      <c r="X232" s="4"/>
      <c r="Y232" s="4"/>
      <c r="Z232" s="4"/>
      <c r="AA232" s="4"/>
      <c r="AB232" s="4"/>
      <c r="AC232" s="4"/>
      <c r="AD232" s="4"/>
      <c r="AE232" s="4"/>
      <c r="AF232" s="4"/>
    </row>
    <row r="233">
      <c r="A233" s="73"/>
      <c r="B233" s="73"/>
      <c r="C233" s="147"/>
      <c r="D233" s="103" t="str">
        <f t="array" ref="D233">XLOOKUP(C233,'Master Data'!C:C,'Master Data'!D:D)</f>
        <v>#N/A</v>
      </c>
      <c r="E233" s="104"/>
      <c r="F233" s="105" t="str">
        <f t="array" ref="F233">XLOOKUP(C233,'Master Data'!C:C,'Master Data'!D:D)</f>
        <v>#N/A</v>
      </c>
      <c r="G233" s="90" t="str">
        <f t="array" ref="G233">XLOOKUP(C233,'Master Data'!C:C,'Master Data'!E:E)</f>
        <v>#N/A</v>
      </c>
      <c r="H233" s="88" t="str">
        <f t="array" ref="H233">XLOOKUP(C233,'Master Data'!C:C,'Master Data'!F:F)</f>
        <v>#N/A</v>
      </c>
      <c r="I233" s="72" t="str">
        <f t="array" ref="I233">XLOOKUP(C233,'Master Data'!C:C,'Master Data'!G:G)</f>
        <v>#N/A</v>
      </c>
      <c r="J233" s="72" t="str">
        <f t="array" ref="J233">XLOOKUP(C233,'Master Data'!C:C,'Master Data'!H:H)</f>
        <v>#N/A</v>
      </c>
      <c r="K233" s="73"/>
      <c r="L233" s="149"/>
      <c r="M233" s="73"/>
      <c r="N233" s="73"/>
      <c r="O233" s="73"/>
      <c r="P233" s="73"/>
      <c r="Q233" s="73"/>
      <c r="R233" s="109"/>
      <c r="S233" s="4"/>
      <c r="T233" s="4"/>
      <c r="U233" s="4"/>
      <c r="V233" s="4"/>
      <c r="W233" s="4"/>
      <c r="X233" s="4"/>
      <c r="Y233" s="4"/>
      <c r="Z233" s="4"/>
      <c r="AA233" s="4"/>
      <c r="AB233" s="4"/>
      <c r="AC233" s="4"/>
      <c r="AD233" s="4"/>
      <c r="AE233" s="4"/>
      <c r="AF233" s="4"/>
    </row>
    <row r="234">
      <c r="A234" s="73"/>
      <c r="B234" s="73"/>
      <c r="C234" s="147"/>
      <c r="D234" s="103" t="str">
        <f t="array" ref="D234">XLOOKUP(C234,'Master Data'!C:C,'Master Data'!D:D)</f>
        <v>#N/A</v>
      </c>
      <c r="E234" s="104"/>
      <c r="F234" s="105" t="str">
        <f t="array" ref="F234">XLOOKUP(C234,'Master Data'!C:C,'Master Data'!D:D)</f>
        <v>#N/A</v>
      </c>
      <c r="G234" s="90" t="str">
        <f t="array" ref="G234">XLOOKUP(C234,'Master Data'!C:C,'Master Data'!E:E)</f>
        <v>#N/A</v>
      </c>
      <c r="H234" s="88" t="str">
        <f t="array" ref="H234">XLOOKUP(C234,'Master Data'!C:C,'Master Data'!F:F)</f>
        <v>#N/A</v>
      </c>
      <c r="I234" s="72" t="str">
        <f t="array" ref="I234">XLOOKUP(C234,'Master Data'!C:C,'Master Data'!G:G)</f>
        <v>#N/A</v>
      </c>
      <c r="J234" s="72" t="str">
        <f t="array" ref="J234">XLOOKUP(C234,'Master Data'!C:C,'Master Data'!H:H)</f>
        <v>#N/A</v>
      </c>
      <c r="K234" s="73"/>
      <c r="L234" s="149"/>
      <c r="M234" s="73"/>
      <c r="N234" s="73"/>
      <c r="O234" s="73"/>
      <c r="P234" s="73"/>
      <c r="Q234" s="73"/>
      <c r="R234" s="109"/>
      <c r="S234" s="4"/>
      <c r="T234" s="4"/>
      <c r="U234" s="4"/>
      <c r="V234" s="4"/>
      <c r="W234" s="4"/>
      <c r="X234" s="4"/>
      <c r="Y234" s="4"/>
      <c r="Z234" s="4"/>
      <c r="AA234" s="4"/>
      <c r="AB234" s="4"/>
      <c r="AC234" s="4"/>
      <c r="AD234" s="4"/>
      <c r="AE234" s="4"/>
      <c r="AF234" s="4"/>
    </row>
    <row r="235">
      <c r="A235" s="73"/>
      <c r="B235" s="73"/>
      <c r="C235" s="147"/>
      <c r="D235" s="103" t="str">
        <f t="array" ref="D235">XLOOKUP(C235,'Master Data'!C:C,'Master Data'!D:D)</f>
        <v>#N/A</v>
      </c>
      <c r="E235" s="104"/>
      <c r="F235" s="105" t="str">
        <f t="array" ref="F235">XLOOKUP(C235,'Master Data'!C:C,'Master Data'!D:D)</f>
        <v>#N/A</v>
      </c>
      <c r="G235" s="90" t="str">
        <f t="array" ref="G235">XLOOKUP(C235,'Master Data'!C:C,'Master Data'!E:E)</f>
        <v>#N/A</v>
      </c>
      <c r="H235" s="88" t="str">
        <f t="array" ref="H235">XLOOKUP(C235,'Master Data'!C:C,'Master Data'!F:F)</f>
        <v>#N/A</v>
      </c>
      <c r="I235" s="72" t="str">
        <f t="array" ref="I235">XLOOKUP(C235,'Master Data'!C:C,'Master Data'!G:G)</f>
        <v>#N/A</v>
      </c>
      <c r="J235" s="72" t="str">
        <f t="array" ref="J235">XLOOKUP(C235,'Master Data'!C:C,'Master Data'!H:H)</f>
        <v>#N/A</v>
      </c>
      <c r="K235" s="73"/>
      <c r="L235" s="149"/>
      <c r="M235" s="73"/>
      <c r="N235" s="73"/>
      <c r="O235" s="73"/>
      <c r="P235" s="73"/>
      <c r="Q235" s="73"/>
      <c r="R235" s="109"/>
      <c r="S235" s="4"/>
      <c r="T235" s="4"/>
      <c r="U235" s="4"/>
      <c r="V235" s="4"/>
      <c r="W235" s="4"/>
      <c r="X235" s="4"/>
      <c r="Y235" s="4"/>
      <c r="Z235" s="4"/>
      <c r="AA235" s="4"/>
      <c r="AB235" s="4"/>
      <c r="AC235" s="4"/>
      <c r="AD235" s="4"/>
      <c r="AE235" s="4"/>
      <c r="AF235" s="4"/>
    </row>
    <row r="236">
      <c r="A236" s="73"/>
      <c r="B236" s="73"/>
      <c r="C236" s="147"/>
      <c r="D236" s="103" t="str">
        <f t="array" ref="D236">XLOOKUP(C236,'Master Data'!C:C,'Master Data'!D:D)</f>
        <v>#N/A</v>
      </c>
      <c r="E236" s="104"/>
      <c r="F236" s="105" t="str">
        <f t="array" ref="F236">XLOOKUP(C236,'Master Data'!C:C,'Master Data'!D:D)</f>
        <v>#N/A</v>
      </c>
      <c r="G236" s="90" t="str">
        <f t="array" ref="G236">XLOOKUP(C236,'Master Data'!C:C,'Master Data'!E:E)</f>
        <v>#N/A</v>
      </c>
      <c r="H236" s="88" t="str">
        <f t="array" ref="H236">XLOOKUP(C236,'Master Data'!C:C,'Master Data'!F:F)</f>
        <v>#N/A</v>
      </c>
      <c r="I236" s="72" t="str">
        <f t="array" ref="I236">XLOOKUP(C236,'Master Data'!C:C,'Master Data'!G:G)</f>
        <v>#N/A</v>
      </c>
      <c r="J236" s="72" t="str">
        <f t="array" ref="J236">XLOOKUP(C236,'Master Data'!C:C,'Master Data'!H:H)</f>
        <v>#N/A</v>
      </c>
      <c r="K236" s="73"/>
      <c r="L236" s="149"/>
      <c r="M236" s="73"/>
      <c r="N236" s="73"/>
      <c r="O236" s="73"/>
      <c r="P236" s="73"/>
      <c r="Q236" s="73"/>
      <c r="R236" s="109"/>
      <c r="S236" s="4"/>
      <c r="T236" s="4"/>
      <c r="U236" s="4"/>
      <c r="V236" s="4"/>
      <c r="W236" s="4"/>
      <c r="X236" s="4"/>
      <c r="Y236" s="4"/>
      <c r="Z236" s="4"/>
      <c r="AA236" s="4"/>
      <c r="AB236" s="4"/>
      <c r="AC236" s="4"/>
      <c r="AD236" s="4"/>
      <c r="AE236" s="4"/>
      <c r="AF236" s="4"/>
    </row>
    <row r="237">
      <c r="A237" s="73"/>
      <c r="B237" s="73"/>
      <c r="C237" s="147"/>
      <c r="D237" s="103" t="str">
        <f t="array" ref="D237">XLOOKUP(C237,'Master Data'!C:C,'Master Data'!D:D)</f>
        <v>#N/A</v>
      </c>
      <c r="E237" s="104"/>
      <c r="F237" s="105" t="str">
        <f t="array" ref="F237">XLOOKUP(C237,'Master Data'!C:C,'Master Data'!D:D)</f>
        <v>#N/A</v>
      </c>
      <c r="G237" s="90" t="str">
        <f t="array" ref="G237">XLOOKUP(C237,'Master Data'!C:C,'Master Data'!E:E)</f>
        <v>#N/A</v>
      </c>
      <c r="H237" s="88" t="str">
        <f t="array" ref="H237">XLOOKUP(C237,'Master Data'!C:C,'Master Data'!F:F)</f>
        <v>#N/A</v>
      </c>
      <c r="I237" s="72" t="str">
        <f t="array" ref="I237">XLOOKUP(C237,'Master Data'!C:C,'Master Data'!G:G)</f>
        <v>#N/A</v>
      </c>
      <c r="J237" s="72" t="str">
        <f t="array" ref="J237">XLOOKUP(C237,'Master Data'!C:C,'Master Data'!H:H)</f>
        <v>#N/A</v>
      </c>
      <c r="K237" s="73"/>
      <c r="L237" s="149"/>
      <c r="M237" s="73"/>
      <c r="N237" s="73"/>
      <c r="O237" s="73"/>
      <c r="P237" s="73"/>
      <c r="Q237" s="73"/>
      <c r="R237" s="109"/>
      <c r="S237" s="4"/>
      <c r="T237" s="4"/>
      <c r="U237" s="4"/>
      <c r="V237" s="4"/>
      <c r="W237" s="4"/>
      <c r="X237" s="4"/>
      <c r="Y237" s="4"/>
      <c r="Z237" s="4"/>
      <c r="AA237" s="4"/>
      <c r="AB237" s="4"/>
      <c r="AC237" s="4"/>
      <c r="AD237" s="4"/>
      <c r="AE237" s="4"/>
      <c r="AF237" s="4"/>
    </row>
    <row r="238">
      <c r="A238" s="73"/>
      <c r="B238" s="73"/>
      <c r="C238" s="147"/>
      <c r="D238" s="103" t="str">
        <f t="array" ref="D238">XLOOKUP(C238,'Master Data'!C:C,'Master Data'!D:D)</f>
        <v>#N/A</v>
      </c>
      <c r="E238" s="104"/>
      <c r="F238" s="105" t="str">
        <f t="array" ref="F238">XLOOKUP(C238,'Master Data'!C:C,'Master Data'!D:D)</f>
        <v>#N/A</v>
      </c>
      <c r="G238" s="90" t="str">
        <f t="array" ref="G238">XLOOKUP(C238,'Master Data'!C:C,'Master Data'!E:E)</f>
        <v>#N/A</v>
      </c>
      <c r="H238" s="88" t="str">
        <f t="array" ref="H238">XLOOKUP(C238,'Master Data'!C:C,'Master Data'!F:F)</f>
        <v>#N/A</v>
      </c>
      <c r="I238" s="72" t="str">
        <f t="array" ref="I238">XLOOKUP(C238,'Master Data'!C:C,'Master Data'!G:G)</f>
        <v>#N/A</v>
      </c>
      <c r="J238" s="72" t="str">
        <f t="array" ref="J238">XLOOKUP(C238,'Master Data'!C:C,'Master Data'!H:H)</f>
        <v>#N/A</v>
      </c>
      <c r="K238" s="73"/>
      <c r="L238" s="149"/>
      <c r="M238" s="73"/>
      <c r="N238" s="73"/>
      <c r="O238" s="73"/>
      <c r="P238" s="73"/>
      <c r="Q238" s="73"/>
      <c r="R238" s="109"/>
      <c r="S238" s="4"/>
      <c r="T238" s="4"/>
      <c r="U238" s="4"/>
      <c r="V238" s="4"/>
      <c r="W238" s="4"/>
      <c r="X238" s="4"/>
      <c r="Y238" s="4"/>
      <c r="Z238" s="4"/>
      <c r="AA238" s="4"/>
      <c r="AB238" s="4"/>
      <c r="AC238" s="4"/>
      <c r="AD238" s="4"/>
      <c r="AE238" s="4"/>
      <c r="AF238" s="4"/>
    </row>
    <row r="239">
      <c r="A239" s="73"/>
      <c r="B239" s="73"/>
      <c r="C239" s="147"/>
      <c r="D239" s="103" t="str">
        <f t="array" ref="D239">XLOOKUP(C239,'Master Data'!C:C,'Master Data'!D:D)</f>
        <v>#N/A</v>
      </c>
      <c r="E239" s="104"/>
      <c r="F239" s="105" t="str">
        <f t="array" ref="F239">XLOOKUP(C239,'Master Data'!C:C,'Master Data'!D:D)</f>
        <v>#N/A</v>
      </c>
      <c r="G239" s="90" t="str">
        <f t="array" ref="G239">XLOOKUP(C239,'Master Data'!C:C,'Master Data'!E:E)</f>
        <v>#N/A</v>
      </c>
      <c r="H239" s="88" t="str">
        <f t="array" ref="H239">XLOOKUP(C239,'Master Data'!C:C,'Master Data'!F:F)</f>
        <v>#N/A</v>
      </c>
      <c r="I239" s="72" t="str">
        <f t="array" ref="I239">XLOOKUP(C239,'Master Data'!C:C,'Master Data'!G:G)</f>
        <v>#N/A</v>
      </c>
      <c r="J239" s="72" t="str">
        <f t="array" ref="J239">XLOOKUP(C239,'Master Data'!C:C,'Master Data'!H:H)</f>
        <v>#N/A</v>
      </c>
      <c r="K239" s="73"/>
      <c r="L239" s="149"/>
      <c r="M239" s="73"/>
      <c r="N239" s="73"/>
      <c r="O239" s="73"/>
      <c r="P239" s="73"/>
      <c r="Q239" s="73"/>
      <c r="R239" s="109"/>
      <c r="S239" s="4"/>
      <c r="T239" s="4"/>
      <c r="U239" s="4"/>
      <c r="V239" s="4"/>
      <c r="W239" s="4"/>
      <c r="X239" s="4"/>
      <c r="Y239" s="4"/>
      <c r="Z239" s="4"/>
      <c r="AA239" s="4"/>
      <c r="AB239" s="4"/>
      <c r="AC239" s="4"/>
      <c r="AD239" s="4"/>
      <c r="AE239" s="4"/>
      <c r="AF239" s="4"/>
    </row>
    <row r="240">
      <c r="A240" s="73"/>
      <c r="B240" s="73"/>
      <c r="C240" s="147"/>
      <c r="D240" s="103" t="str">
        <f t="array" ref="D240">XLOOKUP(C240,'Master Data'!C:C,'Master Data'!D:D)</f>
        <v>#N/A</v>
      </c>
      <c r="E240" s="104"/>
      <c r="F240" s="105" t="str">
        <f t="array" ref="F240">XLOOKUP(C240,'Master Data'!C:C,'Master Data'!D:D)</f>
        <v>#N/A</v>
      </c>
      <c r="G240" s="90" t="str">
        <f t="array" ref="G240">XLOOKUP(C240,'Master Data'!C:C,'Master Data'!E:E)</f>
        <v>#N/A</v>
      </c>
      <c r="H240" s="88" t="str">
        <f t="array" ref="H240">XLOOKUP(C240,'Master Data'!C:C,'Master Data'!F:F)</f>
        <v>#N/A</v>
      </c>
      <c r="I240" s="72" t="str">
        <f t="array" ref="I240">XLOOKUP(C240,'Master Data'!C:C,'Master Data'!G:G)</f>
        <v>#N/A</v>
      </c>
      <c r="J240" s="72" t="str">
        <f t="array" ref="J240">XLOOKUP(C240,'Master Data'!C:C,'Master Data'!H:H)</f>
        <v>#N/A</v>
      </c>
      <c r="K240" s="73"/>
      <c r="L240" s="149"/>
      <c r="M240" s="73"/>
      <c r="N240" s="73"/>
      <c r="O240" s="73"/>
      <c r="P240" s="73"/>
      <c r="Q240" s="73"/>
      <c r="R240" s="109"/>
      <c r="S240" s="4"/>
      <c r="T240" s="4"/>
      <c r="U240" s="4"/>
      <c r="V240" s="4"/>
      <c r="W240" s="4"/>
      <c r="X240" s="4"/>
      <c r="Y240" s="4"/>
      <c r="Z240" s="4"/>
      <c r="AA240" s="4"/>
      <c r="AB240" s="4"/>
      <c r="AC240" s="4"/>
      <c r="AD240" s="4"/>
      <c r="AE240" s="4"/>
      <c r="AF240" s="4"/>
    </row>
    <row r="241">
      <c r="A241" s="73"/>
      <c r="B241" s="73"/>
      <c r="C241" s="147"/>
      <c r="D241" s="103" t="str">
        <f t="array" ref="D241">XLOOKUP(C241,'Master Data'!C:C,'Master Data'!D:D)</f>
        <v>#N/A</v>
      </c>
      <c r="E241" s="104"/>
      <c r="F241" s="105" t="str">
        <f t="array" ref="F241">XLOOKUP(C241,'Master Data'!C:C,'Master Data'!D:D)</f>
        <v>#N/A</v>
      </c>
      <c r="G241" s="90" t="str">
        <f t="array" ref="G241">XLOOKUP(C241,'Master Data'!C:C,'Master Data'!E:E)</f>
        <v>#N/A</v>
      </c>
      <c r="H241" s="88" t="str">
        <f t="array" ref="H241">XLOOKUP(C241,'Master Data'!C:C,'Master Data'!F:F)</f>
        <v>#N/A</v>
      </c>
      <c r="I241" s="72" t="str">
        <f t="array" ref="I241">XLOOKUP(C241,'Master Data'!C:C,'Master Data'!G:G)</f>
        <v>#N/A</v>
      </c>
      <c r="J241" s="72" t="str">
        <f t="array" ref="J241">XLOOKUP(C241,'Master Data'!C:C,'Master Data'!H:H)</f>
        <v>#N/A</v>
      </c>
      <c r="K241" s="73"/>
      <c r="L241" s="149"/>
      <c r="M241" s="73"/>
      <c r="N241" s="73"/>
      <c r="O241" s="73"/>
      <c r="P241" s="73"/>
      <c r="Q241" s="73"/>
      <c r="R241" s="109"/>
      <c r="S241" s="4"/>
      <c r="T241" s="4"/>
      <c r="U241" s="4"/>
      <c r="V241" s="4"/>
      <c r="W241" s="4"/>
      <c r="X241" s="4"/>
      <c r="Y241" s="4"/>
      <c r="Z241" s="4"/>
      <c r="AA241" s="4"/>
      <c r="AB241" s="4"/>
      <c r="AC241" s="4"/>
      <c r="AD241" s="4"/>
      <c r="AE241" s="4"/>
      <c r="AF241" s="4"/>
    </row>
    <row r="242">
      <c r="A242" s="73"/>
      <c r="B242" s="73"/>
      <c r="C242" s="147"/>
      <c r="D242" s="103" t="str">
        <f t="array" ref="D242">XLOOKUP(C242,'Master Data'!C:C,'Master Data'!D:D)</f>
        <v>#N/A</v>
      </c>
      <c r="E242" s="104"/>
      <c r="F242" s="105" t="str">
        <f t="array" ref="F242">XLOOKUP(C242,'Master Data'!C:C,'Master Data'!D:D)</f>
        <v>#N/A</v>
      </c>
      <c r="G242" s="90" t="str">
        <f t="array" ref="G242">XLOOKUP(C242,'Master Data'!C:C,'Master Data'!E:E)</f>
        <v>#N/A</v>
      </c>
      <c r="H242" s="88" t="str">
        <f t="array" ref="H242">XLOOKUP(C242,'Master Data'!C:C,'Master Data'!F:F)</f>
        <v>#N/A</v>
      </c>
      <c r="I242" s="72" t="str">
        <f t="array" ref="I242">XLOOKUP(C242,'Master Data'!C:C,'Master Data'!G:G)</f>
        <v>#N/A</v>
      </c>
      <c r="J242" s="72" t="str">
        <f t="array" ref="J242">XLOOKUP(C242,'Master Data'!C:C,'Master Data'!H:H)</f>
        <v>#N/A</v>
      </c>
      <c r="K242" s="73"/>
      <c r="L242" s="149"/>
      <c r="M242" s="73"/>
      <c r="N242" s="73"/>
      <c r="O242" s="73"/>
      <c r="P242" s="73"/>
      <c r="Q242" s="73"/>
      <c r="R242" s="109"/>
      <c r="S242" s="4"/>
      <c r="T242" s="4"/>
      <c r="U242" s="4"/>
      <c r="V242" s="4"/>
      <c r="W242" s="4"/>
      <c r="X242" s="4"/>
      <c r="Y242" s="4"/>
      <c r="Z242" s="4"/>
      <c r="AA242" s="4"/>
      <c r="AB242" s="4"/>
      <c r="AC242" s="4"/>
      <c r="AD242" s="4"/>
      <c r="AE242" s="4"/>
      <c r="AF242" s="4"/>
    </row>
    <row r="243">
      <c r="A243" s="73"/>
      <c r="B243" s="73"/>
      <c r="C243" s="147"/>
      <c r="D243" s="103" t="str">
        <f t="array" ref="D243">XLOOKUP(C243,'Master Data'!C:C,'Master Data'!D:D)</f>
        <v>#N/A</v>
      </c>
      <c r="E243" s="104"/>
      <c r="F243" s="105" t="str">
        <f t="array" ref="F243">XLOOKUP(C243,'Master Data'!C:C,'Master Data'!D:D)</f>
        <v>#N/A</v>
      </c>
      <c r="G243" s="90" t="str">
        <f t="array" ref="G243">XLOOKUP(C243,'Master Data'!C:C,'Master Data'!E:E)</f>
        <v>#N/A</v>
      </c>
      <c r="H243" s="88" t="str">
        <f t="array" ref="H243">XLOOKUP(C243,'Master Data'!C:C,'Master Data'!F:F)</f>
        <v>#N/A</v>
      </c>
      <c r="I243" s="72" t="str">
        <f t="array" ref="I243">XLOOKUP(C243,'Master Data'!C:C,'Master Data'!G:G)</f>
        <v>#N/A</v>
      </c>
      <c r="J243" s="72" t="str">
        <f t="array" ref="J243">XLOOKUP(C243,'Master Data'!C:C,'Master Data'!H:H)</f>
        <v>#N/A</v>
      </c>
      <c r="K243" s="73"/>
      <c r="L243" s="149"/>
      <c r="M243" s="73"/>
      <c r="N243" s="73"/>
      <c r="O243" s="73"/>
      <c r="P243" s="73"/>
      <c r="Q243" s="73"/>
      <c r="R243" s="109"/>
      <c r="S243" s="4"/>
      <c r="T243" s="4"/>
      <c r="U243" s="4"/>
      <c r="V243" s="4"/>
      <c r="W243" s="4"/>
      <c r="X243" s="4"/>
      <c r="Y243" s="4"/>
      <c r="Z243" s="4"/>
      <c r="AA243" s="4"/>
      <c r="AB243" s="4"/>
      <c r="AC243" s="4"/>
      <c r="AD243" s="4"/>
      <c r="AE243" s="4"/>
      <c r="AF243" s="4"/>
    </row>
    <row r="244">
      <c r="A244" s="73"/>
      <c r="B244" s="73"/>
      <c r="C244" s="147"/>
      <c r="D244" s="103" t="str">
        <f t="array" ref="D244">XLOOKUP(C244,'Master Data'!C:C,'Master Data'!D:D)</f>
        <v>#N/A</v>
      </c>
      <c r="E244" s="104"/>
      <c r="F244" s="105" t="str">
        <f t="array" ref="F244">XLOOKUP(C244,'Master Data'!C:C,'Master Data'!D:D)</f>
        <v>#N/A</v>
      </c>
      <c r="G244" s="90" t="str">
        <f t="array" ref="G244">XLOOKUP(C244,'Master Data'!C:C,'Master Data'!E:E)</f>
        <v>#N/A</v>
      </c>
      <c r="H244" s="88" t="str">
        <f t="array" ref="H244">XLOOKUP(C244,'Master Data'!C:C,'Master Data'!F:F)</f>
        <v>#N/A</v>
      </c>
      <c r="I244" s="72" t="str">
        <f t="array" ref="I244">XLOOKUP(C244,'Master Data'!C:C,'Master Data'!G:G)</f>
        <v>#N/A</v>
      </c>
      <c r="J244" s="72" t="str">
        <f t="array" ref="J244">XLOOKUP(C244,'Master Data'!C:C,'Master Data'!H:H)</f>
        <v>#N/A</v>
      </c>
      <c r="K244" s="73"/>
      <c r="L244" s="149"/>
      <c r="M244" s="73"/>
      <c r="N244" s="73"/>
      <c r="O244" s="73"/>
      <c r="P244" s="73"/>
      <c r="Q244" s="73"/>
      <c r="R244" s="109"/>
      <c r="S244" s="4"/>
      <c r="T244" s="4"/>
      <c r="U244" s="4"/>
      <c r="V244" s="4"/>
      <c r="W244" s="4"/>
      <c r="X244" s="4"/>
      <c r="Y244" s="4"/>
      <c r="Z244" s="4"/>
      <c r="AA244" s="4"/>
      <c r="AB244" s="4"/>
      <c r="AC244" s="4"/>
      <c r="AD244" s="4"/>
      <c r="AE244" s="4"/>
      <c r="AF244" s="4"/>
    </row>
    <row r="245">
      <c r="A245" s="73"/>
      <c r="B245" s="73"/>
      <c r="C245" s="147"/>
      <c r="D245" s="103" t="str">
        <f t="array" ref="D245">XLOOKUP(C245,'Master Data'!C:C,'Master Data'!D:D)</f>
        <v>#N/A</v>
      </c>
      <c r="E245" s="104"/>
      <c r="F245" s="105" t="str">
        <f t="array" ref="F245">XLOOKUP(C245,'Master Data'!C:C,'Master Data'!D:D)</f>
        <v>#N/A</v>
      </c>
      <c r="G245" s="90" t="str">
        <f t="array" ref="G245">XLOOKUP(C245,'Master Data'!C:C,'Master Data'!E:E)</f>
        <v>#N/A</v>
      </c>
      <c r="H245" s="88" t="str">
        <f t="array" ref="H245">XLOOKUP(C245,'Master Data'!C:C,'Master Data'!F:F)</f>
        <v>#N/A</v>
      </c>
      <c r="I245" s="72" t="str">
        <f t="array" ref="I245">XLOOKUP(C245,'Master Data'!C:C,'Master Data'!G:G)</f>
        <v>#N/A</v>
      </c>
      <c r="J245" s="72" t="str">
        <f t="array" ref="J245">XLOOKUP(C245,'Master Data'!C:C,'Master Data'!H:H)</f>
        <v>#N/A</v>
      </c>
      <c r="K245" s="73"/>
      <c r="L245" s="149"/>
      <c r="M245" s="73"/>
      <c r="N245" s="73"/>
      <c r="O245" s="73"/>
      <c r="P245" s="73"/>
      <c r="Q245" s="73"/>
      <c r="R245" s="109"/>
      <c r="S245" s="4"/>
      <c r="T245" s="4"/>
      <c r="U245" s="4"/>
      <c r="V245" s="4"/>
      <c r="W245" s="4"/>
      <c r="X245" s="4"/>
      <c r="Y245" s="4"/>
      <c r="Z245" s="4"/>
      <c r="AA245" s="4"/>
      <c r="AB245" s="4"/>
      <c r="AC245" s="4"/>
      <c r="AD245" s="4"/>
      <c r="AE245" s="4"/>
      <c r="AF245" s="4"/>
    </row>
    <row r="246">
      <c r="A246" s="73"/>
      <c r="B246" s="73"/>
      <c r="C246" s="147"/>
      <c r="D246" s="103" t="str">
        <f t="array" ref="D246">XLOOKUP(C246,'Master Data'!C:C,'Master Data'!D:D)</f>
        <v>#N/A</v>
      </c>
      <c r="E246" s="104"/>
      <c r="F246" s="105" t="str">
        <f t="array" ref="F246">XLOOKUP(C246,'Master Data'!C:C,'Master Data'!D:D)</f>
        <v>#N/A</v>
      </c>
      <c r="G246" s="90" t="str">
        <f t="array" ref="G246">XLOOKUP(C246,'Master Data'!C:C,'Master Data'!E:E)</f>
        <v>#N/A</v>
      </c>
      <c r="H246" s="88" t="str">
        <f t="array" ref="H246">XLOOKUP(C246,'Master Data'!C:C,'Master Data'!F:F)</f>
        <v>#N/A</v>
      </c>
      <c r="I246" s="72" t="str">
        <f t="array" ref="I246">XLOOKUP(C246,'Master Data'!C:C,'Master Data'!G:G)</f>
        <v>#N/A</v>
      </c>
      <c r="J246" s="72" t="str">
        <f t="array" ref="J246">XLOOKUP(C246,'Master Data'!C:C,'Master Data'!H:H)</f>
        <v>#N/A</v>
      </c>
      <c r="K246" s="73"/>
      <c r="L246" s="149"/>
      <c r="M246" s="73"/>
      <c r="N246" s="73"/>
      <c r="O246" s="73"/>
      <c r="P246" s="73"/>
      <c r="Q246" s="73"/>
      <c r="R246" s="109"/>
      <c r="S246" s="4"/>
      <c r="T246" s="4"/>
      <c r="U246" s="4"/>
      <c r="V246" s="4"/>
      <c r="W246" s="4"/>
      <c r="X246" s="4"/>
      <c r="Y246" s="4"/>
      <c r="Z246" s="4"/>
      <c r="AA246" s="4"/>
      <c r="AB246" s="4"/>
      <c r="AC246" s="4"/>
      <c r="AD246" s="4"/>
      <c r="AE246" s="4"/>
      <c r="AF246" s="4"/>
    </row>
    <row r="247">
      <c r="A247" s="73"/>
      <c r="B247" s="73"/>
      <c r="C247" s="147"/>
      <c r="D247" s="103" t="str">
        <f t="array" ref="D247">XLOOKUP(C247,'Master Data'!C:C,'Master Data'!D:D)</f>
        <v>#N/A</v>
      </c>
      <c r="E247" s="104"/>
      <c r="F247" s="105" t="str">
        <f t="array" ref="F247">XLOOKUP(C247,'Master Data'!C:C,'Master Data'!D:D)</f>
        <v>#N/A</v>
      </c>
      <c r="G247" s="90" t="str">
        <f t="array" ref="G247">XLOOKUP(C247,'Master Data'!C:C,'Master Data'!E:E)</f>
        <v>#N/A</v>
      </c>
      <c r="H247" s="88" t="str">
        <f t="array" ref="H247">XLOOKUP(C247,'Master Data'!C:C,'Master Data'!F:F)</f>
        <v>#N/A</v>
      </c>
      <c r="I247" s="72" t="str">
        <f t="array" ref="I247">XLOOKUP(C247,'Master Data'!C:C,'Master Data'!G:G)</f>
        <v>#N/A</v>
      </c>
      <c r="J247" s="72" t="str">
        <f t="array" ref="J247">XLOOKUP(C247,'Master Data'!C:C,'Master Data'!H:H)</f>
        <v>#N/A</v>
      </c>
      <c r="K247" s="73"/>
      <c r="L247" s="149"/>
      <c r="M247" s="73"/>
      <c r="N247" s="73"/>
      <c r="O247" s="73"/>
      <c r="P247" s="73"/>
      <c r="Q247" s="73"/>
      <c r="R247" s="109"/>
      <c r="S247" s="4"/>
      <c r="T247" s="4"/>
      <c r="U247" s="4"/>
      <c r="V247" s="4"/>
      <c r="W247" s="4"/>
      <c r="X247" s="4"/>
      <c r="Y247" s="4"/>
      <c r="Z247" s="4"/>
      <c r="AA247" s="4"/>
      <c r="AB247" s="4"/>
      <c r="AC247" s="4"/>
      <c r="AD247" s="4"/>
      <c r="AE247" s="4"/>
      <c r="AF247" s="4"/>
    </row>
    <row r="248">
      <c r="A248" s="73"/>
      <c r="B248" s="73"/>
      <c r="C248" s="147"/>
      <c r="D248" s="103" t="str">
        <f t="array" ref="D248">XLOOKUP(C248,'Master Data'!C:C,'Master Data'!D:D)</f>
        <v>#N/A</v>
      </c>
      <c r="E248" s="104"/>
      <c r="F248" s="105" t="str">
        <f t="array" ref="F248">XLOOKUP(C248,'Master Data'!C:C,'Master Data'!D:D)</f>
        <v>#N/A</v>
      </c>
      <c r="G248" s="90" t="str">
        <f t="array" ref="G248">XLOOKUP(C248,'Master Data'!C:C,'Master Data'!E:E)</f>
        <v>#N/A</v>
      </c>
      <c r="H248" s="88" t="str">
        <f t="array" ref="H248">XLOOKUP(C248,'Master Data'!C:C,'Master Data'!F:F)</f>
        <v>#N/A</v>
      </c>
      <c r="I248" s="72" t="str">
        <f t="array" ref="I248">XLOOKUP(C248,'Master Data'!C:C,'Master Data'!G:G)</f>
        <v>#N/A</v>
      </c>
      <c r="J248" s="72" t="str">
        <f t="array" ref="J248">XLOOKUP(C248,'Master Data'!C:C,'Master Data'!H:H)</f>
        <v>#N/A</v>
      </c>
      <c r="K248" s="73"/>
      <c r="L248" s="149"/>
      <c r="M248" s="73"/>
      <c r="N248" s="73"/>
      <c r="O248" s="73"/>
      <c r="P248" s="73"/>
      <c r="Q248" s="73"/>
      <c r="R248" s="109"/>
      <c r="S248" s="4"/>
      <c r="T248" s="4"/>
      <c r="U248" s="4"/>
      <c r="V248" s="4"/>
      <c r="W248" s="4"/>
      <c r="X248" s="4"/>
      <c r="Y248" s="4"/>
      <c r="Z248" s="4"/>
      <c r="AA248" s="4"/>
      <c r="AB248" s="4"/>
      <c r="AC248" s="4"/>
      <c r="AD248" s="4"/>
      <c r="AE248" s="4"/>
      <c r="AF248" s="4"/>
    </row>
    <row r="249">
      <c r="A249" s="73"/>
      <c r="B249" s="73"/>
      <c r="C249" s="147"/>
      <c r="D249" s="103" t="str">
        <f t="array" ref="D249">XLOOKUP(C249,'Master Data'!C:C,'Master Data'!D:D)</f>
        <v>#N/A</v>
      </c>
      <c r="E249" s="104"/>
      <c r="F249" s="105" t="str">
        <f t="array" ref="F249">XLOOKUP(C249,'Master Data'!C:C,'Master Data'!D:D)</f>
        <v>#N/A</v>
      </c>
      <c r="G249" s="90" t="str">
        <f t="array" ref="G249">XLOOKUP(C249,'Master Data'!C:C,'Master Data'!E:E)</f>
        <v>#N/A</v>
      </c>
      <c r="H249" s="88" t="str">
        <f t="array" ref="H249">XLOOKUP(C249,'Master Data'!C:C,'Master Data'!F:F)</f>
        <v>#N/A</v>
      </c>
      <c r="I249" s="72" t="str">
        <f t="array" ref="I249">XLOOKUP(C249,'Master Data'!C:C,'Master Data'!G:G)</f>
        <v>#N/A</v>
      </c>
      <c r="J249" s="72" t="str">
        <f t="array" ref="J249">XLOOKUP(C249,'Master Data'!C:C,'Master Data'!H:H)</f>
        <v>#N/A</v>
      </c>
      <c r="K249" s="73"/>
      <c r="L249" s="149"/>
      <c r="M249" s="73"/>
      <c r="N249" s="73"/>
      <c r="O249" s="73"/>
      <c r="P249" s="73"/>
      <c r="Q249" s="73"/>
      <c r="R249" s="109"/>
      <c r="S249" s="4"/>
      <c r="T249" s="4"/>
      <c r="U249" s="4"/>
      <c r="V249" s="4"/>
      <c r="W249" s="4"/>
      <c r="X249" s="4"/>
      <c r="Y249" s="4"/>
      <c r="Z249" s="4"/>
      <c r="AA249" s="4"/>
      <c r="AB249" s="4"/>
      <c r="AC249" s="4"/>
      <c r="AD249" s="4"/>
      <c r="AE249" s="4"/>
      <c r="AF249" s="4"/>
    </row>
    <row r="250">
      <c r="A250" s="73"/>
      <c r="B250" s="73"/>
      <c r="C250" s="147"/>
      <c r="D250" s="103" t="str">
        <f t="array" ref="D250">XLOOKUP(C250,'Master Data'!C:C,'Master Data'!D:D)</f>
        <v>#N/A</v>
      </c>
      <c r="E250" s="104"/>
      <c r="F250" s="105" t="str">
        <f t="array" ref="F250">XLOOKUP(C250,'Master Data'!C:C,'Master Data'!D:D)</f>
        <v>#N/A</v>
      </c>
      <c r="G250" s="90" t="str">
        <f t="array" ref="G250">XLOOKUP(C250,'Master Data'!C:C,'Master Data'!E:E)</f>
        <v>#N/A</v>
      </c>
      <c r="H250" s="88" t="str">
        <f t="array" ref="H250">XLOOKUP(C250,'Master Data'!C:C,'Master Data'!F:F)</f>
        <v>#N/A</v>
      </c>
      <c r="I250" s="72" t="str">
        <f t="array" ref="I250">XLOOKUP(C250,'Master Data'!C:C,'Master Data'!G:G)</f>
        <v>#N/A</v>
      </c>
      <c r="J250" s="72" t="str">
        <f t="array" ref="J250">XLOOKUP(C250,'Master Data'!C:C,'Master Data'!H:H)</f>
        <v>#N/A</v>
      </c>
      <c r="K250" s="73"/>
      <c r="L250" s="149"/>
      <c r="M250" s="73"/>
      <c r="N250" s="73"/>
      <c r="O250" s="73"/>
      <c r="P250" s="73"/>
      <c r="Q250" s="73"/>
      <c r="R250" s="109"/>
      <c r="S250" s="4"/>
      <c r="T250" s="4"/>
      <c r="U250" s="4"/>
      <c r="V250" s="4"/>
      <c r="W250" s="4"/>
      <c r="X250" s="4"/>
      <c r="Y250" s="4"/>
      <c r="Z250" s="4"/>
      <c r="AA250" s="4"/>
      <c r="AB250" s="4"/>
      <c r="AC250" s="4"/>
      <c r="AD250" s="4"/>
      <c r="AE250" s="4"/>
      <c r="AF250" s="4"/>
    </row>
    <row r="251">
      <c r="A251" s="73"/>
      <c r="B251" s="73"/>
      <c r="C251" s="147"/>
      <c r="D251" s="103" t="str">
        <f t="array" ref="D251">XLOOKUP(C251,'Master Data'!C:C,'Master Data'!D:D)</f>
        <v>#N/A</v>
      </c>
      <c r="E251" s="104"/>
      <c r="F251" s="105" t="str">
        <f t="array" ref="F251">XLOOKUP(C251,'Master Data'!C:C,'Master Data'!D:D)</f>
        <v>#N/A</v>
      </c>
      <c r="G251" s="90" t="str">
        <f t="array" ref="G251">XLOOKUP(C251,'Master Data'!C:C,'Master Data'!E:E)</f>
        <v>#N/A</v>
      </c>
      <c r="H251" s="88" t="str">
        <f t="array" ref="H251">XLOOKUP(C251,'Master Data'!C:C,'Master Data'!F:F)</f>
        <v>#N/A</v>
      </c>
      <c r="I251" s="72" t="str">
        <f t="array" ref="I251">XLOOKUP(C251,'Master Data'!C:C,'Master Data'!G:G)</f>
        <v>#N/A</v>
      </c>
      <c r="J251" s="72" t="str">
        <f t="array" ref="J251">XLOOKUP(C251,'Master Data'!C:C,'Master Data'!H:H)</f>
        <v>#N/A</v>
      </c>
      <c r="K251" s="73"/>
      <c r="L251" s="149"/>
      <c r="M251" s="73"/>
      <c r="N251" s="73"/>
      <c r="O251" s="73"/>
      <c r="P251" s="73"/>
      <c r="Q251" s="73"/>
      <c r="R251" s="109"/>
      <c r="S251" s="4"/>
      <c r="T251" s="4"/>
      <c r="U251" s="4"/>
      <c r="V251" s="4"/>
      <c r="W251" s="4"/>
      <c r="X251" s="4"/>
      <c r="Y251" s="4"/>
      <c r="Z251" s="4"/>
      <c r="AA251" s="4"/>
      <c r="AB251" s="4"/>
      <c r="AC251" s="4"/>
      <c r="AD251" s="4"/>
      <c r="AE251" s="4"/>
      <c r="AF251" s="4"/>
    </row>
    <row r="252">
      <c r="A252" s="73"/>
      <c r="B252" s="73"/>
      <c r="C252" s="147"/>
      <c r="D252" s="103" t="str">
        <f t="array" ref="D252">XLOOKUP(C252,'Master Data'!C:C,'Master Data'!D:D)</f>
        <v>#N/A</v>
      </c>
      <c r="E252" s="104"/>
      <c r="F252" s="105" t="str">
        <f t="array" ref="F252">XLOOKUP(C252,'Master Data'!C:C,'Master Data'!D:D)</f>
        <v>#N/A</v>
      </c>
      <c r="G252" s="90" t="str">
        <f t="array" ref="G252">XLOOKUP(C252,'Master Data'!C:C,'Master Data'!E:E)</f>
        <v>#N/A</v>
      </c>
      <c r="H252" s="88" t="str">
        <f t="array" ref="H252">XLOOKUP(C252,'Master Data'!C:C,'Master Data'!F:F)</f>
        <v>#N/A</v>
      </c>
      <c r="I252" s="72" t="str">
        <f t="array" ref="I252">XLOOKUP(C252,'Master Data'!C:C,'Master Data'!G:G)</f>
        <v>#N/A</v>
      </c>
      <c r="J252" s="72" t="str">
        <f t="array" ref="J252">XLOOKUP(C252,'Master Data'!C:C,'Master Data'!H:H)</f>
        <v>#N/A</v>
      </c>
      <c r="K252" s="73"/>
      <c r="L252" s="149"/>
      <c r="M252" s="73"/>
      <c r="N252" s="73"/>
      <c r="O252" s="73"/>
      <c r="P252" s="73"/>
      <c r="Q252" s="73"/>
      <c r="R252" s="109"/>
      <c r="S252" s="4"/>
      <c r="T252" s="4"/>
      <c r="U252" s="4"/>
      <c r="V252" s="4"/>
      <c r="W252" s="4"/>
      <c r="X252" s="4"/>
      <c r="Y252" s="4"/>
      <c r="Z252" s="4"/>
      <c r="AA252" s="4"/>
      <c r="AB252" s="4"/>
      <c r="AC252" s="4"/>
      <c r="AD252" s="4"/>
      <c r="AE252" s="4"/>
      <c r="AF252" s="4"/>
    </row>
    <row r="253">
      <c r="A253" s="73"/>
      <c r="B253" s="73"/>
      <c r="C253" s="147"/>
      <c r="D253" s="103" t="str">
        <f t="array" ref="D253">XLOOKUP(C253,'Master Data'!C:C,'Master Data'!D:D)</f>
        <v>#N/A</v>
      </c>
      <c r="E253" s="104"/>
      <c r="F253" s="105" t="str">
        <f t="array" ref="F253">XLOOKUP(C253,'Master Data'!C:C,'Master Data'!D:D)</f>
        <v>#N/A</v>
      </c>
      <c r="G253" s="90" t="str">
        <f t="array" ref="G253">XLOOKUP(C253,'Master Data'!C:C,'Master Data'!E:E)</f>
        <v>#N/A</v>
      </c>
      <c r="H253" s="88" t="str">
        <f t="array" ref="H253">XLOOKUP(C253,'Master Data'!C:C,'Master Data'!F:F)</f>
        <v>#N/A</v>
      </c>
      <c r="I253" s="72" t="str">
        <f t="array" ref="I253">XLOOKUP(C253,'Master Data'!C:C,'Master Data'!G:G)</f>
        <v>#N/A</v>
      </c>
      <c r="J253" s="72" t="str">
        <f t="array" ref="J253">XLOOKUP(C253,'Master Data'!C:C,'Master Data'!H:H)</f>
        <v>#N/A</v>
      </c>
      <c r="K253" s="73"/>
      <c r="L253" s="149"/>
      <c r="M253" s="73"/>
      <c r="N253" s="73"/>
      <c r="O253" s="73"/>
      <c r="P253" s="73"/>
      <c r="Q253" s="73"/>
      <c r="R253" s="109"/>
      <c r="S253" s="4"/>
      <c r="T253" s="4"/>
      <c r="U253" s="4"/>
      <c r="V253" s="4"/>
      <c r="W253" s="4"/>
      <c r="X253" s="4"/>
      <c r="Y253" s="4"/>
      <c r="Z253" s="4"/>
      <c r="AA253" s="4"/>
      <c r="AB253" s="4"/>
      <c r="AC253" s="4"/>
      <c r="AD253" s="4"/>
      <c r="AE253" s="4"/>
      <c r="AF253" s="4"/>
    </row>
    <row r="254">
      <c r="A254" s="73"/>
      <c r="B254" s="73"/>
      <c r="C254" s="147"/>
      <c r="D254" s="103" t="str">
        <f t="array" ref="D254">XLOOKUP(C254,'Master Data'!C:C,'Master Data'!D:D)</f>
        <v>#N/A</v>
      </c>
      <c r="E254" s="104"/>
      <c r="F254" s="105" t="str">
        <f t="array" ref="F254">XLOOKUP(C254,'Master Data'!C:C,'Master Data'!D:D)</f>
        <v>#N/A</v>
      </c>
      <c r="G254" s="90" t="str">
        <f t="array" ref="G254">XLOOKUP(C254,'Master Data'!C:C,'Master Data'!E:E)</f>
        <v>#N/A</v>
      </c>
      <c r="H254" s="88" t="str">
        <f t="array" ref="H254">XLOOKUP(C254,'Master Data'!C:C,'Master Data'!F:F)</f>
        <v>#N/A</v>
      </c>
      <c r="I254" s="72" t="str">
        <f t="array" ref="I254">XLOOKUP(C254,'Master Data'!C:C,'Master Data'!G:G)</f>
        <v>#N/A</v>
      </c>
      <c r="J254" s="72" t="str">
        <f t="array" ref="J254">XLOOKUP(C254,'Master Data'!C:C,'Master Data'!H:H)</f>
        <v>#N/A</v>
      </c>
      <c r="K254" s="73"/>
      <c r="L254" s="149"/>
      <c r="M254" s="73"/>
      <c r="N254" s="73"/>
      <c r="O254" s="73"/>
      <c r="P254" s="73"/>
      <c r="Q254" s="73"/>
      <c r="R254" s="109"/>
      <c r="S254" s="4"/>
      <c r="T254" s="4"/>
      <c r="U254" s="4"/>
      <c r="V254" s="4"/>
      <c r="W254" s="4"/>
      <c r="X254" s="4"/>
      <c r="Y254" s="4"/>
      <c r="Z254" s="4"/>
      <c r="AA254" s="4"/>
      <c r="AB254" s="4"/>
      <c r="AC254" s="4"/>
      <c r="AD254" s="4"/>
      <c r="AE254" s="4"/>
      <c r="AF254" s="4"/>
    </row>
    <row r="255">
      <c r="A255" s="73"/>
      <c r="B255" s="73"/>
      <c r="C255" s="147"/>
      <c r="D255" s="103" t="str">
        <f t="array" ref="D255">XLOOKUP(C255,'Master Data'!C:C,'Master Data'!D:D)</f>
        <v>#N/A</v>
      </c>
      <c r="E255" s="104"/>
      <c r="F255" s="105" t="str">
        <f t="array" ref="F255">XLOOKUP(C255,'Master Data'!C:C,'Master Data'!D:D)</f>
        <v>#N/A</v>
      </c>
      <c r="G255" s="90" t="str">
        <f t="array" ref="G255">XLOOKUP(C255,'Master Data'!C:C,'Master Data'!E:E)</f>
        <v>#N/A</v>
      </c>
      <c r="H255" s="88" t="str">
        <f t="array" ref="H255">XLOOKUP(C255,'Master Data'!C:C,'Master Data'!F:F)</f>
        <v>#N/A</v>
      </c>
      <c r="I255" s="72" t="str">
        <f t="array" ref="I255">XLOOKUP(C255,'Master Data'!C:C,'Master Data'!G:G)</f>
        <v>#N/A</v>
      </c>
      <c r="J255" s="72" t="str">
        <f t="array" ref="J255">XLOOKUP(C255,'Master Data'!C:C,'Master Data'!H:H)</f>
        <v>#N/A</v>
      </c>
      <c r="K255" s="73"/>
      <c r="L255" s="149"/>
      <c r="M255" s="73"/>
      <c r="N255" s="73"/>
      <c r="O255" s="73"/>
      <c r="P255" s="73"/>
      <c r="Q255" s="73"/>
      <c r="R255" s="109"/>
      <c r="S255" s="4"/>
      <c r="T255" s="4"/>
      <c r="U255" s="4"/>
      <c r="V255" s="4"/>
      <c r="W255" s="4"/>
      <c r="X255" s="4"/>
      <c r="Y255" s="4"/>
      <c r="Z255" s="4"/>
      <c r="AA255" s="4"/>
      <c r="AB255" s="4"/>
      <c r="AC255" s="4"/>
      <c r="AD255" s="4"/>
      <c r="AE255" s="4"/>
      <c r="AF255" s="4"/>
    </row>
    <row r="256">
      <c r="A256" s="73"/>
      <c r="B256" s="73"/>
      <c r="C256" s="147"/>
      <c r="D256" s="103" t="str">
        <f t="array" ref="D256">XLOOKUP(C256,'Master Data'!C:C,'Master Data'!D:D)</f>
        <v>#N/A</v>
      </c>
      <c r="E256" s="104"/>
      <c r="F256" s="105" t="str">
        <f t="array" ref="F256">XLOOKUP(C256,'Master Data'!C:C,'Master Data'!D:D)</f>
        <v>#N/A</v>
      </c>
      <c r="G256" s="90" t="str">
        <f t="array" ref="G256">XLOOKUP(C256,'Master Data'!C:C,'Master Data'!E:E)</f>
        <v>#N/A</v>
      </c>
      <c r="H256" s="88" t="str">
        <f t="array" ref="H256">XLOOKUP(C256,'Master Data'!C:C,'Master Data'!F:F)</f>
        <v>#N/A</v>
      </c>
      <c r="I256" s="72" t="str">
        <f t="array" ref="I256">XLOOKUP(C256,'Master Data'!C:C,'Master Data'!G:G)</f>
        <v>#N/A</v>
      </c>
      <c r="J256" s="72" t="str">
        <f t="array" ref="J256">XLOOKUP(C256,'Master Data'!C:C,'Master Data'!H:H)</f>
        <v>#N/A</v>
      </c>
      <c r="K256" s="73"/>
      <c r="L256" s="149"/>
      <c r="M256" s="73"/>
      <c r="N256" s="73"/>
      <c r="O256" s="73"/>
      <c r="P256" s="73"/>
      <c r="Q256" s="73"/>
      <c r="R256" s="109"/>
      <c r="S256" s="4"/>
      <c r="T256" s="4"/>
      <c r="U256" s="4"/>
      <c r="V256" s="4"/>
      <c r="W256" s="4"/>
      <c r="X256" s="4"/>
      <c r="Y256" s="4"/>
      <c r="Z256" s="4"/>
      <c r="AA256" s="4"/>
      <c r="AB256" s="4"/>
      <c r="AC256" s="4"/>
      <c r="AD256" s="4"/>
      <c r="AE256" s="4"/>
      <c r="AF256" s="4"/>
    </row>
    <row r="257">
      <c r="A257" s="73"/>
      <c r="B257" s="73"/>
      <c r="C257" s="147"/>
      <c r="D257" s="103" t="str">
        <f t="array" ref="D257">XLOOKUP(C257,'Master Data'!C:C,'Master Data'!D:D)</f>
        <v>#N/A</v>
      </c>
      <c r="E257" s="104"/>
      <c r="F257" s="105" t="str">
        <f t="array" ref="F257">XLOOKUP(C257,'Master Data'!C:C,'Master Data'!D:D)</f>
        <v>#N/A</v>
      </c>
      <c r="G257" s="90" t="str">
        <f t="array" ref="G257">XLOOKUP(C257,'Master Data'!C:C,'Master Data'!E:E)</f>
        <v>#N/A</v>
      </c>
      <c r="H257" s="88" t="str">
        <f t="array" ref="H257">XLOOKUP(C257,'Master Data'!C:C,'Master Data'!F:F)</f>
        <v>#N/A</v>
      </c>
      <c r="I257" s="72" t="str">
        <f t="array" ref="I257">XLOOKUP(C257,'Master Data'!C:C,'Master Data'!G:G)</f>
        <v>#N/A</v>
      </c>
      <c r="J257" s="72" t="str">
        <f t="array" ref="J257">XLOOKUP(C257,'Master Data'!C:C,'Master Data'!H:H)</f>
        <v>#N/A</v>
      </c>
      <c r="K257" s="73"/>
      <c r="L257" s="149"/>
      <c r="M257" s="73"/>
      <c r="N257" s="73"/>
      <c r="O257" s="73"/>
      <c r="P257" s="73"/>
      <c r="Q257" s="73"/>
      <c r="R257" s="109"/>
      <c r="S257" s="4"/>
      <c r="T257" s="4"/>
      <c r="U257" s="4"/>
      <c r="V257" s="4"/>
      <c r="W257" s="4"/>
      <c r="X257" s="4"/>
      <c r="Y257" s="4"/>
      <c r="Z257" s="4"/>
      <c r="AA257" s="4"/>
      <c r="AB257" s="4"/>
      <c r="AC257" s="4"/>
      <c r="AD257" s="4"/>
      <c r="AE257" s="4"/>
      <c r="AF257" s="4"/>
    </row>
    <row r="258">
      <c r="A258" s="73"/>
      <c r="B258" s="73"/>
      <c r="C258" s="147"/>
      <c r="D258" s="103" t="str">
        <f t="array" ref="D258">XLOOKUP(C258,'Master Data'!C:C,'Master Data'!D:D)</f>
        <v>#N/A</v>
      </c>
      <c r="E258" s="104"/>
      <c r="F258" s="105" t="str">
        <f t="array" ref="F258">XLOOKUP(C258,'Master Data'!C:C,'Master Data'!D:D)</f>
        <v>#N/A</v>
      </c>
      <c r="G258" s="90" t="str">
        <f t="array" ref="G258">XLOOKUP(C258,'Master Data'!C:C,'Master Data'!E:E)</f>
        <v>#N/A</v>
      </c>
      <c r="H258" s="88" t="str">
        <f t="array" ref="H258">XLOOKUP(C258,'Master Data'!C:C,'Master Data'!F:F)</f>
        <v>#N/A</v>
      </c>
      <c r="I258" s="72" t="str">
        <f t="array" ref="I258">XLOOKUP(C258,'Master Data'!C:C,'Master Data'!G:G)</f>
        <v>#N/A</v>
      </c>
      <c r="J258" s="72" t="str">
        <f t="array" ref="J258">XLOOKUP(C258,'Master Data'!C:C,'Master Data'!H:H)</f>
        <v>#N/A</v>
      </c>
      <c r="K258" s="73"/>
      <c r="L258" s="149"/>
      <c r="M258" s="73"/>
      <c r="N258" s="73"/>
      <c r="O258" s="73"/>
      <c r="P258" s="73"/>
      <c r="Q258" s="73"/>
      <c r="R258" s="109"/>
      <c r="S258" s="4"/>
      <c r="T258" s="4"/>
      <c r="U258" s="4"/>
      <c r="V258" s="4"/>
      <c r="W258" s="4"/>
      <c r="X258" s="4"/>
      <c r="Y258" s="4"/>
      <c r="Z258" s="4"/>
      <c r="AA258" s="4"/>
      <c r="AB258" s="4"/>
      <c r="AC258" s="4"/>
      <c r="AD258" s="4"/>
      <c r="AE258" s="4"/>
      <c r="AF258" s="4"/>
    </row>
    <row r="259">
      <c r="A259" s="73"/>
      <c r="B259" s="73"/>
      <c r="C259" s="147"/>
      <c r="D259" s="103" t="str">
        <f t="array" ref="D259">XLOOKUP(C259,'Master Data'!C:C,'Master Data'!D:D)</f>
        <v>#N/A</v>
      </c>
      <c r="E259" s="104"/>
      <c r="F259" s="105" t="str">
        <f t="array" ref="F259">XLOOKUP(C259,'Master Data'!C:C,'Master Data'!D:D)</f>
        <v>#N/A</v>
      </c>
      <c r="G259" s="90" t="str">
        <f t="array" ref="G259">XLOOKUP(C259,'Master Data'!C:C,'Master Data'!E:E)</f>
        <v>#N/A</v>
      </c>
      <c r="H259" s="88" t="str">
        <f t="array" ref="H259">XLOOKUP(C259,'Master Data'!C:C,'Master Data'!F:F)</f>
        <v>#N/A</v>
      </c>
      <c r="I259" s="72" t="str">
        <f t="array" ref="I259">XLOOKUP(C259,'Master Data'!C:C,'Master Data'!G:G)</f>
        <v>#N/A</v>
      </c>
      <c r="J259" s="72" t="str">
        <f t="array" ref="J259">XLOOKUP(C259,'Master Data'!C:C,'Master Data'!H:H)</f>
        <v>#N/A</v>
      </c>
      <c r="K259" s="73"/>
      <c r="L259" s="149"/>
      <c r="M259" s="73"/>
      <c r="N259" s="73"/>
      <c r="O259" s="73"/>
      <c r="P259" s="73"/>
      <c r="Q259" s="73"/>
      <c r="R259" s="109"/>
      <c r="S259" s="4"/>
      <c r="T259" s="4"/>
      <c r="U259" s="4"/>
      <c r="V259" s="4"/>
      <c r="W259" s="4"/>
      <c r="X259" s="4"/>
      <c r="Y259" s="4"/>
      <c r="Z259" s="4"/>
      <c r="AA259" s="4"/>
      <c r="AB259" s="4"/>
      <c r="AC259" s="4"/>
      <c r="AD259" s="4"/>
      <c r="AE259" s="4"/>
      <c r="AF259" s="4"/>
    </row>
    <row r="260">
      <c r="A260" s="73"/>
      <c r="B260" s="73"/>
      <c r="C260" s="147"/>
      <c r="D260" s="103" t="str">
        <f t="array" ref="D260">XLOOKUP(C260,'Master Data'!C:C,'Master Data'!D:D)</f>
        <v>#N/A</v>
      </c>
      <c r="E260" s="104"/>
      <c r="F260" s="105" t="str">
        <f t="array" ref="F260">XLOOKUP(C260,'Master Data'!C:C,'Master Data'!D:D)</f>
        <v>#N/A</v>
      </c>
      <c r="G260" s="90" t="str">
        <f t="array" ref="G260">XLOOKUP(C260,'Master Data'!C:C,'Master Data'!E:E)</f>
        <v>#N/A</v>
      </c>
      <c r="H260" s="88" t="str">
        <f t="array" ref="H260">XLOOKUP(C260,'Master Data'!C:C,'Master Data'!F:F)</f>
        <v>#N/A</v>
      </c>
      <c r="I260" s="72" t="str">
        <f t="array" ref="I260">XLOOKUP(C260,'Master Data'!C:C,'Master Data'!G:G)</f>
        <v>#N/A</v>
      </c>
      <c r="J260" s="72" t="str">
        <f t="array" ref="J260">XLOOKUP(C260,'Master Data'!C:C,'Master Data'!H:H)</f>
        <v>#N/A</v>
      </c>
      <c r="K260" s="73"/>
      <c r="L260" s="149"/>
      <c r="M260" s="73"/>
      <c r="N260" s="73"/>
      <c r="O260" s="73"/>
      <c r="P260" s="73"/>
      <c r="Q260" s="73"/>
      <c r="R260" s="109"/>
      <c r="S260" s="4"/>
      <c r="T260" s="4"/>
      <c r="U260" s="4"/>
      <c r="V260" s="4"/>
      <c r="W260" s="4"/>
      <c r="X260" s="4"/>
      <c r="Y260" s="4"/>
      <c r="Z260" s="4"/>
      <c r="AA260" s="4"/>
      <c r="AB260" s="4"/>
      <c r="AC260" s="4"/>
      <c r="AD260" s="4"/>
      <c r="AE260" s="4"/>
      <c r="AF260" s="4"/>
    </row>
    <row r="261">
      <c r="A261" s="73"/>
      <c r="B261" s="73"/>
      <c r="C261" s="147"/>
      <c r="D261" s="103" t="str">
        <f t="array" ref="D261">XLOOKUP(C261,'Master Data'!C:C,'Master Data'!D:D)</f>
        <v>#N/A</v>
      </c>
      <c r="E261" s="104"/>
      <c r="F261" s="105" t="str">
        <f t="array" ref="F261">XLOOKUP(C261,'Master Data'!C:C,'Master Data'!D:D)</f>
        <v>#N/A</v>
      </c>
      <c r="G261" s="90" t="str">
        <f t="array" ref="G261">XLOOKUP(C261,'Master Data'!C:C,'Master Data'!E:E)</f>
        <v>#N/A</v>
      </c>
      <c r="H261" s="88" t="str">
        <f t="array" ref="H261">XLOOKUP(C261,'Master Data'!C:C,'Master Data'!F:F)</f>
        <v>#N/A</v>
      </c>
      <c r="I261" s="72" t="str">
        <f t="array" ref="I261">XLOOKUP(C261,'Master Data'!C:C,'Master Data'!G:G)</f>
        <v>#N/A</v>
      </c>
      <c r="J261" s="72" t="str">
        <f t="array" ref="J261">XLOOKUP(C261,'Master Data'!C:C,'Master Data'!H:H)</f>
        <v>#N/A</v>
      </c>
      <c r="K261" s="73"/>
      <c r="L261" s="149"/>
      <c r="M261" s="73"/>
      <c r="N261" s="73"/>
      <c r="O261" s="73"/>
      <c r="P261" s="73"/>
      <c r="Q261" s="73"/>
      <c r="R261" s="109"/>
      <c r="S261" s="4"/>
      <c r="T261" s="4"/>
      <c r="U261" s="4"/>
      <c r="V261" s="4"/>
      <c r="W261" s="4"/>
      <c r="X261" s="4"/>
      <c r="Y261" s="4"/>
      <c r="Z261" s="4"/>
      <c r="AA261" s="4"/>
      <c r="AB261" s="4"/>
      <c r="AC261" s="4"/>
      <c r="AD261" s="4"/>
      <c r="AE261" s="4"/>
      <c r="AF261" s="4"/>
    </row>
    <row r="262">
      <c r="A262" s="73"/>
      <c r="B262" s="73"/>
      <c r="C262" s="147"/>
      <c r="D262" s="103" t="str">
        <f t="array" ref="D262">XLOOKUP(C262,'Master Data'!C:C,'Master Data'!D:D)</f>
        <v>#N/A</v>
      </c>
      <c r="E262" s="104"/>
      <c r="F262" s="105" t="str">
        <f t="array" ref="F262">XLOOKUP(C262,'Master Data'!C:C,'Master Data'!D:D)</f>
        <v>#N/A</v>
      </c>
      <c r="G262" s="90" t="str">
        <f t="array" ref="G262">XLOOKUP(C262,'Master Data'!C:C,'Master Data'!E:E)</f>
        <v>#N/A</v>
      </c>
      <c r="H262" s="88" t="str">
        <f t="array" ref="H262">XLOOKUP(C262,'Master Data'!C:C,'Master Data'!F:F)</f>
        <v>#N/A</v>
      </c>
      <c r="I262" s="72" t="str">
        <f t="array" ref="I262">XLOOKUP(C262,'Master Data'!C:C,'Master Data'!G:G)</f>
        <v>#N/A</v>
      </c>
      <c r="J262" s="72" t="str">
        <f t="array" ref="J262">XLOOKUP(C262,'Master Data'!C:C,'Master Data'!H:H)</f>
        <v>#N/A</v>
      </c>
      <c r="K262" s="73"/>
      <c r="L262" s="149"/>
      <c r="M262" s="73"/>
      <c r="N262" s="73"/>
      <c r="O262" s="73"/>
      <c r="P262" s="73"/>
      <c r="Q262" s="73"/>
      <c r="R262" s="109"/>
      <c r="S262" s="4"/>
      <c r="T262" s="4"/>
      <c r="U262" s="4"/>
      <c r="V262" s="4"/>
      <c r="W262" s="4"/>
      <c r="X262" s="4"/>
      <c r="Y262" s="4"/>
      <c r="Z262" s="4"/>
      <c r="AA262" s="4"/>
      <c r="AB262" s="4"/>
      <c r="AC262" s="4"/>
      <c r="AD262" s="4"/>
      <c r="AE262" s="4"/>
      <c r="AF262" s="4"/>
    </row>
    <row r="263">
      <c r="A263" s="73"/>
      <c r="B263" s="73"/>
      <c r="C263" s="147"/>
      <c r="D263" s="103" t="str">
        <f t="array" ref="D263">XLOOKUP(C263,'Master Data'!C:C,'Master Data'!D:D)</f>
        <v>#N/A</v>
      </c>
      <c r="E263" s="104"/>
      <c r="F263" s="105" t="str">
        <f t="array" ref="F263">XLOOKUP(C263,'Master Data'!C:C,'Master Data'!D:D)</f>
        <v>#N/A</v>
      </c>
      <c r="G263" s="90" t="str">
        <f t="array" ref="G263">XLOOKUP(C263,'Master Data'!C:C,'Master Data'!E:E)</f>
        <v>#N/A</v>
      </c>
      <c r="H263" s="88" t="str">
        <f t="array" ref="H263">XLOOKUP(C263,'Master Data'!C:C,'Master Data'!F:F)</f>
        <v>#N/A</v>
      </c>
      <c r="I263" s="72" t="str">
        <f t="array" ref="I263">XLOOKUP(C263,'Master Data'!C:C,'Master Data'!G:G)</f>
        <v>#N/A</v>
      </c>
      <c r="J263" s="72" t="str">
        <f t="array" ref="J263">XLOOKUP(C263,'Master Data'!C:C,'Master Data'!H:H)</f>
        <v>#N/A</v>
      </c>
      <c r="K263" s="73"/>
      <c r="L263" s="149"/>
      <c r="M263" s="73"/>
      <c r="N263" s="73"/>
      <c r="O263" s="73"/>
      <c r="P263" s="73"/>
      <c r="Q263" s="73"/>
      <c r="R263" s="109"/>
      <c r="S263" s="4"/>
      <c r="T263" s="4"/>
      <c r="U263" s="4"/>
      <c r="V263" s="4"/>
      <c r="W263" s="4"/>
      <c r="X263" s="4"/>
      <c r="Y263" s="4"/>
      <c r="Z263" s="4"/>
      <c r="AA263" s="4"/>
      <c r="AB263" s="4"/>
      <c r="AC263" s="4"/>
      <c r="AD263" s="4"/>
      <c r="AE263" s="4"/>
      <c r="AF263" s="4"/>
    </row>
    <row r="264">
      <c r="A264" s="73"/>
      <c r="B264" s="73"/>
      <c r="C264" s="147"/>
      <c r="D264" s="103" t="str">
        <f t="array" ref="D264">XLOOKUP(C264,'Master Data'!C:C,'Master Data'!D:D)</f>
        <v>#N/A</v>
      </c>
      <c r="E264" s="104"/>
      <c r="F264" s="105" t="str">
        <f t="array" ref="F264">XLOOKUP(C264,'Master Data'!C:C,'Master Data'!D:D)</f>
        <v>#N/A</v>
      </c>
      <c r="G264" s="90" t="str">
        <f t="array" ref="G264">XLOOKUP(C264,'Master Data'!C:C,'Master Data'!E:E)</f>
        <v>#N/A</v>
      </c>
      <c r="H264" s="88" t="str">
        <f t="array" ref="H264">XLOOKUP(C264,'Master Data'!C:C,'Master Data'!F:F)</f>
        <v>#N/A</v>
      </c>
      <c r="I264" s="72" t="str">
        <f t="array" ref="I264">XLOOKUP(C264,'Master Data'!C:C,'Master Data'!G:G)</f>
        <v>#N/A</v>
      </c>
      <c r="J264" s="72" t="str">
        <f t="array" ref="J264">XLOOKUP(C264,'Master Data'!C:C,'Master Data'!H:H)</f>
        <v>#N/A</v>
      </c>
      <c r="K264" s="73"/>
      <c r="L264" s="149"/>
      <c r="M264" s="73"/>
      <c r="N264" s="73"/>
      <c r="O264" s="73"/>
      <c r="P264" s="73"/>
      <c r="Q264" s="73"/>
      <c r="R264" s="109"/>
      <c r="S264" s="4"/>
      <c r="T264" s="4"/>
      <c r="U264" s="4"/>
      <c r="V264" s="4"/>
      <c r="W264" s="4"/>
      <c r="X264" s="4"/>
      <c r="Y264" s="4"/>
      <c r="Z264" s="4"/>
      <c r="AA264" s="4"/>
      <c r="AB264" s="4"/>
      <c r="AC264" s="4"/>
      <c r="AD264" s="4"/>
      <c r="AE264" s="4"/>
      <c r="AF264" s="4"/>
    </row>
    <row r="265">
      <c r="A265" s="73"/>
      <c r="B265" s="73"/>
      <c r="C265" s="147"/>
      <c r="D265" s="103" t="str">
        <f t="array" ref="D265">XLOOKUP(C265,'Master Data'!C:C,'Master Data'!D:D)</f>
        <v>#N/A</v>
      </c>
      <c r="E265" s="104"/>
      <c r="F265" s="105" t="str">
        <f t="array" ref="F265">XLOOKUP(C265,'Master Data'!C:C,'Master Data'!D:D)</f>
        <v>#N/A</v>
      </c>
      <c r="G265" s="90" t="str">
        <f t="array" ref="G265">XLOOKUP(C265,'Master Data'!C:C,'Master Data'!E:E)</f>
        <v>#N/A</v>
      </c>
      <c r="H265" s="88" t="str">
        <f t="array" ref="H265">XLOOKUP(C265,'Master Data'!C:C,'Master Data'!F:F)</f>
        <v>#N/A</v>
      </c>
      <c r="I265" s="72" t="str">
        <f t="array" ref="I265">XLOOKUP(C265,'Master Data'!C:C,'Master Data'!G:G)</f>
        <v>#N/A</v>
      </c>
      <c r="J265" s="72" t="str">
        <f t="array" ref="J265">XLOOKUP(C265,'Master Data'!C:C,'Master Data'!H:H)</f>
        <v>#N/A</v>
      </c>
      <c r="K265" s="73"/>
      <c r="L265" s="149"/>
      <c r="M265" s="73"/>
      <c r="N265" s="73"/>
      <c r="O265" s="73"/>
      <c r="P265" s="73"/>
      <c r="Q265" s="73"/>
      <c r="R265" s="109"/>
      <c r="S265" s="4"/>
      <c r="T265" s="4"/>
      <c r="U265" s="4"/>
      <c r="V265" s="4"/>
      <c r="W265" s="4"/>
      <c r="X265" s="4"/>
      <c r="Y265" s="4"/>
      <c r="Z265" s="4"/>
      <c r="AA265" s="4"/>
      <c r="AB265" s="4"/>
      <c r="AC265" s="4"/>
      <c r="AD265" s="4"/>
      <c r="AE265" s="4"/>
      <c r="AF265" s="4"/>
    </row>
    <row r="266">
      <c r="A266" s="73"/>
      <c r="B266" s="73"/>
      <c r="C266" s="147"/>
      <c r="D266" s="103" t="str">
        <f t="array" ref="D266">XLOOKUP(C266,'Master Data'!C:C,'Master Data'!D:D)</f>
        <v>#N/A</v>
      </c>
      <c r="E266" s="104"/>
      <c r="F266" s="105" t="str">
        <f t="array" ref="F266">XLOOKUP(C266,'Master Data'!C:C,'Master Data'!D:D)</f>
        <v>#N/A</v>
      </c>
      <c r="G266" s="90" t="str">
        <f t="array" ref="G266">XLOOKUP(C266,'Master Data'!C:C,'Master Data'!E:E)</f>
        <v>#N/A</v>
      </c>
      <c r="H266" s="88" t="str">
        <f t="array" ref="H266">XLOOKUP(C266,'Master Data'!C:C,'Master Data'!F:F)</f>
        <v>#N/A</v>
      </c>
      <c r="I266" s="72" t="str">
        <f t="array" ref="I266">XLOOKUP(C266,'Master Data'!C:C,'Master Data'!G:G)</f>
        <v>#N/A</v>
      </c>
      <c r="J266" s="72" t="str">
        <f t="array" ref="J266">XLOOKUP(C266,'Master Data'!C:C,'Master Data'!H:H)</f>
        <v>#N/A</v>
      </c>
      <c r="K266" s="73"/>
      <c r="L266" s="149"/>
      <c r="M266" s="73"/>
      <c r="N266" s="73"/>
      <c r="O266" s="73"/>
      <c r="P266" s="73"/>
      <c r="Q266" s="73"/>
      <c r="R266" s="109"/>
      <c r="S266" s="4"/>
      <c r="T266" s="4"/>
      <c r="U266" s="4"/>
      <c r="V266" s="4"/>
      <c r="W266" s="4"/>
      <c r="X266" s="4"/>
      <c r="Y266" s="4"/>
      <c r="Z266" s="4"/>
      <c r="AA266" s="4"/>
      <c r="AB266" s="4"/>
      <c r="AC266" s="4"/>
      <c r="AD266" s="4"/>
      <c r="AE266" s="4"/>
      <c r="AF266" s="4"/>
    </row>
    <row r="267">
      <c r="A267" s="73"/>
      <c r="B267" s="73"/>
      <c r="C267" s="147"/>
      <c r="D267" s="103" t="str">
        <f t="array" ref="D267">XLOOKUP(C267,'Master Data'!C:C,'Master Data'!D:D)</f>
        <v>#N/A</v>
      </c>
      <c r="E267" s="104"/>
      <c r="F267" s="105" t="str">
        <f t="array" ref="F267">XLOOKUP(C267,'Master Data'!C:C,'Master Data'!D:D)</f>
        <v>#N/A</v>
      </c>
      <c r="G267" s="90" t="str">
        <f t="array" ref="G267">XLOOKUP(C267,'Master Data'!C:C,'Master Data'!E:E)</f>
        <v>#N/A</v>
      </c>
      <c r="H267" s="88" t="str">
        <f t="array" ref="H267">XLOOKUP(C267,'Master Data'!C:C,'Master Data'!F:F)</f>
        <v>#N/A</v>
      </c>
      <c r="I267" s="72" t="str">
        <f t="array" ref="I267">XLOOKUP(C267,'Master Data'!C:C,'Master Data'!G:G)</f>
        <v>#N/A</v>
      </c>
      <c r="J267" s="72" t="str">
        <f t="array" ref="J267">XLOOKUP(C267,'Master Data'!C:C,'Master Data'!H:H)</f>
        <v>#N/A</v>
      </c>
      <c r="K267" s="73"/>
      <c r="L267" s="149"/>
      <c r="M267" s="73"/>
      <c r="N267" s="73"/>
      <c r="O267" s="73"/>
      <c r="P267" s="73"/>
      <c r="Q267" s="73"/>
      <c r="R267" s="109"/>
      <c r="S267" s="4"/>
      <c r="T267" s="4"/>
      <c r="U267" s="4"/>
      <c r="V267" s="4"/>
      <c r="W267" s="4"/>
      <c r="X267" s="4"/>
      <c r="Y267" s="4"/>
      <c r="Z267" s="4"/>
      <c r="AA267" s="4"/>
      <c r="AB267" s="4"/>
      <c r="AC267" s="4"/>
      <c r="AD267" s="4"/>
      <c r="AE267" s="4"/>
      <c r="AF267" s="4"/>
    </row>
    <row r="268">
      <c r="A268" s="73"/>
      <c r="B268" s="73"/>
      <c r="C268" s="147"/>
      <c r="D268" s="103" t="str">
        <f t="array" ref="D268">XLOOKUP(C268,'Master Data'!C:C,'Master Data'!D:D)</f>
        <v>#N/A</v>
      </c>
      <c r="E268" s="104"/>
      <c r="F268" s="105" t="str">
        <f t="array" ref="F268">XLOOKUP(C268,'Master Data'!C:C,'Master Data'!D:D)</f>
        <v>#N/A</v>
      </c>
      <c r="G268" s="90" t="str">
        <f t="array" ref="G268">XLOOKUP(C268,'Master Data'!C:C,'Master Data'!E:E)</f>
        <v>#N/A</v>
      </c>
      <c r="H268" s="88" t="str">
        <f t="array" ref="H268">XLOOKUP(C268,'Master Data'!C:C,'Master Data'!F:F)</f>
        <v>#N/A</v>
      </c>
      <c r="I268" s="72" t="str">
        <f t="array" ref="I268">XLOOKUP(C268,'Master Data'!C:C,'Master Data'!G:G)</f>
        <v>#N/A</v>
      </c>
      <c r="J268" s="72" t="str">
        <f t="array" ref="J268">XLOOKUP(C268,'Master Data'!C:C,'Master Data'!H:H)</f>
        <v>#N/A</v>
      </c>
      <c r="K268" s="73"/>
      <c r="L268" s="149"/>
      <c r="M268" s="73"/>
      <c r="N268" s="73"/>
      <c r="O268" s="73"/>
      <c r="P268" s="73"/>
      <c r="Q268" s="73"/>
      <c r="R268" s="109"/>
      <c r="S268" s="4"/>
      <c r="T268" s="4"/>
      <c r="U268" s="4"/>
      <c r="V268" s="4"/>
      <c r="W268" s="4"/>
      <c r="X268" s="4"/>
      <c r="Y268" s="4"/>
      <c r="Z268" s="4"/>
      <c r="AA268" s="4"/>
      <c r="AB268" s="4"/>
      <c r="AC268" s="4"/>
      <c r="AD268" s="4"/>
      <c r="AE268" s="4"/>
      <c r="AF268" s="4"/>
    </row>
    <row r="269">
      <c r="A269" s="73"/>
      <c r="B269" s="73"/>
      <c r="C269" s="147"/>
      <c r="D269" s="103" t="str">
        <f t="array" ref="D269">XLOOKUP(C269,'Master Data'!C:C,'Master Data'!D:D)</f>
        <v>#N/A</v>
      </c>
      <c r="E269" s="104"/>
      <c r="F269" s="105" t="str">
        <f t="array" ref="F269">XLOOKUP(C269,'Master Data'!C:C,'Master Data'!D:D)</f>
        <v>#N/A</v>
      </c>
      <c r="G269" s="90" t="str">
        <f t="array" ref="G269">XLOOKUP(C269,'Master Data'!C:C,'Master Data'!E:E)</f>
        <v>#N/A</v>
      </c>
      <c r="H269" s="88" t="str">
        <f t="array" ref="H269">XLOOKUP(C269,'Master Data'!C:C,'Master Data'!F:F)</f>
        <v>#N/A</v>
      </c>
      <c r="I269" s="72" t="str">
        <f t="array" ref="I269">XLOOKUP(C269,'Master Data'!C:C,'Master Data'!G:G)</f>
        <v>#N/A</v>
      </c>
      <c r="J269" s="72" t="str">
        <f t="array" ref="J269">XLOOKUP(C269,'Master Data'!C:C,'Master Data'!H:H)</f>
        <v>#N/A</v>
      </c>
      <c r="K269" s="73"/>
      <c r="L269" s="149"/>
      <c r="M269" s="73"/>
      <c r="N269" s="73"/>
      <c r="O269" s="73"/>
      <c r="P269" s="73"/>
      <c r="Q269" s="73"/>
      <c r="R269" s="109"/>
      <c r="S269" s="4"/>
      <c r="T269" s="4"/>
      <c r="U269" s="4"/>
      <c r="V269" s="4"/>
      <c r="W269" s="4"/>
      <c r="X269" s="4"/>
      <c r="Y269" s="4"/>
      <c r="Z269" s="4"/>
      <c r="AA269" s="4"/>
      <c r="AB269" s="4"/>
      <c r="AC269" s="4"/>
      <c r="AD269" s="4"/>
      <c r="AE269" s="4"/>
      <c r="AF269" s="4"/>
    </row>
    <row r="270">
      <c r="A270" s="73"/>
      <c r="B270" s="73"/>
      <c r="C270" s="147"/>
      <c r="D270" s="103" t="str">
        <f t="array" ref="D270">XLOOKUP(C270,'Master Data'!C:C,'Master Data'!D:D)</f>
        <v>#N/A</v>
      </c>
      <c r="E270" s="104"/>
      <c r="F270" s="105" t="str">
        <f t="array" ref="F270">XLOOKUP(C270,'Master Data'!C:C,'Master Data'!D:D)</f>
        <v>#N/A</v>
      </c>
      <c r="G270" s="90" t="str">
        <f t="array" ref="G270">XLOOKUP(C270,'Master Data'!C:C,'Master Data'!E:E)</f>
        <v>#N/A</v>
      </c>
      <c r="H270" s="88" t="str">
        <f t="array" ref="H270">XLOOKUP(C270,'Master Data'!C:C,'Master Data'!F:F)</f>
        <v>#N/A</v>
      </c>
      <c r="I270" s="72" t="str">
        <f t="array" ref="I270">XLOOKUP(C270,'Master Data'!C:C,'Master Data'!G:G)</f>
        <v>#N/A</v>
      </c>
      <c r="J270" s="72" t="str">
        <f t="array" ref="J270">XLOOKUP(C270,'Master Data'!C:C,'Master Data'!H:H)</f>
        <v>#N/A</v>
      </c>
      <c r="K270" s="73"/>
      <c r="L270" s="149"/>
      <c r="M270" s="73"/>
      <c r="N270" s="73"/>
      <c r="O270" s="73"/>
      <c r="P270" s="73"/>
      <c r="Q270" s="73"/>
      <c r="R270" s="109"/>
      <c r="S270" s="4"/>
      <c r="T270" s="4"/>
      <c r="U270" s="4"/>
      <c r="V270" s="4"/>
      <c r="W270" s="4"/>
      <c r="X270" s="4"/>
      <c r="Y270" s="4"/>
      <c r="Z270" s="4"/>
      <c r="AA270" s="4"/>
      <c r="AB270" s="4"/>
      <c r="AC270" s="4"/>
      <c r="AD270" s="4"/>
      <c r="AE270" s="4"/>
      <c r="AF270" s="4"/>
    </row>
    <row r="271">
      <c r="A271" s="73"/>
      <c r="B271" s="73"/>
      <c r="C271" s="147"/>
      <c r="D271" s="103" t="str">
        <f t="array" ref="D271">XLOOKUP(C271,'Master Data'!C:C,'Master Data'!D:D)</f>
        <v>#N/A</v>
      </c>
      <c r="E271" s="104"/>
      <c r="F271" s="105" t="str">
        <f t="array" ref="F271">XLOOKUP(C271,'Master Data'!C:C,'Master Data'!D:D)</f>
        <v>#N/A</v>
      </c>
      <c r="G271" s="90" t="str">
        <f t="array" ref="G271">XLOOKUP(C271,'Master Data'!C:C,'Master Data'!E:E)</f>
        <v>#N/A</v>
      </c>
      <c r="H271" s="88" t="str">
        <f t="array" ref="H271">XLOOKUP(C271,'Master Data'!C:C,'Master Data'!F:F)</f>
        <v>#N/A</v>
      </c>
      <c r="I271" s="72" t="str">
        <f t="array" ref="I271">XLOOKUP(C271,'Master Data'!C:C,'Master Data'!G:G)</f>
        <v>#N/A</v>
      </c>
      <c r="J271" s="72" t="str">
        <f t="array" ref="J271">XLOOKUP(C271,'Master Data'!C:C,'Master Data'!H:H)</f>
        <v>#N/A</v>
      </c>
      <c r="K271" s="73"/>
      <c r="L271" s="149"/>
      <c r="M271" s="73"/>
      <c r="N271" s="73"/>
      <c r="O271" s="73"/>
      <c r="P271" s="73"/>
      <c r="Q271" s="73"/>
      <c r="R271" s="109"/>
      <c r="S271" s="4"/>
      <c r="T271" s="4"/>
      <c r="U271" s="4"/>
      <c r="V271" s="4"/>
      <c r="W271" s="4"/>
      <c r="X271" s="4"/>
      <c r="Y271" s="4"/>
      <c r="Z271" s="4"/>
      <c r="AA271" s="4"/>
      <c r="AB271" s="4"/>
      <c r="AC271" s="4"/>
      <c r="AD271" s="4"/>
      <c r="AE271" s="4"/>
      <c r="AF271" s="4"/>
    </row>
    <row r="272">
      <c r="A272" s="73"/>
      <c r="B272" s="73"/>
      <c r="C272" s="147"/>
      <c r="D272" s="103" t="str">
        <f t="array" ref="D272">XLOOKUP(C272,'Master Data'!C:C,'Master Data'!D:D)</f>
        <v>#N/A</v>
      </c>
      <c r="E272" s="104"/>
      <c r="F272" s="105" t="str">
        <f t="array" ref="F272">XLOOKUP(C272,'Master Data'!C:C,'Master Data'!D:D)</f>
        <v>#N/A</v>
      </c>
      <c r="G272" s="90" t="str">
        <f t="array" ref="G272">XLOOKUP(C272,'Master Data'!C:C,'Master Data'!E:E)</f>
        <v>#N/A</v>
      </c>
      <c r="H272" s="88" t="str">
        <f t="array" ref="H272">XLOOKUP(C272,'Master Data'!C:C,'Master Data'!F:F)</f>
        <v>#N/A</v>
      </c>
      <c r="I272" s="72" t="str">
        <f t="array" ref="I272">XLOOKUP(C272,'Master Data'!C:C,'Master Data'!G:G)</f>
        <v>#N/A</v>
      </c>
      <c r="J272" s="72" t="str">
        <f t="array" ref="J272">XLOOKUP(C272,'Master Data'!C:C,'Master Data'!H:H)</f>
        <v>#N/A</v>
      </c>
      <c r="K272" s="73"/>
      <c r="L272" s="149"/>
      <c r="M272" s="73"/>
      <c r="N272" s="73"/>
      <c r="O272" s="73"/>
      <c r="P272" s="73"/>
      <c r="Q272" s="73"/>
      <c r="R272" s="109"/>
      <c r="S272" s="4"/>
      <c r="T272" s="4"/>
      <c r="U272" s="4"/>
      <c r="V272" s="4"/>
      <c r="W272" s="4"/>
      <c r="X272" s="4"/>
      <c r="Y272" s="4"/>
      <c r="Z272" s="4"/>
      <c r="AA272" s="4"/>
      <c r="AB272" s="4"/>
      <c r="AC272" s="4"/>
      <c r="AD272" s="4"/>
      <c r="AE272" s="4"/>
      <c r="AF272" s="4"/>
    </row>
    <row r="273">
      <c r="A273" s="73"/>
      <c r="B273" s="73"/>
      <c r="C273" s="147"/>
      <c r="D273" s="103" t="str">
        <f t="array" ref="D273">XLOOKUP(C273,'Master Data'!C:C,'Master Data'!D:D)</f>
        <v>#N/A</v>
      </c>
      <c r="E273" s="104"/>
      <c r="F273" s="105" t="str">
        <f t="array" ref="F273">XLOOKUP(C273,'Master Data'!C:C,'Master Data'!D:D)</f>
        <v>#N/A</v>
      </c>
      <c r="G273" s="90" t="str">
        <f t="array" ref="G273">XLOOKUP(C273,'Master Data'!C:C,'Master Data'!E:E)</f>
        <v>#N/A</v>
      </c>
      <c r="H273" s="88" t="str">
        <f t="array" ref="H273">XLOOKUP(C273,'Master Data'!C:C,'Master Data'!F:F)</f>
        <v>#N/A</v>
      </c>
      <c r="I273" s="72" t="str">
        <f t="array" ref="I273">XLOOKUP(C273,'Master Data'!C:C,'Master Data'!G:G)</f>
        <v>#N/A</v>
      </c>
      <c r="J273" s="72" t="str">
        <f t="array" ref="J273">XLOOKUP(C273,'Master Data'!C:C,'Master Data'!H:H)</f>
        <v>#N/A</v>
      </c>
      <c r="K273" s="73"/>
      <c r="L273" s="149"/>
      <c r="M273" s="73"/>
      <c r="N273" s="73"/>
      <c r="O273" s="73"/>
      <c r="P273" s="73"/>
      <c r="Q273" s="73"/>
      <c r="R273" s="109"/>
      <c r="S273" s="4"/>
      <c r="T273" s="4"/>
      <c r="U273" s="4"/>
      <c r="V273" s="4"/>
      <c r="W273" s="4"/>
      <c r="X273" s="4"/>
      <c r="Y273" s="4"/>
      <c r="Z273" s="4"/>
      <c r="AA273" s="4"/>
      <c r="AB273" s="4"/>
      <c r="AC273" s="4"/>
      <c r="AD273" s="4"/>
      <c r="AE273" s="4"/>
      <c r="AF273" s="4"/>
    </row>
    <row r="274">
      <c r="A274" s="73"/>
      <c r="B274" s="73"/>
      <c r="C274" s="147"/>
      <c r="D274" s="103" t="str">
        <f t="array" ref="D274">XLOOKUP(C274,'Master Data'!C:C,'Master Data'!D:D)</f>
        <v>#N/A</v>
      </c>
      <c r="E274" s="104"/>
      <c r="F274" s="105" t="str">
        <f t="array" ref="F274">XLOOKUP(C274,'Master Data'!C:C,'Master Data'!D:D)</f>
        <v>#N/A</v>
      </c>
      <c r="G274" s="90" t="str">
        <f t="array" ref="G274">XLOOKUP(C274,'Master Data'!C:C,'Master Data'!E:E)</f>
        <v>#N/A</v>
      </c>
      <c r="H274" s="88" t="str">
        <f t="array" ref="H274">XLOOKUP(C274,'Master Data'!C:C,'Master Data'!F:F)</f>
        <v>#N/A</v>
      </c>
      <c r="I274" s="72" t="str">
        <f t="array" ref="I274">XLOOKUP(C274,'Master Data'!C:C,'Master Data'!G:G)</f>
        <v>#N/A</v>
      </c>
      <c r="J274" s="72" t="str">
        <f t="array" ref="J274">XLOOKUP(C274,'Master Data'!C:C,'Master Data'!H:H)</f>
        <v>#N/A</v>
      </c>
      <c r="K274" s="73"/>
      <c r="L274" s="149"/>
      <c r="M274" s="73"/>
      <c r="N274" s="73"/>
      <c r="O274" s="73"/>
      <c r="P274" s="73"/>
      <c r="Q274" s="73"/>
      <c r="R274" s="109"/>
      <c r="S274" s="4"/>
      <c r="T274" s="4"/>
      <c r="U274" s="4"/>
      <c r="V274" s="4"/>
      <c r="W274" s="4"/>
      <c r="X274" s="4"/>
      <c r="Y274" s="4"/>
      <c r="Z274" s="4"/>
      <c r="AA274" s="4"/>
      <c r="AB274" s="4"/>
      <c r="AC274" s="4"/>
      <c r="AD274" s="4"/>
      <c r="AE274" s="4"/>
      <c r="AF274" s="4"/>
    </row>
    <row r="275">
      <c r="A275" s="73"/>
      <c r="B275" s="73"/>
      <c r="C275" s="147"/>
      <c r="D275" s="103" t="str">
        <f t="array" ref="D275">XLOOKUP(C275,'Master Data'!C:C,'Master Data'!D:D)</f>
        <v>#N/A</v>
      </c>
      <c r="E275" s="104"/>
      <c r="F275" s="105" t="str">
        <f t="array" ref="F275">XLOOKUP(C275,'Master Data'!C:C,'Master Data'!D:D)</f>
        <v>#N/A</v>
      </c>
      <c r="G275" s="90" t="str">
        <f t="array" ref="G275">XLOOKUP(C275,'Master Data'!C:C,'Master Data'!E:E)</f>
        <v>#N/A</v>
      </c>
      <c r="H275" s="88" t="str">
        <f t="array" ref="H275">XLOOKUP(C275,'Master Data'!C:C,'Master Data'!F:F)</f>
        <v>#N/A</v>
      </c>
      <c r="I275" s="72" t="str">
        <f t="array" ref="I275">XLOOKUP(C275,'Master Data'!C:C,'Master Data'!G:G)</f>
        <v>#N/A</v>
      </c>
      <c r="J275" s="72" t="str">
        <f t="array" ref="J275">XLOOKUP(C275,'Master Data'!C:C,'Master Data'!H:H)</f>
        <v>#N/A</v>
      </c>
      <c r="K275" s="73"/>
      <c r="L275" s="149"/>
      <c r="M275" s="73"/>
      <c r="N275" s="73"/>
      <c r="O275" s="73"/>
      <c r="P275" s="73"/>
      <c r="Q275" s="73"/>
      <c r="R275" s="109"/>
      <c r="S275" s="4"/>
      <c r="T275" s="4"/>
      <c r="U275" s="4"/>
      <c r="V275" s="4"/>
      <c r="W275" s="4"/>
      <c r="X275" s="4"/>
      <c r="Y275" s="4"/>
      <c r="Z275" s="4"/>
      <c r="AA275" s="4"/>
      <c r="AB275" s="4"/>
      <c r="AC275" s="4"/>
      <c r="AD275" s="4"/>
      <c r="AE275" s="4"/>
      <c r="AF275" s="4"/>
    </row>
    <row r="276">
      <c r="A276" s="73"/>
      <c r="B276" s="73"/>
      <c r="C276" s="147"/>
      <c r="D276" s="103" t="str">
        <f t="array" ref="D276">XLOOKUP(C276,'Master Data'!C:C,'Master Data'!D:D)</f>
        <v>#N/A</v>
      </c>
      <c r="E276" s="104"/>
      <c r="F276" s="105" t="str">
        <f t="array" ref="F276">XLOOKUP(C276,'Master Data'!C:C,'Master Data'!D:D)</f>
        <v>#N/A</v>
      </c>
      <c r="G276" s="90" t="str">
        <f t="array" ref="G276">XLOOKUP(C276,'Master Data'!C:C,'Master Data'!E:E)</f>
        <v>#N/A</v>
      </c>
      <c r="H276" s="88" t="str">
        <f t="array" ref="H276">XLOOKUP(C276,'Master Data'!C:C,'Master Data'!F:F)</f>
        <v>#N/A</v>
      </c>
      <c r="I276" s="72" t="str">
        <f t="array" ref="I276">XLOOKUP(C276,'Master Data'!C:C,'Master Data'!G:G)</f>
        <v>#N/A</v>
      </c>
      <c r="J276" s="72" t="str">
        <f t="array" ref="J276">XLOOKUP(C276,'Master Data'!C:C,'Master Data'!H:H)</f>
        <v>#N/A</v>
      </c>
      <c r="K276" s="73"/>
      <c r="L276" s="149"/>
      <c r="M276" s="73"/>
      <c r="N276" s="73"/>
      <c r="O276" s="73"/>
      <c r="P276" s="73"/>
      <c r="Q276" s="73"/>
      <c r="R276" s="109"/>
      <c r="S276" s="4"/>
      <c r="T276" s="4"/>
      <c r="U276" s="4"/>
      <c r="V276" s="4"/>
      <c r="W276" s="4"/>
      <c r="X276" s="4"/>
      <c r="Y276" s="4"/>
      <c r="Z276" s="4"/>
      <c r="AA276" s="4"/>
      <c r="AB276" s="4"/>
      <c r="AC276" s="4"/>
      <c r="AD276" s="4"/>
      <c r="AE276" s="4"/>
      <c r="AF276" s="4"/>
    </row>
    <row r="277">
      <c r="A277" s="73"/>
      <c r="B277" s="73"/>
      <c r="C277" s="147"/>
      <c r="D277" s="103" t="str">
        <f t="array" ref="D277">XLOOKUP(C277,'Master Data'!C:C,'Master Data'!D:D)</f>
        <v>#N/A</v>
      </c>
      <c r="E277" s="104"/>
      <c r="F277" s="105" t="str">
        <f t="array" ref="F277">XLOOKUP(C277,'Master Data'!C:C,'Master Data'!D:D)</f>
        <v>#N/A</v>
      </c>
      <c r="G277" s="90" t="str">
        <f t="array" ref="G277">XLOOKUP(C277,'Master Data'!C:C,'Master Data'!E:E)</f>
        <v>#N/A</v>
      </c>
      <c r="H277" s="88" t="str">
        <f t="array" ref="H277">XLOOKUP(C277,'Master Data'!C:C,'Master Data'!F:F)</f>
        <v>#N/A</v>
      </c>
      <c r="I277" s="72" t="str">
        <f t="array" ref="I277">XLOOKUP(C277,'Master Data'!C:C,'Master Data'!G:G)</f>
        <v>#N/A</v>
      </c>
      <c r="J277" s="72" t="str">
        <f t="array" ref="J277">XLOOKUP(C277,'Master Data'!C:C,'Master Data'!H:H)</f>
        <v>#N/A</v>
      </c>
      <c r="K277" s="73"/>
      <c r="L277" s="149"/>
      <c r="M277" s="73"/>
      <c r="N277" s="73"/>
      <c r="O277" s="73"/>
      <c r="P277" s="73"/>
      <c r="Q277" s="73"/>
      <c r="R277" s="109"/>
      <c r="S277" s="4"/>
      <c r="T277" s="4"/>
      <c r="U277" s="4"/>
      <c r="V277" s="4"/>
      <c r="W277" s="4"/>
      <c r="X277" s="4"/>
      <c r="Y277" s="4"/>
      <c r="Z277" s="4"/>
      <c r="AA277" s="4"/>
      <c r="AB277" s="4"/>
      <c r="AC277" s="4"/>
      <c r="AD277" s="4"/>
      <c r="AE277" s="4"/>
      <c r="AF277" s="4"/>
    </row>
    <row r="278">
      <c r="A278" s="73"/>
      <c r="B278" s="73"/>
      <c r="C278" s="147"/>
      <c r="D278" s="103" t="str">
        <f t="array" ref="D278">XLOOKUP(C278,'Master Data'!C:C,'Master Data'!D:D)</f>
        <v>#N/A</v>
      </c>
      <c r="E278" s="104"/>
      <c r="F278" s="105" t="str">
        <f t="array" ref="F278">XLOOKUP(C278,'Master Data'!C:C,'Master Data'!D:D)</f>
        <v>#N/A</v>
      </c>
      <c r="G278" s="90" t="str">
        <f t="array" ref="G278">XLOOKUP(C278,'Master Data'!C:C,'Master Data'!E:E)</f>
        <v>#N/A</v>
      </c>
      <c r="H278" s="88" t="str">
        <f t="array" ref="H278">XLOOKUP(C278,'Master Data'!C:C,'Master Data'!F:F)</f>
        <v>#N/A</v>
      </c>
      <c r="I278" s="72" t="str">
        <f t="array" ref="I278">XLOOKUP(C278,'Master Data'!C:C,'Master Data'!G:G)</f>
        <v>#N/A</v>
      </c>
      <c r="J278" s="72" t="str">
        <f t="array" ref="J278">XLOOKUP(C278,'Master Data'!C:C,'Master Data'!H:H)</f>
        <v>#N/A</v>
      </c>
      <c r="K278" s="73"/>
      <c r="L278" s="149"/>
      <c r="M278" s="73"/>
      <c r="N278" s="73"/>
      <c r="O278" s="73"/>
      <c r="P278" s="73"/>
      <c r="Q278" s="73"/>
      <c r="R278" s="109"/>
      <c r="S278" s="4"/>
      <c r="T278" s="4"/>
      <c r="U278" s="4"/>
      <c r="V278" s="4"/>
      <c r="W278" s="4"/>
      <c r="X278" s="4"/>
      <c r="Y278" s="4"/>
      <c r="Z278" s="4"/>
      <c r="AA278" s="4"/>
      <c r="AB278" s="4"/>
      <c r="AC278" s="4"/>
      <c r="AD278" s="4"/>
      <c r="AE278" s="4"/>
      <c r="AF278" s="4"/>
    </row>
    <row r="279">
      <c r="A279" s="73"/>
      <c r="B279" s="73"/>
      <c r="C279" s="147"/>
      <c r="D279" s="103" t="str">
        <f t="array" ref="D279">XLOOKUP(C279,'Master Data'!C:C,'Master Data'!D:D)</f>
        <v>#N/A</v>
      </c>
      <c r="E279" s="104"/>
      <c r="F279" s="105" t="str">
        <f t="array" ref="F279">XLOOKUP(C279,'Master Data'!C:C,'Master Data'!D:D)</f>
        <v>#N/A</v>
      </c>
      <c r="G279" s="90" t="str">
        <f t="array" ref="G279">XLOOKUP(C279,'Master Data'!C:C,'Master Data'!E:E)</f>
        <v>#N/A</v>
      </c>
      <c r="H279" s="88" t="str">
        <f t="array" ref="H279">XLOOKUP(C279,'Master Data'!C:C,'Master Data'!F:F)</f>
        <v>#N/A</v>
      </c>
      <c r="I279" s="72" t="str">
        <f t="array" ref="I279">XLOOKUP(C279,'Master Data'!C:C,'Master Data'!G:G)</f>
        <v>#N/A</v>
      </c>
      <c r="J279" s="72" t="str">
        <f t="array" ref="J279">XLOOKUP(C279,'Master Data'!C:C,'Master Data'!H:H)</f>
        <v>#N/A</v>
      </c>
      <c r="K279" s="73"/>
      <c r="L279" s="149"/>
      <c r="M279" s="73"/>
      <c r="N279" s="73"/>
      <c r="O279" s="73"/>
      <c r="P279" s="73"/>
      <c r="Q279" s="73"/>
      <c r="R279" s="109"/>
      <c r="S279" s="4"/>
      <c r="T279" s="4"/>
      <c r="U279" s="4"/>
      <c r="V279" s="4"/>
      <c r="W279" s="4"/>
      <c r="X279" s="4"/>
      <c r="Y279" s="4"/>
      <c r="Z279" s="4"/>
      <c r="AA279" s="4"/>
      <c r="AB279" s="4"/>
      <c r="AC279" s="4"/>
      <c r="AD279" s="4"/>
      <c r="AE279" s="4"/>
      <c r="AF279" s="4"/>
    </row>
    <row r="280">
      <c r="A280" s="73"/>
      <c r="B280" s="73"/>
      <c r="C280" s="147"/>
      <c r="D280" s="103" t="str">
        <f t="array" ref="D280">XLOOKUP(C280,'Master Data'!C:C,'Master Data'!D:D)</f>
        <v>#N/A</v>
      </c>
      <c r="E280" s="104"/>
      <c r="F280" s="105" t="str">
        <f t="array" ref="F280">XLOOKUP(C280,'Master Data'!C:C,'Master Data'!D:D)</f>
        <v>#N/A</v>
      </c>
      <c r="G280" s="90" t="str">
        <f t="array" ref="G280">XLOOKUP(C280,'Master Data'!C:C,'Master Data'!E:E)</f>
        <v>#N/A</v>
      </c>
      <c r="H280" s="88" t="str">
        <f t="array" ref="H280">XLOOKUP(C280,'Master Data'!C:C,'Master Data'!F:F)</f>
        <v>#N/A</v>
      </c>
      <c r="I280" s="72" t="str">
        <f t="array" ref="I280">XLOOKUP(C280,'Master Data'!C:C,'Master Data'!G:G)</f>
        <v>#N/A</v>
      </c>
      <c r="J280" s="72" t="str">
        <f t="array" ref="J280">XLOOKUP(C280,'Master Data'!C:C,'Master Data'!H:H)</f>
        <v>#N/A</v>
      </c>
      <c r="K280" s="73"/>
      <c r="L280" s="149"/>
      <c r="M280" s="73"/>
      <c r="N280" s="73"/>
      <c r="O280" s="73"/>
      <c r="P280" s="73"/>
      <c r="Q280" s="73"/>
      <c r="R280" s="109"/>
      <c r="S280" s="4"/>
      <c r="T280" s="4"/>
      <c r="U280" s="4"/>
      <c r="V280" s="4"/>
      <c r="W280" s="4"/>
      <c r="X280" s="4"/>
      <c r="Y280" s="4"/>
      <c r="Z280" s="4"/>
      <c r="AA280" s="4"/>
      <c r="AB280" s="4"/>
      <c r="AC280" s="4"/>
      <c r="AD280" s="4"/>
      <c r="AE280" s="4"/>
      <c r="AF280" s="4"/>
    </row>
    <row r="281">
      <c r="A281" s="73"/>
      <c r="B281" s="73"/>
      <c r="C281" s="147"/>
      <c r="D281" s="103" t="str">
        <f t="array" ref="D281">XLOOKUP(C281,'Master Data'!C:C,'Master Data'!D:D)</f>
        <v>#N/A</v>
      </c>
      <c r="E281" s="104"/>
      <c r="F281" s="105" t="str">
        <f t="array" ref="F281">XLOOKUP(C281,'Master Data'!C:C,'Master Data'!D:D)</f>
        <v>#N/A</v>
      </c>
      <c r="G281" s="90" t="str">
        <f t="array" ref="G281">XLOOKUP(C281,'Master Data'!C:C,'Master Data'!E:E)</f>
        <v>#N/A</v>
      </c>
      <c r="H281" s="88" t="str">
        <f t="array" ref="H281">XLOOKUP(C281,'Master Data'!C:C,'Master Data'!F:F)</f>
        <v>#N/A</v>
      </c>
      <c r="I281" s="72" t="str">
        <f t="array" ref="I281">XLOOKUP(C281,'Master Data'!C:C,'Master Data'!G:G)</f>
        <v>#N/A</v>
      </c>
      <c r="J281" s="72" t="str">
        <f t="array" ref="J281">XLOOKUP(C281,'Master Data'!C:C,'Master Data'!H:H)</f>
        <v>#N/A</v>
      </c>
      <c r="K281" s="73"/>
      <c r="L281" s="149"/>
      <c r="M281" s="73"/>
      <c r="N281" s="73"/>
      <c r="O281" s="73"/>
      <c r="P281" s="73"/>
      <c r="Q281" s="73"/>
      <c r="R281" s="109"/>
      <c r="S281" s="4"/>
      <c r="T281" s="4"/>
      <c r="U281" s="4"/>
      <c r="V281" s="4"/>
      <c r="W281" s="4"/>
      <c r="X281" s="4"/>
      <c r="Y281" s="4"/>
      <c r="Z281" s="4"/>
      <c r="AA281" s="4"/>
      <c r="AB281" s="4"/>
      <c r="AC281" s="4"/>
      <c r="AD281" s="4"/>
      <c r="AE281" s="4"/>
      <c r="AF281" s="4"/>
    </row>
    <row r="282">
      <c r="A282" s="73"/>
      <c r="B282" s="73"/>
      <c r="C282" s="147"/>
      <c r="D282" s="103" t="str">
        <f t="array" ref="D282">XLOOKUP(C282,'Master Data'!C:C,'Master Data'!D:D)</f>
        <v>#N/A</v>
      </c>
      <c r="E282" s="104"/>
      <c r="F282" s="105" t="str">
        <f t="array" ref="F282">XLOOKUP(C282,'Master Data'!C:C,'Master Data'!D:D)</f>
        <v>#N/A</v>
      </c>
      <c r="G282" s="90" t="str">
        <f t="array" ref="G282">XLOOKUP(C282,'Master Data'!C:C,'Master Data'!E:E)</f>
        <v>#N/A</v>
      </c>
      <c r="H282" s="88" t="str">
        <f t="array" ref="H282">XLOOKUP(C282,'Master Data'!C:C,'Master Data'!F:F)</f>
        <v>#N/A</v>
      </c>
      <c r="I282" s="72" t="str">
        <f t="array" ref="I282">XLOOKUP(C282,'Master Data'!C:C,'Master Data'!G:G)</f>
        <v>#N/A</v>
      </c>
      <c r="J282" s="72" t="str">
        <f t="array" ref="J282">XLOOKUP(C282,'Master Data'!C:C,'Master Data'!H:H)</f>
        <v>#N/A</v>
      </c>
      <c r="K282" s="73"/>
      <c r="L282" s="149"/>
      <c r="M282" s="73"/>
      <c r="N282" s="73"/>
      <c r="O282" s="73"/>
      <c r="P282" s="73"/>
      <c r="Q282" s="73"/>
      <c r="R282" s="109"/>
      <c r="S282" s="4"/>
      <c r="T282" s="4"/>
      <c r="U282" s="4"/>
      <c r="V282" s="4"/>
      <c r="W282" s="4"/>
      <c r="X282" s="4"/>
      <c r="Y282" s="4"/>
      <c r="Z282" s="4"/>
      <c r="AA282" s="4"/>
      <c r="AB282" s="4"/>
      <c r="AC282" s="4"/>
      <c r="AD282" s="4"/>
      <c r="AE282" s="4"/>
      <c r="AF282" s="4"/>
    </row>
    <row r="283">
      <c r="A283" s="73"/>
      <c r="B283" s="73"/>
      <c r="C283" s="147"/>
      <c r="D283" s="103" t="str">
        <f t="array" ref="D283">XLOOKUP(C283,'Master Data'!C:C,'Master Data'!D:D)</f>
        <v>#N/A</v>
      </c>
      <c r="E283" s="104"/>
      <c r="F283" s="105" t="str">
        <f t="array" ref="F283">XLOOKUP(C283,'Master Data'!C:C,'Master Data'!D:D)</f>
        <v>#N/A</v>
      </c>
      <c r="G283" s="90" t="str">
        <f t="array" ref="G283">XLOOKUP(C283,'Master Data'!C:C,'Master Data'!E:E)</f>
        <v>#N/A</v>
      </c>
      <c r="H283" s="88" t="str">
        <f t="array" ref="H283">XLOOKUP(C283,'Master Data'!C:C,'Master Data'!F:F)</f>
        <v>#N/A</v>
      </c>
      <c r="I283" s="72" t="str">
        <f t="array" ref="I283">XLOOKUP(C283,'Master Data'!C:C,'Master Data'!G:G)</f>
        <v>#N/A</v>
      </c>
      <c r="J283" s="72" t="str">
        <f t="array" ref="J283">XLOOKUP(C283,'Master Data'!C:C,'Master Data'!H:H)</f>
        <v>#N/A</v>
      </c>
      <c r="K283" s="73"/>
      <c r="L283" s="149"/>
      <c r="M283" s="73"/>
      <c r="N283" s="73"/>
      <c r="O283" s="73"/>
      <c r="P283" s="73"/>
      <c r="Q283" s="73"/>
      <c r="R283" s="109"/>
      <c r="S283" s="4"/>
      <c r="T283" s="4"/>
      <c r="U283" s="4"/>
      <c r="V283" s="4"/>
      <c r="W283" s="4"/>
      <c r="X283" s="4"/>
      <c r="Y283" s="4"/>
      <c r="Z283" s="4"/>
      <c r="AA283" s="4"/>
      <c r="AB283" s="4"/>
      <c r="AC283" s="4"/>
      <c r="AD283" s="4"/>
      <c r="AE283" s="4"/>
      <c r="AF283" s="4"/>
    </row>
    <row r="284">
      <c r="A284" s="73"/>
      <c r="B284" s="73"/>
      <c r="C284" s="147"/>
      <c r="D284" s="103" t="str">
        <f t="array" ref="D284">XLOOKUP(C284,'Master Data'!C:C,'Master Data'!D:D)</f>
        <v>#N/A</v>
      </c>
      <c r="E284" s="104"/>
      <c r="F284" s="105" t="str">
        <f t="array" ref="F284">XLOOKUP(C284,'Master Data'!C:C,'Master Data'!D:D)</f>
        <v>#N/A</v>
      </c>
      <c r="G284" s="90" t="str">
        <f t="array" ref="G284">XLOOKUP(C284,'Master Data'!C:C,'Master Data'!E:E)</f>
        <v>#N/A</v>
      </c>
      <c r="H284" s="88" t="str">
        <f t="array" ref="H284">XLOOKUP(C284,'Master Data'!C:C,'Master Data'!F:F)</f>
        <v>#N/A</v>
      </c>
      <c r="I284" s="72" t="str">
        <f t="array" ref="I284">XLOOKUP(C284,'Master Data'!C:C,'Master Data'!G:G)</f>
        <v>#N/A</v>
      </c>
      <c r="J284" s="72" t="str">
        <f t="array" ref="J284">XLOOKUP(C284,'Master Data'!C:C,'Master Data'!H:H)</f>
        <v>#N/A</v>
      </c>
      <c r="K284" s="73"/>
      <c r="L284" s="149"/>
      <c r="M284" s="73"/>
      <c r="N284" s="73"/>
      <c r="O284" s="73"/>
      <c r="P284" s="73"/>
      <c r="Q284" s="73"/>
      <c r="R284" s="109"/>
      <c r="S284" s="4"/>
      <c r="T284" s="4"/>
      <c r="U284" s="4"/>
      <c r="V284" s="4"/>
      <c r="W284" s="4"/>
      <c r="X284" s="4"/>
      <c r="Y284" s="4"/>
      <c r="Z284" s="4"/>
      <c r="AA284" s="4"/>
      <c r="AB284" s="4"/>
      <c r="AC284" s="4"/>
      <c r="AD284" s="4"/>
      <c r="AE284" s="4"/>
      <c r="AF284" s="4"/>
    </row>
    <row r="285">
      <c r="A285" s="73"/>
      <c r="B285" s="73"/>
      <c r="C285" s="147"/>
      <c r="D285" s="103" t="str">
        <f t="array" ref="D285">XLOOKUP(C285,'Master Data'!C:C,'Master Data'!D:D)</f>
        <v>#N/A</v>
      </c>
      <c r="E285" s="104"/>
      <c r="F285" s="105" t="str">
        <f t="array" ref="F285">XLOOKUP(C285,'Master Data'!C:C,'Master Data'!D:D)</f>
        <v>#N/A</v>
      </c>
      <c r="G285" s="90" t="str">
        <f t="array" ref="G285">XLOOKUP(C285,'Master Data'!C:C,'Master Data'!E:E)</f>
        <v>#N/A</v>
      </c>
      <c r="H285" s="88" t="str">
        <f t="array" ref="H285">XLOOKUP(C285,'Master Data'!C:C,'Master Data'!F:F)</f>
        <v>#N/A</v>
      </c>
      <c r="I285" s="72" t="str">
        <f t="array" ref="I285">XLOOKUP(C285,'Master Data'!C:C,'Master Data'!G:G)</f>
        <v>#N/A</v>
      </c>
      <c r="J285" s="72" t="str">
        <f t="array" ref="J285">XLOOKUP(C285,'Master Data'!C:C,'Master Data'!H:H)</f>
        <v>#N/A</v>
      </c>
      <c r="K285" s="73"/>
      <c r="L285" s="149"/>
      <c r="M285" s="73"/>
      <c r="N285" s="73"/>
      <c r="O285" s="73"/>
      <c r="P285" s="73"/>
      <c r="Q285" s="73"/>
      <c r="R285" s="109"/>
      <c r="S285" s="4"/>
      <c r="T285" s="4"/>
      <c r="U285" s="4"/>
      <c r="V285" s="4"/>
      <c r="W285" s="4"/>
      <c r="X285" s="4"/>
      <c r="Y285" s="4"/>
      <c r="Z285" s="4"/>
      <c r="AA285" s="4"/>
      <c r="AB285" s="4"/>
      <c r="AC285" s="4"/>
      <c r="AD285" s="4"/>
      <c r="AE285" s="4"/>
      <c r="AF285" s="4"/>
    </row>
    <row r="286">
      <c r="A286" s="73"/>
      <c r="B286" s="73"/>
      <c r="C286" s="147"/>
      <c r="D286" s="103" t="str">
        <f t="array" ref="D286">XLOOKUP(C286,'Master Data'!C:C,'Master Data'!D:D)</f>
        <v>#N/A</v>
      </c>
      <c r="E286" s="104"/>
      <c r="F286" s="105" t="str">
        <f t="array" ref="F286">XLOOKUP(C286,'Master Data'!C:C,'Master Data'!D:D)</f>
        <v>#N/A</v>
      </c>
      <c r="G286" s="90" t="str">
        <f t="array" ref="G286">XLOOKUP(C286,'Master Data'!C:C,'Master Data'!E:E)</f>
        <v>#N/A</v>
      </c>
      <c r="H286" s="88" t="str">
        <f t="array" ref="H286">XLOOKUP(C286,'Master Data'!C:C,'Master Data'!F:F)</f>
        <v>#N/A</v>
      </c>
      <c r="I286" s="72" t="str">
        <f t="array" ref="I286">XLOOKUP(C286,'Master Data'!C:C,'Master Data'!G:G)</f>
        <v>#N/A</v>
      </c>
      <c r="J286" s="72" t="str">
        <f t="array" ref="J286">XLOOKUP(C286,'Master Data'!C:C,'Master Data'!H:H)</f>
        <v>#N/A</v>
      </c>
      <c r="K286" s="73"/>
      <c r="L286" s="149"/>
      <c r="M286" s="73"/>
      <c r="N286" s="73"/>
      <c r="O286" s="73"/>
      <c r="P286" s="73"/>
      <c r="Q286" s="73"/>
      <c r="R286" s="109"/>
      <c r="S286" s="4"/>
      <c r="T286" s="4"/>
      <c r="U286" s="4"/>
      <c r="V286" s="4"/>
      <c r="W286" s="4"/>
      <c r="X286" s="4"/>
      <c r="Y286" s="4"/>
      <c r="Z286" s="4"/>
      <c r="AA286" s="4"/>
      <c r="AB286" s="4"/>
      <c r="AC286" s="4"/>
      <c r="AD286" s="4"/>
      <c r="AE286" s="4"/>
      <c r="AF286" s="4"/>
    </row>
    <row r="287">
      <c r="A287" s="73"/>
      <c r="B287" s="73"/>
      <c r="C287" s="147"/>
      <c r="D287" s="103" t="str">
        <f t="array" ref="D287">XLOOKUP(C287,'Master Data'!C:C,'Master Data'!D:D)</f>
        <v>#N/A</v>
      </c>
      <c r="E287" s="104"/>
      <c r="F287" s="105" t="str">
        <f t="array" ref="F287">XLOOKUP(C287,'Master Data'!C:C,'Master Data'!D:D)</f>
        <v>#N/A</v>
      </c>
      <c r="G287" s="90" t="str">
        <f t="array" ref="G287">XLOOKUP(C287,'Master Data'!C:C,'Master Data'!E:E)</f>
        <v>#N/A</v>
      </c>
      <c r="H287" s="88" t="str">
        <f t="array" ref="H287">XLOOKUP(C287,'Master Data'!C:C,'Master Data'!F:F)</f>
        <v>#N/A</v>
      </c>
      <c r="I287" s="72" t="str">
        <f t="array" ref="I287">XLOOKUP(C287,'Master Data'!C:C,'Master Data'!G:G)</f>
        <v>#N/A</v>
      </c>
      <c r="J287" s="72" t="str">
        <f t="array" ref="J287">XLOOKUP(C287,'Master Data'!C:C,'Master Data'!H:H)</f>
        <v>#N/A</v>
      </c>
      <c r="K287" s="73"/>
      <c r="L287" s="149"/>
      <c r="M287" s="73"/>
      <c r="N287" s="73"/>
      <c r="O287" s="73"/>
      <c r="P287" s="73"/>
      <c r="Q287" s="73"/>
      <c r="R287" s="109"/>
      <c r="S287" s="4"/>
      <c r="T287" s="4"/>
      <c r="U287" s="4"/>
      <c r="V287" s="4"/>
      <c r="W287" s="4"/>
      <c r="X287" s="4"/>
      <c r="Y287" s="4"/>
      <c r="Z287" s="4"/>
      <c r="AA287" s="4"/>
      <c r="AB287" s="4"/>
      <c r="AC287" s="4"/>
      <c r="AD287" s="4"/>
      <c r="AE287" s="4"/>
      <c r="AF287" s="4"/>
    </row>
    <row r="288">
      <c r="A288" s="73"/>
      <c r="B288" s="73"/>
      <c r="C288" s="147"/>
      <c r="D288" s="103" t="str">
        <f t="array" ref="D288">XLOOKUP(C288,'Master Data'!C:C,'Master Data'!D:D)</f>
        <v>#N/A</v>
      </c>
      <c r="E288" s="104"/>
      <c r="F288" s="105" t="str">
        <f t="array" ref="F288">XLOOKUP(C288,'Master Data'!C:C,'Master Data'!D:D)</f>
        <v>#N/A</v>
      </c>
      <c r="G288" s="90" t="str">
        <f t="array" ref="G288">XLOOKUP(C288,'Master Data'!C:C,'Master Data'!E:E)</f>
        <v>#N/A</v>
      </c>
      <c r="H288" s="88" t="str">
        <f t="array" ref="H288">XLOOKUP(C288,'Master Data'!C:C,'Master Data'!F:F)</f>
        <v>#N/A</v>
      </c>
      <c r="I288" s="72" t="str">
        <f t="array" ref="I288">XLOOKUP(C288,'Master Data'!C:C,'Master Data'!G:G)</f>
        <v>#N/A</v>
      </c>
      <c r="J288" s="72" t="str">
        <f t="array" ref="J288">XLOOKUP(C288,'Master Data'!C:C,'Master Data'!H:H)</f>
        <v>#N/A</v>
      </c>
      <c r="K288" s="73"/>
      <c r="L288" s="149"/>
      <c r="M288" s="73"/>
      <c r="N288" s="73"/>
      <c r="O288" s="73"/>
      <c r="P288" s="73"/>
      <c r="Q288" s="73"/>
      <c r="R288" s="109"/>
      <c r="S288" s="4"/>
      <c r="T288" s="4"/>
      <c r="U288" s="4"/>
      <c r="V288" s="4"/>
      <c r="W288" s="4"/>
      <c r="X288" s="4"/>
      <c r="Y288" s="4"/>
      <c r="Z288" s="4"/>
      <c r="AA288" s="4"/>
      <c r="AB288" s="4"/>
      <c r="AC288" s="4"/>
      <c r="AD288" s="4"/>
      <c r="AE288" s="4"/>
      <c r="AF288" s="4"/>
    </row>
    <row r="289">
      <c r="A289" s="73"/>
      <c r="B289" s="73"/>
      <c r="C289" s="147"/>
      <c r="D289" s="103" t="str">
        <f t="array" ref="D289">XLOOKUP(C289,'Master Data'!C:C,'Master Data'!D:D)</f>
        <v>#N/A</v>
      </c>
      <c r="E289" s="104"/>
      <c r="F289" s="105" t="str">
        <f t="array" ref="F289">XLOOKUP(C289,'Master Data'!C:C,'Master Data'!D:D)</f>
        <v>#N/A</v>
      </c>
      <c r="G289" s="90" t="str">
        <f t="array" ref="G289">XLOOKUP(C289,'Master Data'!C:C,'Master Data'!E:E)</f>
        <v>#N/A</v>
      </c>
      <c r="H289" s="88" t="str">
        <f t="array" ref="H289">XLOOKUP(C289,'Master Data'!C:C,'Master Data'!F:F)</f>
        <v>#N/A</v>
      </c>
      <c r="I289" s="72" t="str">
        <f t="array" ref="I289">XLOOKUP(C289,'Master Data'!C:C,'Master Data'!G:G)</f>
        <v>#N/A</v>
      </c>
      <c r="J289" s="72" t="str">
        <f t="array" ref="J289">XLOOKUP(C289,'Master Data'!C:C,'Master Data'!H:H)</f>
        <v>#N/A</v>
      </c>
      <c r="K289" s="73"/>
      <c r="L289" s="149"/>
      <c r="M289" s="73"/>
      <c r="N289" s="73"/>
      <c r="O289" s="73"/>
      <c r="P289" s="73"/>
      <c r="Q289" s="73"/>
      <c r="R289" s="109"/>
      <c r="S289" s="4"/>
      <c r="T289" s="4"/>
      <c r="U289" s="4"/>
      <c r="V289" s="4"/>
      <c r="W289" s="4"/>
      <c r="X289" s="4"/>
      <c r="Y289" s="4"/>
      <c r="Z289" s="4"/>
      <c r="AA289" s="4"/>
      <c r="AB289" s="4"/>
      <c r="AC289" s="4"/>
      <c r="AD289" s="4"/>
      <c r="AE289" s="4"/>
      <c r="AF289" s="4"/>
    </row>
    <row r="290">
      <c r="A290" s="73"/>
      <c r="B290" s="73"/>
      <c r="C290" s="147"/>
      <c r="D290" s="103" t="str">
        <f t="array" ref="D290">XLOOKUP(C290,'Master Data'!C:C,'Master Data'!D:D)</f>
        <v>#N/A</v>
      </c>
      <c r="E290" s="104"/>
      <c r="F290" s="105" t="str">
        <f t="array" ref="F290">XLOOKUP(C290,'Master Data'!C:C,'Master Data'!D:D)</f>
        <v>#N/A</v>
      </c>
      <c r="G290" s="90" t="str">
        <f t="array" ref="G290">XLOOKUP(C290,'Master Data'!C:C,'Master Data'!E:E)</f>
        <v>#N/A</v>
      </c>
      <c r="H290" s="88" t="str">
        <f t="array" ref="H290">XLOOKUP(C290,'Master Data'!C:C,'Master Data'!F:F)</f>
        <v>#N/A</v>
      </c>
      <c r="I290" s="72" t="str">
        <f t="array" ref="I290">XLOOKUP(C290,'Master Data'!C:C,'Master Data'!G:G)</f>
        <v>#N/A</v>
      </c>
      <c r="J290" s="72" t="str">
        <f t="array" ref="J290">XLOOKUP(C290,'Master Data'!C:C,'Master Data'!H:H)</f>
        <v>#N/A</v>
      </c>
      <c r="K290" s="73"/>
      <c r="L290" s="149"/>
      <c r="M290" s="73"/>
      <c r="N290" s="73"/>
      <c r="O290" s="73"/>
      <c r="P290" s="73"/>
      <c r="Q290" s="73"/>
      <c r="R290" s="109"/>
      <c r="S290" s="4"/>
      <c r="T290" s="4"/>
      <c r="U290" s="4"/>
      <c r="V290" s="4"/>
      <c r="W290" s="4"/>
      <c r="X290" s="4"/>
      <c r="Y290" s="4"/>
      <c r="Z290" s="4"/>
      <c r="AA290" s="4"/>
      <c r="AB290" s="4"/>
      <c r="AC290" s="4"/>
      <c r="AD290" s="4"/>
      <c r="AE290" s="4"/>
      <c r="AF290" s="4"/>
    </row>
    <row r="291">
      <c r="A291" s="73"/>
      <c r="B291" s="73"/>
      <c r="C291" s="147"/>
      <c r="D291" s="103" t="str">
        <f t="array" ref="D291">XLOOKUP(C291,'Master Data'!C:C,'Master Data'!D:D)</f>
        <v>#N/A</v>
      </c>
      <c r="E291" s="104"/>
      <c r="F291" s="105" t="str">
        <f t="array" ref="F291">XLOOKUP(C291,'Master Data'!C:C,'Master Data'!D:D)</f>
        <v>#N/A</v>
      </c>
      <c r="G291" s="90" t="str">
        <f t="array" ref="G291">XLOOKUP(C291,'Master Data'!C:C,'Master Data'!E:E)</f>
        <v>#N/A</v>
      </c>
      <c r="H291" s="88" t="str">
        <f t="array" ref="H291">XLOOKUP(C291,'Master Data'!C:C,'Master Data'!F:F)</f>
        <v>#N/A</v>
      </c>
      <c r="I291" s="72" t="str">
        <f t="array" ref="I291">XLOOKUP(C291,'Master Data'!C:C,'Master Data'!G:G)</f>
        <v>#N/A</v>
      </c>
      <c r="J291" s="72" t="str">
        <f t="array" ref="J291">XLOOKUP(C291,'Master Data'!C:C,'Master Data'!H:H)</f>
        <v>#N/A</v>
      </c>
      <c r="K291" s="73"/>
      <c r="L291" s="149"/>
      <c r="M291" s="73"/>
      <c r="N291" s="73"/>
      <c r="O291" s="73"/>
      <c r="P291" s="73"/>
      <c r="Q291" s="73"/>
      <c r="R291" s="109"/>
      <c r="S291" s="4"/>
      <c r="T291" s="4"/>
      <c r="U291" s="4"/>
      <c r="V291" s="4"/>
      <c r="W291" s="4"/>
      <c r="X291" s="4"/>
      <c r="Y291" s="4"/>
      <c r="Z291" s="4"/>
      <c r="AA291" s="4"/>
      <c r="AB291" s="4"/>
      <c r="AC291" s="4"/>
      <c r="AD291" s="4"/>
      <c r="AE291" s="4"/>
      <c r="AF291" s="4"/>
    </row>
    <row r="292">
      <c r="A292" s="73"/>
      <c r="B292" s="73"/>
      <c r="C292" s="147"/>
      <c r="D292" s="103" t="str">
        <f t="array" ref="D292">XLOOKUP(C292,'Master Data'!C:C,'Master Data'!D:D)</f>
        <v>#N/A</v>
      </c>
      <c r="E292" s="104"/>
      <c r="F292" s="105" t="str">
        <f t="array" ref="F292">XLOOKUP(C292,'Master Data'!C:C,'Master Data'!D:D)</f>
        <v>#N/A</v>
      </c>
      <c r="G292" s="90" t="str">
        <f t="array" ref="G292">XLOOKUP(C292,'Master Data'!C:C,'Master Data'!E:E)</f>
        <v>#N/A</v>
      </c>
      <c r="H292" s="88" t="str">
        <f t="array" ref="H292">XLOOKUP(C292,'Master Data'!C:C,'Master Data'!F:F)</f>
        <v>#N/A</v>
      </c>
      <c r="I292" s="72" t="str">
        <f t="array" ref="I292">XLOOKUP(C292,'Master Data'!C:C,'Master Data'!G:G)</f>
        <v>#N/A</v>
      </c>
      <c r="J292" s="72" t="str">
        <f t="array" ref="J292">XLOOKUP(C292,'Master Data'!C:C,'Master Data'!H:H)</f>
        <v>#N/A</v>
      </c>
      <c r="K292" s="73"/>
      <c r="L292" s="149"/>
      <c r="M292" s="73"/>
      <c r="N292" s="73"/>
      <c r="O292" s="73"/>
      <c r="P292" s="73"/>
      <c r="Q292" s="73"/>
      <c r="R292" s="109"/>
      <c r="S292" s="4"/>
      <c r="T292" s="4"/>
      <c r="U292" s="4"/>
      <c r="V292" s="4"/>
      <c r="W292" s="4"/>
      <c r="X292" s="4"/>
      <c r="Y292" s="4"/>
      <c r="Z292" s="4"/>
      <c r="AA292" s="4"/>
      <c r="AB292" s="4"/>
      <c r="AC292" s="4"/>
      <c r="AD292" s="4"/>
      <c r="AE292" s="4"/>
      <c r="AF292" s="4"/>
    </row>
    <row r="293">
      <c r="A293" s="73"/>
      <c r="B293" s="73"/>
      <c r="C293" s="147"/>
      <c r="D293" s="103" t="str">
        <f t="array" ref="D293">XLOOKUP(C293,'Master Data'!C:C,'Master Data'!D:D)</f>
        <v>#N/A</v>
      </c>
      <c r="E293" s="104"/>
      <c r="F293" s="105" t="str">
        <f t="array" ref="F293">XLOOKUP(C293,'Master Data'!C:C,'Master Data'!D:D)</f>
        <v>#N/A</v>
      </c>
      <c r="G293" s="90" t="str">
        <f t="array" ref="G293">XLOOKUP(C293,'Master Data'!C:C,'Master Data'!E:E)</f>
        <v>#N/A</v>
      </c>
      <c r="H293" s="88" t="str">
        <f t="array" ref="H293">XLOOKUP(C293,'Master Data'!C:C,'Master Data'!F:F)</f>
        <v>#N/A</v>
      </c>
      <c r="I293" s="72" t="str">
        <f t="array" ref="I293">XLOOKUP(C293,'Master Data'!C:C,'Master Data'!G:G)</f>
        <v>#N/A</v>
      </c>
      <c r="J293" s="72" t="str">
        <f t="array" ref="J293">XLOOKUP(C293,'Master Data'!C:C,'Master Data'!H:H)</f>
        <v>#N/A</v>
      </c>
      <c r="K293" s="73"/>
      <c r="L293" s="149"/>
      <c r="M293" s="73"/>
      <c r="N293" s="73"/>
      <c r="O293" s="73"/>
      <c r="P293" s="73"/>
      <c r="Q293" s="73"/>
      <c r="R293" s="109"/>
      <c r="S293" s="4"/>
      <c r="T293" s="4"/>
      <c r="U293" s="4"/>
      <c r="V293" s="4"/>
      <c r="W293" s="4"/>
      <c r="X293" s="4"/>
      <c r="Y293" s="4"/>
      <c r="Z293" s="4"/>
      <c r="AA293" s="4"/>
      <c r="AB293" s="4"/>
      <c r="AC293" s="4"/>
      <c r="AD293" s="4"/>
      <c r="AE293" s="4"/>
      <c r="AF293" s="4"/>
    </row>
    <row r="294">
      <c r="A294" s="73"/>
      <c r="B294" s="73"/>
      <c r="C294" s="147"/>
      <c r="D294" s="103" t="str">
        <f t="array" ref="D294">XLOOKUP(C294,'Master Data'!C:C,'Master Data'!D:D)</f>
        <v>#N/A</v>
      </c>
      <c r="E294" s="104"/>
      <c r="F294" s="105" t="str">
        <f t="array" ref="F294">XLOOKUP(C294,'Master Data'!C:C,'Master Data'!D:D)</f>
        <v>#N/A</v>
      </c>
      <c r="G294" s="90" t="str">
        <f t="array" ref="G294">XLOOKUP(C294,'Master Data'!C:C,'Master Data'!E:E)</f>
        <v>#N/A</v>
      </c>
      <c r="H294" s="88" t="str">
        <f t="array" ref="H294">XLOOKUP(C294,'Master Data'!C:C,'Master Data'!F:F)</f>
        <v>#N/A</v>
      </c>
      <c r="I294" s="72" t="str">
        <f t="array" ref="I294">XLOOKUP(C294,'Master Data'!C:C,'Master Data'!G:G)</f>
        <v>#N/A</v>
      </c>
      <c r="J294" s="72" t="str">
        <f t="array" ref="J294">XLOOKUP(C294,'Master Data'!C:C,'Master Data'!H:H)</f>
        <v>#N/A</v>
      </c>
      <c r="K294" s="73"/>
      <c r="L294" s="149"/>
      <c r="M294" s="73"/>
      <c r="N294" s="73"/>
      <c r="O294" s="73"/>
      <c r="P294" s="73"/>
      <c r="Q294" s="73"/>
      <c r="R294" s="109"/>
      <c r="S294" s="4"/>
      <c r="T294" s="4"/>
      <c r="U294" s="4"/>
      <c r="V294" s="4"/>
      <c r="W294" s="4"/>
      <c r="X294" s="4"/>
      <c r="Y294" s="4"/>
      <c r="Z294" s="4"/>
      <c r="AA294" s="4"/>
      <c r="AB294" s="4"/>
      <c r="AC294" s="4"/>
      <c r="AD294" s="4"/>
      <c r="AE294" s="4"/>
      <c r="AF294" s="4"/>
    </row>
    <row r="295">
      <c r="A295" s="73"/>
      <c r="B295" s="73"/>
      <c r="C295" s="147"/>
      <c r="D295" s="103" t="str">
        <f t="array" ref="D295">XLOOKUP(C295,'Master Data'!C:C,'Master Data'!D:D)</f>
        <v>#N/A</v>
      </c>
      <c r="E295" s="104"/>
      <c r="F295" s="105" t="str">
        <f t="array" ref="F295">XLOOKUP(C295,'Master Data'!C:C,'Master Data'!D:D)</f>
        <v>#N/A</v>
      </c>
      <c r="G295" s="90" t="str">
        <f t="array" ref="G295">XLOOKUP(C295,'Master Data'!C:C,'Master Data'!E:E)</f>
        <v>#N/A</v>
      </c>
      <c r="H295" s="88" t="str">
        <f t="array" ref="H295">XLOOKUP(C295,'Master Data'!C:C,'Master Data'!F:F)</f>
        <v>#N/A</v>
      </c>
      <c r="I295" s="72" t="str">
        <f t="array" ref="I295">XLOOKUP(C295,'Master Data'!C:C,'Master Data'!G:G)</f>
        <v>#N/A</v>
      </c>
      <c r="J295" s="72" t="str">
        <f t="array" ref="J295">XLOOKUP(C295,'Master Data'!C:C,'Master Data'!H:H)</f>
        <v>#N/A</v>
      </c>
      <c r="K295" s="73"/>
      <c r="L295" s="149"/>
      <c r="M295" s="73"/>
      <c r="N295" s="73"/>
      <c r="O295" s="73"/>
      <c r="P295" s="73"/>
      <c r="Q295" s="73"/>
      <c r="R295" s="109"/>
      <c r="S295" s="4"/>
      <c r="T295" s="4"/>
      <c r="U295" s="4"/>
      <c r="V295" s="4"/>
      <c r="W295" s="4"/>
      <c r="X295" s="4"/>
      <c r="Y295" s="4"/>
      <c r="Z295" s="4"/>
      <c r="AA295" s="4"/>
      <c r="AB295" s="4"/>
      <c r="AC295" s="4"/>
      <c r="AD295" s="4"/>
      <c r="AE295" s="4"/>
      <c r="AF295" s="4"/>
    </row>
    <row r="296">
      <c r="A296" s="73"/>
      <c r="B296" s="73"/>
      <c r="C296" s="147"/>
      <c r="D296" s="103" t="str">
        <f t="array" ref="D296">XLOOKUP(C296,'Master Data'!C:C,'Master Data'!D:D)</f>
        <v>#N/A</v>
      </c>
      <c r="E296" s="104"/>
      <c r="F296" s="105" t="str">
        <f t="array" ref="F296">XLOOKUP(C296,'Master Data'!C:C,'Master Data'!D:D)</f>
        <v>#N/A</v>
      </c>
      <c r="G296" s="90" t="str">
        <f t="array" ref="G296">XLOOKUP(C296,'Master Data'!C:C,'Master Data'!E:E)</f>
        <v>#N/A</v>
      </c>
      <c r="H296" s="88" t="str">
        <f t="array" ref="H296">XLOOKUP(C296,'Master Data'!C:C,'Master Data'!F:F)</f>
        <v>#N/A</v>
      </c>
      <c r="I296" s="72" t="str">
        <f t="array" ref="I296">XLOOKUP(C296,'Master Data'!C:C,'Master Data'!G:G)</f>
        <v>#N/A</v>
      </c>
      <c r="J296" s="72" t="str">
        <f t="array" ref="J296">XLOOKUP(C296,'Master Data'!C:C,'Master Data'!H:H)</f>
        <v>#N/A</v>
      </c>
      <c r="K296" s="73"/>
      <c r="L296" s="149"/>
      <c r="M296" s="73"/>
      <c r="N296" s="73"/>
      <c r="O296" s="73"/>
      <c r="P296" s="73"/>
      <c r="Q296" s="73"/>
      <c r="R296" s="109"/>
      <c r="S296" s="4"/>
      <c r="T296" s="4"/>
      <c r="U296" s="4"/>
      <c r="V296" s="4"/>
      <c r="W296" s="4"/>
      <c r="X296" s="4"/>
      <c r="Y296" s="4"/>
      <c r="Z296" s="4"/>
      <c r="AA296" s="4"/>
      <c r="AB296" s="4"/>
      <c r="AC296" s="4"/>
      <c r="AD296" s="4"/>
      <c r="AE296" s="4"/>
      <c r="AF296" s="4"/>
    </row>
    <row r="297">
      <c r="A297" s="73"/>
      <c r="B297" s="73"/>
      <c r="C297" s="147"/>
      <c r="D297" s="103" t="str">
        <f t="array" ref="D297">XLOOKUP(C297,'Master Data'!C:C,'Master Data'!D:D)</f>
        <v>#N/A</v>
      </c>
      <c r="E297" s="104"/>
      <c r="F297" s="105" t="str">
        <f t="array" ref="F297">XLOOKUP(C297,'Master Data'!C:C,'Master Data'!D:D)</f>
        <v>#N/A</v>
      </c>
      <c r="G297" s="90" t="str">
        <f t="array" ref="G297">XLOOKUP(C297,'Master Data'!C:C,'Master Data'!E:E)</f>
        <v>#N/A</v>
      </c>
      <c r="H297" s="88" t="str">
        <f t="array" ref="H297">XLOOKUP(C297,'Master Data'!C:C,'Master Data'!F:F)</f>
        <v>#N/A</v>
      </c>
      <c r="I297" s="72" t="str">
        <f t="array" ref="I297">XLOOKUP(C297,'Master Data'!C:C,'Master Data'!G:G)</f>
        <v>#N/A</v>
      </c>
      <c r="J297" s="72" t="str">
        <f t="array" ref="J297">XLOOKUP(C297,'Master Data'!C:C,'Master Data'!H:H)</f>
        <v>#N/A</v>
      </c>
      <c r="K297" s="73"/>
      <c r="L297" s="149"/>
      <c r="M297" s="73"/>
      <c r="N297" s="73"/>
      <c r="O297" s="73"/>
      <c r="P297" s="73"/>
      <c r="Q297" s="73"/>
      <c r="R297" s="109"/>
      <c r="S297" s="4"/>
      <c r="T297" s="4"/>
      <c r="U297" s="4"/>
      <c r="V297" s="4"/>
      <c r="W297" s="4"/>
      <c r="X297" s="4"/>
      <c r="Y297" s="4"/>
      <c r="Z297" s="4"/>
      <c r="AA297" s="4"/>
      <c r="AB297" s="4"/>
      <c r="AC297" s="4"/>
      <c r="AD297" s="4"/>
      <c r="AE297" s="4"/>
      <c r="AF297" s="4"/>
    </row>
    <row r="298">
      <c r="A298" s="73"/>
      <c r="B298" s="73"/>
      <c r="C298" s="147"/>
      <c r="D298" s="103" t="str">
        <f t="array" ref="D298">XLOOKUP(C298,'Master Data'!C:C,'Master Data'!D:D)</f>
        <v>#N/A</v>
      </c>
      <c r="E298" s="104"/>
      <c r="F298" s="105" t="str">
        <f t="array" ref="F298">XLOOKUP(C298,'Master Data'!C:C,'Master Data'!D:D)</f>
        <v>#N/A</v>
      </c>
      <c r="G298" s="90" t="str">
        <f t="array" ref="G298">XLOOKUP(C298,'Master Data'!C:C,'Master Data'!E:E)</f>
        <v>#N/A</v>
      </c>
      <c r="H298" s="88" t="str">
        <f t="array" ref="H298">XLOOKUP(C298,'Master Data'!C:C,'Master Data'!F:F)</f>
        <v>#N/A</v>
      </c>
      <c r="I298" s="72" t="str">
        <f t="array" ref="I298">XLOOKUP(C298,'Master Data'!C:C,'Master Data'!G:G)</f>
        <v>#N/A</v>
      </c>
      <c r="J298" s="72" t="str">
        <f t="array" ref="J298">XLOOKUP(C298,'Master Data'!C:C,'Master Data'!H:H)</f>
        <v>#N/A</v>
      </c>
      <c r="K298" s="73"/>
      <c r="L298" s="149"/>
      <c r="M298" s="73"/>
      <c r="N298" s="73"/>
      <c r="O298" s="73"/>
      <c r="P298" s="73"/>
      <c r="Q298" s="73"/>
      <c r="R298" s="109"/>
      <c r="S298" s="4"/>
      <c r="T298" s="4"/>
      <c r="U298" s="4"/>
      <c r="V298" s="4"/>
      <c r="W298" s="4"/>
      <c r="X298" s="4"/>
      <c r="Y298" s="4"/>
      <c r="Z298" s="4"/>
      <c r="AA298" s="4"/>
      <c r="AB298" s="4"/>
      <c r="AC298" s="4"/>
      <c r="AD298" s="4"/>
      <c r="AE298" s="4"/>
      <c r="AF298" s="4"/>
    </row>
    <row r="299">
      <c r="A299" s="73"/>
      <c r="B299" s="73"/>
      <c r="C299" s="147"/>
      <c r="D299" s="103" t="str">
        <f t="array" ref="D299">XLOOKUP(C299,'Master Data'!C:C,'Master Data'!D:D)</f>
        <v>#N/A</v>
      </c>
      <c r="E299" s="104"/>
      <c r="F299" s="105" t="str">
        <f t="array" ref="F299">XLOOKUP(C299,'Master Data'!C:C,'Master Data'!D:D)</f>
        <v>#N/A</v>
      </c>
      <c r="G299" s="90" t="str">
        <f t="array" ref="G299">XLOOKUP(C299,'Master Data'!C:C,'Master Data'!E:E)</f>
        <v>#N/A</v>
      </c>
      <c r="H299" s="88" t="str">
        <f t="array" ref="H299">XLOOKUP(C299,'Master Data'!C:C,'Master Data'!F:F)</f>
        <v>#N/A</v>
      </c>
      <c r="I299" s="72" t="str">
        <f t="array" ref="I299">XLOOKUP(C299,'Master Data'!C:C,'Master Data'!G:G)</f>
        <v>#N/A</v>
      </c>
      <c r="J299" s="72" t="str">
        <f t="array" ref="J299">XLOOKUP(C299,'Master Data'!C:C,'Master Data'!H:H)</f>
        <v>#N/A</v>
      </c>
      <c r="K299" s="73"/>
      <c r="L299" s="149"/>
      <c r="M299" s="73"/>
      <c r="N299" s="73"/>
      <c r="O299" s="73"/>
      <c r="P299" s="73"/>
      <c r="Q299" s="73"/>
      <c r="R299" s="109"/>
      <c r="S299" s="4"/>
      <c r="T299" s="4"/>
      <c r="U299" s="4"/>
      <c r="V299" s="4"/>
      <c r="W299" s="4"/>
      <c r="X299" s="4"/>
      <c r="Y299" s="4"/>
      <c r="Z299" s="4"/>
      <c r="AA299" s="4"/>
      <c r="AB299" s="4"/>
      <c r="AC299" s="4"/>
      <c r="AD299" s="4"/>
      <c r="AE299" s="4"/>
      <c r="AF299" s="4"/>
    </row>
    <row r="300">
      <c r="A300" s="73"/>
      <c r="B300" s="73"/>
      <c r="C300" s="147"/>
      <c r="D300" s="103" t="str">
        <f t="array" ref="D300">XLOOKUP(C300,'Master Data'!C:C,'Master Data'!D:D)</f>
        <v>#N/A</v>
      </c>
      <c r="E300" s="104"/>
      <c r="F300" s="105" t="str">
        <f t="array" ref="F300">XLOOKUP(C300,'Master Data'!C:C,'Master Data'!D:D)</f>
        <v>#N/A</v>
      </c>
      <c r="G300" s="90" t="str">
        <f t="array" ref="G300">XLOOKUP(C300,'Master Data'!C:C,'Master Data'!E:E)</f>
        <v>#N/A</v>
      </c>
      <c r="H300" s="88" t="str">
        <f t="array" ref="H300">XLOOKUP(C300,'Master Data'!C:C,'Master Data'!F:F)</f>
        <v>#N/A</v>
      </c>
      <c r="I300" s="72" t="str">
        <f t="array" ref="I300">XLOOKUP(C300,'Master Data'!C:C,'Master Data'!G:G)</f>
        <v>#N/A</v>
      </c>
      <c r="J300" s="72" t="str">
        <f t="array" ref="J300">XLOOKUP(C300,'Master Data'!C:C,'Master Data'!H:H)</f>
        <v>#N/A</v>
      </c>
      <c r="K300" s="73"/>
      <c r="L300" s="149"/>
      <c r="M300" s="73"/>
      <c r="N300" s="73"/>
      <c r="O300" s="73"/>
      <c r="P300" s="73"/>
      <c r="Q300" s="73"/>
      <c r="R300" s="109"/>
      <c r="S300" s="4"/>
      <c r="T300" s="4"/>
      <c r="U300" s="4"/>
      <c r="V300" s="4"/>
      <c r="W300" s="4"/>
      <c r="X300" s="4"/>
      <c r="Y300" s="4"/>
      <c r="Z300" s="4"/>
      <c r="AA300" s="4"/>
      <c r="AB300" s="4"/>
      <c r="AC300" s="4"/>
      <c r="AD300" s="4"/>
      <c r="AE300" s="4"/>
      <c r="AF300" s="4"/>
    </row>
    <row r="301">
      <c r="A301" s="73"/>
      <c r="B301" s="73"/>
      <c r="C301" s="147"/>
      <c r="D301" s="103" t="str">
        <f t="array" ref="D301">XLOOKUP(C301,'Master Data'!C:C,'Master Data'!D:D)</f>
        <v>#N/A</v>
      </c>
      <c r="E301" s="104"/>
      <c r="F301" s="105" t="str">
        <f t="array" ref="F301">XLOOKUP(C301,'Master Data'!C:C,'Master Data'!D:D)</f>
        <v>#N/A</v>
      </c>
      <c r="G301" s="90" t="str">
        <f t="array" ref="G301">XLOOKUP(C301,'Master Data'!C:C,'Master Data'!E:E)</f>
        <v>#N/A</v>
      </c>
      <c r="H301" s="88" t="str">
        <f t="array" ref="H301">XLOOKUP(C301,'Master Data'!C:C,'Master Data'!F:F)</f>
        <v>#N/A</v>
      </c>
      <c r="I301" s="72" t="str">
        <f t="array" ref="I301">XLOOKUP(C301,'Master Data'!C:C,'Master Data'!G:G)</f>
        <v>#N/A</v>
      </c>
      <c r="J301" s="72" t="str">
        <f t="array" ref="J301">XLOOKUP(C301,'Master Data'!C:C,'Master Data'!H:H)</f>
        <v>#N/A</v>
      </c>
      <c r="K301" s="73"/>
      <c r="L301" s="149"/>
      <c r="M301" s="73"/>
      <c r="N301" s="73"/>
      <c r="O301" s="73"/>
      <c r="P301" s="73"/>
      <c r="Q301" s="73"/>
      <c r="R301" s="109"/>
      <c r="S301" s="4"/>
      <c r="T301" s="4"/>
      <c r="U301" s="4"/>
      <c r="V301" s="4"/>
      <c r="W301" s="4"/>
      <c r="X301" s="4"/>
      <c r="Y301" s="4"/>
      <c r="Z301" s="4"/>
      <c r="AA301" s="4"/>
      <c r="AB301" s="4"/>
      <c r="AC301" s="4"/>
      <c r="AD301" s="4"/>
      <c r="AE301" s="4"/>
      <c r="AF301" s="4"/>
    </row>
    <row r="302">
      <c r="A302" s="73"/>
      <c r="B302" s="73"/>
      <c r="C302" s="147"/>
      <c r="D302" s="103" t="str">
        <f t="array" ref="D302">XLOOKUP(C302,'Master Data'!C:C,'Master Data'!D:D)</f>
        <v>#N/A</v>
      </c>
      <c r="E302" s="104"/>
      <c r="F302" s="105" t="str">
        <f t="array" ref="F302">XLOOKUP(C302,'Master Data'!C:C,'Master Data'!D:D)</f>
        <v>#N/A</v>
      </c>
      <c r="G302" s="90" t="str">
        <f t="array" ref="G302">XLOOKUP(C302,'Master Data'!C:C,'Master Data'!E:E)</f>
        <v>#N/A</v>
      </c>
      <c r="H302" s="88" t="str">
        <f t="array" ref="H302">XLOOKUP(C302,'Master Data'!C:C,'Master Data'!F:F)</f>
        <v>#N/A</v>
      </c>
      <c r="I302" s="72" t="str">
        <f t="array" ref="I302">XLOOKUP(C302,'Master Data'!C:C,'Master Data'!G:G)</f>
        <v>#N/A</v>
      </c>
      <c r="J302" s="72" t="str">
        <f t="array" ref="J302">XLOOKUP(C302,'Master Data'!C:C,'Master Data'!H:H)</f>
        <v>#N/A</v>
      </c>
      <c r="K302" s="73"/>
      <c r="L302" s="149"/>
      <c r="M302" s="73"/>
      <c r="N302" s="73"/>
      <c r="O302" s="73"/>
      <c r="P302" s="73"/>
      <c r="Q302" s="73"/>
      <c r="R302" s="109"/>
      <c r="S302" s="4"/>
      <c r="T302" s="4"/>
      <c r="U302" s="4"/>
      <c r="V302" s="4"/>
      <c r="W302" s="4"/>
      <c r="X302" s="4"/>
      <c r="Y302" s="4"/>
      <c r="Z302" s="4"/>
      <c r="AA302" s="4"/>
      <c r="AB302" s="4"/>
      <c r="AC302" s="4"/>
      <c r="AD302" s="4"/>
      <c r="AE302" s="4"/>
      <c r="AF302" s="4"/>
    </row>
    <row r="303">
      <c r="A303" s="73"/>
      <c r="B303" s="73"/>
      <c r="C303" s="147"/>
      <c r="D303" s="103" t="str">
        <f t="array" ref="D303">XLOOKUP(C303,'Master Data'!C:C,'Master Data'!D:D)</f>
        <v>#N/A</v>
      </c>
      <c r="E303" s="104"/>
      <c r="F303" s="105" t="str">
        <f t="array" ref="F303">XLOOKUP(C303,'Master Data'!C:C,'Master Data'!D:D)</f>
        <v>#N/A</v>
      </c>
      <c r="G303" s="90" t="str">
        <f t="array" ref="G303">XLOOKUP(C303,'Master Data'!C:C,'Master Data'!E:E)</f>
        <v>#N/A</v>
      </c>
      <c r="H303" s="88" t="str">
        <f t="array" ref="H303">XLOOKUP(C303,'Master Data'!C:C,'Master Data'!F:F)</f>
        <v>#N/A</v>
      </c>
      <c r="I303" s="72" t="str">
        <f t="array" ref="I303">XLOOKUP(C303,'Master Data'!C:C,'Master Data'!G:G)</f>
        <v>#N/A</v>
      </c>
      <c r="J303" s="72" t="str">
        <f t="array" ref="J303">XLOOKUP(C303,'Master Data'!C:C,'Master Data'!H:H)</f>
        <v>#N/A</v>
      </c>
      <c r="K303" s="73"/>
      <c r="L303" s="149"/>
      <c r="M303" s="73"/>
      <c r="N303" s="73"/>
      <c r="O303" s="73"/>
      <c r="P303" s="73"/>
      <c r="Q303" s="73"/>
      <c r="R303" s="109"/>
      <c r="S303" s="4"/>
      <c r="T303" s="4"/>
      <c r="U303" s="4"/>
      <c r="V303" s="4"/>
      <c r="W303" s="4"/>
      <c r="X303" s="4"/>
      <c r="Y303" s="4"/>
      <c r="Z303" s="4"/>
      <c r="AA303" s="4"/>
      <c r="AB303" s="4"/>
      <c r="AC303" s="4"/>
      <c r="AD303" s="4"/>
      <c r="AE303" s="4"/>
      <c r="AF303" s="4"/>
    </row>
    <row r="304">
      <c r="A304" s="73"/>
      <c r="B304" s="73"/>
      <c r="C304" s="147"/>
      <c r="D304" s="103" t="str">
        <f t="array" ref="D304">XLOOKUP(C304,'Master Data'!C:C,'Master Data'!D:D)</f>
        <v>#N/A</v>
      </c>
      <c r="E304" s="104"/>
      <c r="F304" s="105" t="str">
        <f t="array" ref="F304">XLOOKUP(C304,'Master Data'!C:C,'Master Data'!D:D)</f>
        <v>#N/A</v>
      </c>
      <c r="G304" s="90" t="str">
        <f t="array" ref="G304">XLOOKUP(C304,'Master Data'!C:C,'Master Data'!E:E)</f>
        <v>#N/A</v>
      </c>
      <c r="H304" s="88" t="str">
        <f t="array" ref="H304">XLOOKUP(C304,'Master Data'!C:C,'Master Data'!F:F)</f>
        <v>#N/A</v>
      </c>
      <c r="I304" s="72" t="str">
        <f t="array" ref="I304">XLOOKUP(C304,'Master Data'!C:C,'Master Data'!G:G)</f>
        <v>#N/A</v>
      </c>
      <c r="J304" s="72" t="str">
        <f t="array" ref="J304">XLOOKUP(C304,'Master Data'!C:C,'Master Data'!H:H)</f>
        <v>#N/A</v>
      </c>
      <c r="K304" s="73"/>
      <c r="L304" s="149"/>
      <c r="M304" s="73"/>
      <c r="N304" s="73"/>
      <c r="O304" s="73"/>
      <c r="P304" s="73"/>
      <c r="Q304" s="73"/>
      <c r="R304" s="109"/>
      <c r="S304" s="4"/>
      <c r="T304" s="4"/>
      <c r="U304" s="4"/>
      <c r="V304" s="4"/>
      <c r="W304" s="4"/>
      <c r="X304" s="4"/>
      <c r="Y304" s="4"/>
      <c r="Z304" s="4"/>
      <c r="AA304" s="4"/>
      <c r="AB304" s="4"/>
      <c r="AC304" s="4"/>
      <c r="AD304" s="4"/>
      <c r="AE304" s="4"/>
      <c r="AF304" s="4"/>
    </row>
    <row r="305">
      <c r="A305" s="73"/>
      <c r="B305" s="73"/>
      <c r="C305" s="147"/>
      <c r="D305" s="103" t="str">
        <f t="array" ref="D305">XLOOKUP(C305,'Master Data'!C:C,'Master Data'!D:D)</f>
        <v>#N/A</v>
      </c>
      <c r="E305" s="104"/>
      <c r="F305" s="105" t="str">
        <f t="array" ref="F305">XLOOKUP(C305,'Master Data'!C:C,'Master Data'!D:D)</f>
        <v>#N/A</v>
      </c>
      <c r="G305" s="90" t="str">
        <f t="array" ref="G305">XLOOKUP(C305,'Master Data'!C:C,'Master Data'!E:E)</f>
        <v>#N/A</v>
      </c>
      <c r="H305" s="88" t="str">
        <f t="array" ref="H305">XLOOKUP(C305,'Master Data'!C:C,'Master Data'!F:F)</f>
        <v>#N/A</v>
      </c>
      <c r="I305" s="72" t="str">
        <f t="array" ref="I305">XLOOKUP(C305,'Master Data'!C:C,'Master Data'!G:G)</f>
        <v>#N/A</v>
      </c>
      <c r="J305" s="72" t="str">
        <f t="array" ref="J305">XLOOKUP(C305,'Master Data'!C:C,'Master Data'!H:H)</f>
        <v>#N/A</v>
      </c>
      <c r="K305" s="73"/>
      <c r="L305" s="149"/>
      <c r="M305" s="73"/>
      <c r="N305" s="73"/>
      <c r="O305" s="73"/>
      <c r="P305" s="73"/>
      <c r="Q305" s="73"/>
      <c r="R305" s="109"/>
      <c r="S305" s="4"/>
      <c r="T305" s="4"/>
      <c r="U305" s="4"/>
      <c r="V305" s="4"/>
      <c r="W305" s="4"/>
      <c r="X305" s="4"/>
      <c r="Y305" s="4"/>
      <c r="Z305" s="4"/>
      <c r="AA305" s="4"/>
      <c r="AB305" s="4"/>
      <c r="AC305" s="4"/>
      <c r="AD305" s="4"/>
      <c r="AE305" s="4"/>
      <c r="AF305" s="4"/>
    </row>
    <row r="306">
      <c r="A306" s="73"/>
      <c r="B306" s="73"/>
      <c r="C306" s="147"/>
      <c r="D306" s="103" t="str">
        <f t="array" ref="D306">XLOOKUP(C306,'Master Data'!C:C,'Master Data'!D:D)</f>
        <v>#N/A</v>
      </c>
      <c r="E306" s="104"/>
      <c r="F306" s="105" t="str">
        <f t="array" ref="F306">XLOOKUP(C306,'Master Data'!C:C,'Master Data'!D:D)</f>
        <v>#N/A</v>
      </c>
      <c r="G306" s="90" t="str">
        <f t="array" ref="G306">XLOOKUP(C306,'Master Data'!C:C,'Master Data'!E:E)</f>
        <v>#N/A</v>
      </c>
      <c r="H306" s="88" t="str">
        <f t="array" ref="H306">XLOOKUP(C306,'Master Data'!C:C,'Master Data'!F:F)</f>
        <v>#N/A</v>
      </c>
      <c r="I306" s="72" t="str">
        <f t="array" ref="I306">XLOOKUP(C306,'Master Data'!C:C,'Master Data'!G:G)</f>
        <v>#N/A</v>
      </c>
      <c r="J306" s="72" t="str">
        <f t="array" ref="J306">XLOOKUP(C306,'Master Data'!C:C,'Master Data'!H:H)</f>
        <v>#N/A</v>
      </c>
      <c r="K306" s="73"/>
      <c r="L306" s="149"/>
      <c r="M306" s="73"/>
      <c r="N306" s="73"/>
      <c r="O306" s="73"/>
      <c r="P306" s="73"/>
      <c r="Q306" s="73"/>
      <c r="R306" s="109"/>
      <c r="S306" s="4"/>
      <c r="T306" s="4"/>
      <c r="U306" s="4"/>
      <c r="V306" s="4"/>
      <c r="W306" s="4"/>
      <c r="X306" s="4"/>
      <c r="Y306" s="4"/>
      <c r="Z306" s="4"/>
      <c r="AA306" s="4"/>
      <c r="AB306" s="4"/>
      <c r="AC306" s="4"/>
      <c r="AD306" s="4"/>
      <c r="AE306" s="4"/>
      <c r="AF306" s="4"/>
    </row>
    <row r="307">
      <c r="A307" s="73"/>
      <c r="B307" s="73"/>
      <c r="C307" s="147"/>
      <c r="D307" s="103" t="str">
        <f t="array" ref="D307">XLOOKUP(C307,'Master Data'!C:C,'Master Data'!D:D)</f>
        <v>#N/A</v>
      </c>
      <c r="E307" s="104"/>
      <c r="F307" s="105" t="str">
        <f t="array" ref="F307">XLOOKUP(C307,'Master Data'!C:C,'Master Data'!D:D)</f>
        <v>#N/A</v>
      </c>
      <c r="G307" s="90" t="str">
        <f t="array" ref="G307">XLOOKUP(C307,'Master Data'!C:C,'Master Data'!E:E)</f>
        <v>#N/A</v>
      </c>
      <c r="H307" s="88" t="str">
        <f t="array" ref="H307">XLOOKUP(C307,'Master Data'!C:C,'Master Data'!F:F)</f>
        <v>#N/A</v>
      </c>
      <c r="I307" s="72" t="str">
        <f t="array" ref="I307">XLOOKUP(C307,'Master Data'!C:C,'Master Data'!G:G)</f>
        <v>#N/A</v>
      </c>
      <c r="J307" s="72" t="str">
        <f t="array" ref="J307">XLOOKUP(C307,'Master Data'!C:C,'Master Data'!H:H)</f>
        <v>#N/A</v>
      </c>
      <c r="K307" s="73"/>
      <c r="L307" s="149"/>
      <c r="M307" s="73"/>
      <c r="N307" s="73"/>
      <c r="O307" s="73"/>
      <c r="P307" s="73"/>
      <c r="Q307" s="73"/>
      <c r="R307" s="109"/>
      <c r="S307" s="4"/>
      <c r="T307" s="4"/>
      <c r="U307" s="4"/>
      <c r="V307" s="4"/>
      <c r="W307" s="4"/>
      <c r="X307" s="4"/>
      <c r="Y307" s="4"/>
      <c r="Z307" s="4"/>
      <c r="AA307" s="4"/>
      <c r="AB307" s="4"/>
      <c r="AC307" s="4"/>
      <c r="AD307" s="4"/>
      <c r="AE307" s="4"/>
      <c r="AF307" s="4"/>
    </row>
    <row r="308">
      <c r="A308" s="73"/>
      <c r="B308" s="73"/>
      <c r="C308" s="147"/>
      <c r="D308" s="103" t="str">
        <f t="array" ref="D308">XLOOKUP(C308,'Master Data'!C:C,'Master Data'!D:D)</f>
        <v>#N/A</v>
      </c>
      <c r="E308" s="104"/>
      <c r="F308" s="105" t="str">
        <f t="array" ref="F308">XLOOKUP(C308,'Master Data'!C:C,'Master Data'!D:D)</f>
        <v>#N/A</v>
      </c>
      <c r="G308" s="90" t="str">
        <f t="array" ref="G308">XLOOKUP(C308,'Master Data'!C:C,'Master Data'!E:E)</f>
        <v>#N/A</v>
      </c>
      <c r="H308" s="88" t="str">
        <f t="array" ref="H308">XLOOKUP(C308,'Master Data'!C:C,'Master Data'!F:F)</f>
        <v>#N/A</v>
      </c>
      <c r="I308" s="72" t="str">
        <f t="array" ref="I308">XLOOKUP(C308,'Master Data'!C:C,'Master Data'!G:G)</f>
        <v>#N/A</v>
      </c>
      <c r="J308" s="72" t="str">
        <f t="array" ref="J308">XLOOKUP(C308,'Master Data'!C:C,'Master Data'!H:H)</f>
        <v>#N/A</v>
      </c>
      <c r="K308" s="73"/>
      <c r="L308" s="149"/>
      <c r="M308" s="73"/>
      <c r="N308" s="73"/>
      <c r="O308" s="73"/>
      <c r="P308" s="73"/>
      <c r="Q308" s="73"/>
      <c r="R308" s="109"/>
      <c r="S308" s="4"/>
      <c r="T308" s="4"/>
      <c r="U308" s="4"/>
      <c r="V308" s="4"/>
      <c r="W308" s="4"/>
      <c r="X308" s="4"/>
      <c r="Y308" s="4"/>
      <c r="Z308" s="4"/>
      <c r="AA308" s="4"/>
      <c r="AB308" s="4"/>
      <c r="AC308" s="4"/>
      <c r="AD308" s="4"/>
      <c r="AE308" s="4"/>
      <c r="AF308" s="4"/>
    </row>
    <row r="309">
      <c r="A309" s="73"/>
      <c r="B309" s="73"/>
      <c r="C309" s="147"/>
      <c r="D309" s="103" t="str">
        <f t="array" ref="D309">XLOOKUP(C309,'Master Data'!C:C,'Master Data'!D:D)</f>
        <v>#N/A</v>
      </c>
      <c r="E309" s="104"/>
      <c r="F309" s="105" t="str">
        <f t="array" ref="F309">XLOOKUP(C309,'Master Data'!C:C,'Master Data'!D:D)</f>
        <v>#N/A</v>
      </c>
      <c r="G309" s="90" t="str">
        <f t="array" ref="G309">XLOOKUP(C309,'Master Data'!C:C,'Master Data'!E:E)</f>
        <v>#N/A</v>
      </c>
      <c r="H309" s="88" t="str">
        <f t="array" ref="H309">XLOOKUP(C309,'Master Data'!C:C,'Master Data'!F:F)</f>
        <v>#N/A</v>
      </c>
      <c r="I309" s="72" t="str">
        <f t="array" ref="I309">XLOOKUP(C309,'Master Data'!C:C,'Master Data'!G:G)</f>
        <v>#N/A</v>
      </c>
      <c r="J309" s="72" t="str">
        <f t="array" ref="J309">XLOOKUP(C309,'Master Data'!C:C,'Master Data'!H:H)</f>
        <v>#N/A</v>
      </c>
      <c r="K309" s="73"/>
      <c r="L309" s="149"/>
      <c r="M309" s="73"/>
      <c r="N309" s="73"/>
      <c r="O309" s="73"/>
      <c r="P309" s="73"/>
      <c r="Q309" s="73"/>
      <c r="R309" s="109"/>
      <c r="S309" s="4"/>
      <c r="T309" s="4"/>
      <c r="U309" s="4"/>
      <c r="V309" s="4"/>
      <c r="W309" s="4"/>
      <c r="X309" s="4"/>
      <c r="Y309" s="4"/>
      <c r="Z309" s="4"/>
      <c r="AA309" s="4"/>
      <c r="AB309" s="4"/>
      <c r="AC309" s="4"/>
      <c r="AD309" s="4"/>
      <c r="AE309" s="4"/>
      <c r="AF309" s="4"/>
    </row>
    <row r="310">
      <c r="A310" s="73"/>
      <c r="B310" s="73"/>
      <c r="C310" s="147"/>
      <c r="D310" s="103" t="str">
        <f t="array" ref="D310">XLOOKUP(C310,'Master Data'!C:C,'Master Data'!D:D)</f>
        <v>#N/A</v>
      </c>
      <c r="E310" s="104"/>
      <c r="F310" s="105" t="str">
        <f t="array" ref="F310">XLOOKUP(C310,'Master Data'!C:C,'Master Data'!D:D)</f>
        <v>#N/A</v>
      </c>
      <c r="G310" s="90" t="str">
        <f t="array" ref="G310">XLOOKUP(C310,'Master Data'!C:C,'Master Data'!E:E)</f>
        <v>#N/A</v>
      </c>
      <c r="H310" s="88" t="str">
        <f t="array" ref="H310">XLOOKUP(C310,'Master Data'!C:C,'Master Data'!F:F)</f>
        <v>#N/A</v>
      </c>
      <c r="I310" s="72" t="str">
        <f t="array" ref="I310">XLOOKUP(C310,'Master Data'!C:C,'Master Data'!G:G)</f>
        <v>#N/A</v>
      </c>
      <c r="J310" s="72" t="str">
        <f t="array" ref="J310">XLOOKUP(C310,'Master Data'!C:C,'Master Data'!H:H)</f>
        <v>#N/A</v>
      </c>
      <c r="K310" s="73"/>
      <c r="L310" s="149"/>
      <c r="M310" s="73"/>
      <c r="N310" s="73"/>
      <c r="O310" s="73"/>
      <c r="P310" s="73"/>
      <c r="Q310" s="73"/>
      <c r="R310" s="109"/>
      <c r="S310" s="4"/>
      <c r="T310" s="4"/>
      <c r="U310" s="4"/>
      <c r="V310" s="4"/>
      <c r="W310" s="4"/>
      <c r="X310" s="4"/>
      <c r="Y310" s="4"/>
      <c r="Z310" s="4"/>
      <c r="AA310" s="4"/>
      <c r="AB310" s="4"/>
      <c r="AC310" s="4"/>
      <c r="AD310" s="4"/>
      <c r="AE310" s="4"/>
      <c r="AF310" s="4"/>
    </row>
    <row r="311">
      <c r="A311" s="73"/>
      <c r="B311" s="73"/>
      <c r="C311" s="147"/>
      <c r="D311" s="103" t="str">
        <f t="array" ref="D311">XLOOKUP(C311,'Master Data'!C:C,'Master Data'!D:D)</f>
        <v>#N/A</v>
      </c>
      <c r="E311" s="104"/>
      <c r="F311" s="105" t="str">
        <f t="array" ref="F311">XLOOKUP(C311,'Master Data'!C:C,'Master Data'!D:D)</f>
        <v>#N/A</v>
      </c>
      <c r="G311" s="90" t="str">
        <f t="array" ref="G311">XLOOKUP(C311,'Master Data'!C:C,'Master Data'!E:E)</f>
        <v>#N/A</v>
      </c>
      <c r="H311" s="88" t="str">
        <f t="array" ref="H311">XLOOKUP(C311,'Master Data'!C:C,'Master Data'!F:F)</f>
        <v>#N/A</v>
      </c>
      <c r="I311" s="72" t="str">
        <f t="array" ref="I311">XLOOKUP(C311,'Master Data'!C:C,'Master Data'!G:G)</f>
        <v>#N/A</v>
      </c>
      <c r="J311" s="72" t="str">
        <f t="array" ref="J311">XLOOKUP(C311,'Master Data'!C:C,'Master Data'!H:H)</f>
        <v>#N/A</v>
      </c>
      <c r="K311" s="73"/>
      <c r="L311" s="149"/>
      <c r="M311" s="73"/>
      <c r="N311" s="73"/>
      <c r="O311" s="73"/>
      <c r="P311" s="73"/>
      <c r="Q311" s="73"/>
      <c r="R311" s="109"/>
      <c r="S311" s="4"/>
      <c r="T311" s="4"/>
      <c r="U311" s="4"/>
      <c r="V311" s="4"/>
      <c r="W311" s="4"/>
      <c r="X311" s="4"/>
      <c r="Y311" s="4"/>
      <c r="Z311" s="4"/>
      <c r="AA311" s="4"/>
      <c r="AB311" s="4"/>
      <c r="AC311" s="4"/>
      <c r="AD311" s="4"/>
      <c r="AE311" s="4"/>
      <c r="AF311" s="4"/>
    </row>
    <row r="312">
      <c r="A312" s="73"/>
      <c r="B312" s="73"/>
      <c r="C312" s="147"/>
      <c r="D312" s="103" t="str">
        <f t="array" ref="D312">XLOOKUP(C312,'Master Data'!C:C,'Master Data'!D:D)</f>
        <v>#N/A</v>
      </c>
      <c r="E312" s="104"/>
      <c r="F312" s="105" t="str">
        <f t="array" ref="F312">XLOOKUP(C312,'Master Data'!C:C,'Master Data'!D:D)</f>
        <v>#N/A</v>
      </c>
      <c r="G312" s="90" t="str">
        <f t="array" ref="G312">XLOOKUP(C312,'Master Data'!C:C,'Master Data'!E:E)</f>
        <v>#N/A</v>
      </c>
      <c r="H312" s="88" t="str">
        <f t="array" ref="H312">XLOOKUP(C312,'Master Data'!C:C,'Master Data'!F:F)</f>
        <v>#N/A</v>
      </c>
      <c r="I312" s="72" t="str">
        <f t="array" ref="I312">XLOOKUP(C312,'Master Data'!C:C,'Master Data'!G:G)</f>
        <v>#N/A</v>
      </c>
      <c r="J312" s="72" t="str">
        <f t="array" ref="J312">XLOOKUP(C312,'Master Data'!C:C,'Master Data'!H:H)</f>
        <v>#N/A</v>
      </c>
      <c r="K312" s="73"/>
      <c r="L312" s="149"/>
      <c r="M312" s="73"/>
      <c r="N312" s="73"/>
      <c r="O312" s="73"/>
      <c r="P312" s="73"/>
      <c r="Q312" s="73"/>
      <c r="R312" s="109"/>
      <c r="S312" s="4"/>
      <c r="T312" s="4"/>
      <c r="U312" s="4"/>
      <c r="V312" s="4"/>
      <c r="W312" s="4"/>
      <c r="X312" s="4"/>
      <c r="Y312" s="4"/>
      <c r="Z312" s="4"/>
      <c r="AA312" s="4"/>
      <c r="AB312" s="4"/>
      <c r="AC312" s="4"/>
      <c r="AD312" s="4"/>
      <c r="AE312" s="4"/>
      <c r="AF312" s="4"/>
    </row>
    <row r="313">
      <c r="A313" s="73"/>
      <c r="B313" s="73"/>
      <c r="C313" s="147"/>
      <c r="D313" s="103" t="str">
        <f t="array" ref="D313">XLOOKUP(C313,'Master Data'!C:C,'Master Data'!D:D)</f>
        <v>#N/A</v>
      </c>
      <c r="E313" s="104"/>
      <c r="F313" s="105" t="str">
        <f t="array" ref="F313">XLOOKUP(C313,'Master Data'!C:C,'Master Data'!D:D)</f>
        <v>#N/A</v>
      </c>
      <c r="G313" s="90" t="str">
        <f t="array" ref="G313">XLOOKUP(C313,'Master Data'!C:C,'Master Data'!E:E)</f>
        <v>#N/A</v>
      </c>
      <c r="H313" s="88" t="str">
        <f t="array" ref="H313">XLOOKUP(C313,'Master Data'!C:C,'Master Data'!F:F)</f>
        <v>#N/A</v>
      </c>
      <c r="I313" s="72" t="str">
        <f t="array" ref="I313">XLOOKUP(C313,'Master Data'!C:C,'Master Data'!G:G)</f>
        <v>#N/A</v>
      </c>
      <c r="J313" s="72" t="str">
        <f t="array" ref="J313">XLOOKUP(C313,'Master Data'!C:C,'Master Data'!H:H)</f>
        <v>#N/A</v>
      </c>
      <c r="K313" s="73"/>
      <c r="L313" s="149"/>
      <c r="M313" s="73"/>
      <c r="N313" s="73"/>
      <c r="O313" s="73"/>
      <c r="P313" s="73"/>
      <c r="Q313" s="73"/>
      <c r="R313" s="109"/>
      <c r="S313" s="4"/>
      <c r="T313" s="4"/>
      <c r="U313" s="4"/>
      <c r="V313" s="4"/>
      <c r="W313" s="4"/>
      <c r="X313" s="4"/>
      <c r="Y313" s="4"/>
      <c r="Z313" s="4"/>
      <c r="AA313" s="4"/>
      <c r="AB313" s="4"/>
      <c r="AC313" s="4"/>
      <c r="AD313" s="4"/>
      <c r="AE313" s="4"/>
      <c r="AF313" s="4"/>
    </row>
    <row r="314">
      <c r="A314" s="73"/>
      <c r="B314" s="73"/>
      <c r="C314" s="147"/>
      <c r="D314" s="103" t="str">
        <f t="array" ref="D314">XLOOKUP(C314,'Master Data'!C:C,'Master Data'!D:D)</f>
        <v>#N/A</v>
      </c>
      <c r="E314" s="104"/>
      <c r="F314" s="105" t="str">
        <f t="array" ref="F314">XLOOKUP(C314,'Master Data'!C:C,'Master Data'!D:D)</f>
        <v>#N/A</v>
      </c>
      <c r="G314" s="90" t="str">
        <f t="array" ref="G314">XLOOKUP(C314,'Master Data'!C:C,'Master Data'!E:E)</f>
        <v>#N/A</v>
      </c>
      <c r="H314" s="88" t="str">
        <f t="array" ref="H314">XLOOKUP(C314,'Master Data'!C:C,'Master Data'!F:F)</f>
        <v>#N/A</v>
      </c>
      <c r="I314" s="72" t="str">
        <f t="array" ref="I314">XLOOKUP(C314,'Master Data'!C:C,'Master Data'!G:G)</f>
        <v>#N/A</v>
      </c>
      <c r="J314" s="72" t="str">
        <f t="array" ref="J314">XLOOKUP(C314,'Master Data'!C:C,'Master Data'!H:H)</f>
        <v>#N/A</v>
      </c>
      <c r="K314" s="73"/>
      <c r="L314" s="149"/>
      <c r="M314" s="73"/>
      <c r="N314" s="73"/>
      <c r="O314" s="73"/>
      <c r="P314" s="73"/>
      <c r="Q314" s="73"/>
      <c r="R314" s="109"/>
      <c r="S314" s="4"/>
      <c r="T314" s="4"/>
      <c r="U314" s="4"/>
      <c r="V314" s="4"/>
      <c r="W314" s="4"/>
      <c r="X314" s="4"/>
      <c r="Y314" s="4"/>
      <c r="Z314" s="4"/>
      <c r="AA314" s="4"/>
      <c r="AB314" s="4"/>
      <c r="AC314" s="4"/>
      <c r="AD314" s="4"/>
      <c r="AE314" s="4"/>
      <c r="AF314" s="4"/>
    </row>
    <row r="315">
      <c r="A315" s="73"/>
      <c r="B315" s="73"/>
      <c r="C315" s="147"/>
      <c r="D315" s="103" t="str">
        <f t="array" ref="D315">XLOOKUP(C315,'Master Data'!C:C,'Master Data'!D:D)</f>
        <v>#N/A</v>
      </c>
      <c r="E315" s="104"/>
      <c r="F315" s="105" t="str">
        <f t="array" ref="F315">XLOOKUP(C315,'Master Data'!C:C,'Master Data'!D:D)</f>
        <v>#N/A</v>
      </c>
      <c r="G315" s="90" t="str">
        <f t="array" ref="G315">XLOOKUP(C315,'Master Data'!C:C,'Master Data'!E:E)</f>
        <v>#N/A</v>
      </c>
      <c r="H315" s="88" t="str">
        <f t="array" ref="H315">XLOOKUP(C315,'Master Data'!C:C,'Master Data'!F:F)</f>
        <v>#N/A</v>
      </c>
      <c r="I315" s="72" t="str">
        <f t="array" ref="I315">XLOOKUP(C315,'Master Data'!C:C,'Master Data'!G:G)</f>
        <v>#N/A</v>
      </c>
      <c r="J315" s="72" t="str">
        <f t="array" ref="J315">XLOOKUP(C315,'Master Data'!C:C,'Master Data'!H:H)</f>
        <v>#N/A</v>
      </c>
      <c r="K315" s="73"/>
      <c r="L315" s="149"/>
      <c r="M315" s="73"/>
      <c r="N315" s="73"/>
      <c r="O315" s="73"/>
      <c r="P315" s="73"/>
      <c r="Q315" s="73"/>
      <c r="R315" s="109"/>
      <c r="S315" s="4"/>
      <c r="T315" s="4"/>
      <c r="U315" s="4"/>
      <c r="V315" s="4"/>
      <c r="W315" s="4"/>
      <c r="X315" s="4"/>
      <c r="Y315" s="4"/>
      <c r="Z315" s="4"/>
      <c r="AA315" s="4"/>
      <c r="AB315" s="4"/>
      <c r="AC315" s="4"/>
      <c r="AD315" s="4"/>
      <c r="AE315" s="4"/>
      <c r="AF315" s="4"/>
    </row>
    <row r="316">
      <c r="A316" s="73"/>
      <c r="B316" s="73"/>
      <c r="C316" s="147"/>
      <c r="D316" s="103" t="str">
        <f t="array" ref="D316">XLOOKUP(C316,'Master Data'!C:C,'Master Data'!D:D)</f>
        <v>#N/A</v>
      </c>
      <c r="E316" s="104"/>
      <c r="F316" s="105" t="str">
        <f t="array" ref="F316">XLOOKUP(C316,'Master Data'!C:C,'Master Data'!D:D)</f>
        <v>#N/A</v>
      </c>
      <c r="G316" s="90" t="str">
        <f t="array" ref="G316">XLOOKUP(C316,'Master Data'!C:C,'Master Data'!E:E)</f>
        <v>#N/A</v>
      </c>
      <c r="H316" s="88" t="str">
        <f t="array" ref="H316">XLOOKUP(C316,'Master Data'!C:C,'Master Data'!F:F)</f>
        <v>#N/A</v>
      </c>
      <c r="I316" s="72" t="str">
        <f t="array" ref="I316">XLOOKUP(C316,'Master Data'!C:C,'Master Data'!G:G)</f>
        <v>#N/A</v>
      </c>
      <c r="J316" s="72" t="str">
        <f t="array" ref="J316">XLOOKUP(C316,'Master Data'!C:C,'Master Data'!H:H)</f>
        <v>#N/A</v>
      </c>
      <c r="K316" s="73"/>
      <c r="L316" s="149"/>
      <c r="M316" s="73"/>
      <c r="N316" s="73"/>
      <c r="O316" s="73"/>
      <c r="P316" s="73"/>
      <c r="Q316" s="73"/>
      <c r="R316" s="109"/>
      <c r="S316" s="4"/>
      <c r="T316" s="4"/>
      <c r="U316" s="4"/>
      <c r="V316" s="4"/>
      <c r="W316" s="4"/>
      <c r="X316" s="4"/>
      <c r="Y316" s="4"/>
      <c r="Z316" s="4"/>
      <c r="AA316" s="4"/>
      <c r="AB316" s="4"/>
      <c r="AC316" s="4"/>
      <c r="AD316" s="4"/>
      <c r="AE316" s="4"/>
      <c r="AF316" s="4"/>
    </row>
    <row r="317">
      <c r="A317" s="73"/>
      <c r="B317" s="73"/>
      <c r="C317" s="147"/>
      <c r="D317" s="103" t="str">
        <f t="array" ref="D317">XLOOKUP(C317,'Master Data'!C:C,'Master Data'!D:D)</f>
        <v>#N/A</v>
      </c>
      <c r="E317" s="104"/>
      <c r="F317" s="105" t="str">
        <f t="array" ref="F317">XLOOKUP(C317,'Master Data'!C:C,'Master Data'!D:D)</f>
        <v>#N/A</v>
      </c>
      <c r="G317" s="90" t="str">
        <f t="array" ref="G317">XLOOKUP(C317,'Master Data'!C:C,'Master Data'!E:E)</f>
        <v>#N/A</v>
      </c>
      <c r="H317" s="88" t="str">
        <f t="array" ref="H317">XLOOKUP(C317,'Master Data'!C:C,'Master Data'!F:F)</f>
        <v>#N/A</v>
      </c>
      <c r="I317" s="72" t="str">
        <f t="array" ref="I317">XLOOKUP(C317,'Master Data'!C:C,'Master Data'!G:G)</f>
        <v>#N/A</v>
      </c>
      <c r="J317" s="72" t="str">
        <f t="array" ref="J317">XLOOKUP(C317,'Master Data'!C:C,'Master Data'!H:H)</f>
        <v>#N/A</v>
      </c>
      <c r="K317" s="73"/>
      <c r="L317" s="149"/>
      <c r="M317" s="73"/>
      <c r="N317" s="73"/>
      <c r="O317" s="73"/>
      <c r="P317" s="73"/>
      <c r="Q317" s="73"/>
      <c r="R317" s="109"/>
      <c r="S317" s="4"/>
      <c r="T317" s="4"/>
      <c r="U317" s="4"/>
      <c r="V317" s="4"/>
      <c r="W317" s="4"/>
      <c r="X317" s="4"/>
      <c r="Y317" s="4"/>
      <c r="Z317" s="4"/>
      <c r="AA317" s="4"/>
      <c r="AB317" s="4"/>
      <c r="AC317" s="4"/>
      <c r="AD317" s="4"/>
      <c r="AE317" s="4"/>
      <c r="AF317" s="4"/>
    </row>
    <row r="318">
      <c r="A318" s="73"/>
      <c r="B318" s="73"/>
      <c r="C318" s="147"/>
      <c r="D318" s="103" t="str">
        <f t="array" ref="D318">XLOOKUP(C318,'Master Data'!C:C,'Master Data'!D:D)</f>
        <v>#N/A</v>
      </c>
      <c r="E318" s="104"/>
      <c r="F318" s="105" t="str">
        <f t="array" ref="F318">XLOOKUP(C318,'Master Data'!C:C,'Master Data'!D:D)</f>
        <v>#N/A</v>
      </c>
      <c r="G318" s="90" t="str">
        <f t="array" ref="G318">XLOOKUP(C318,'Master Data'!C:C,'Master Data'!E:E)</f>
        <v>#N/A</v>
      </c>
      <c r="H318" s="88" t="str">
        <f t="array" ref="H318">XLOOKUP(C318,'Master Data'!C:C,'Master Data'!F:F)</f>
        <v>#N/A</v>
      </c>
      <c r="I318" s="72" t="str">
        <f t="array" ref="I318">XLOOKUP(C318,'Master Data'!C:C,'Master Data'!G:G)</f>
        <v>#N/A</v>
      </c>
      <c r="J318" s="72" t="str">
        <f t="array" ref="J318">XLOOKUP(C318,'Master Data'!C:C,'Master Data'!H:H)</f>
        <v>#N/A</v>
      </c>
      <c r="K318" s="73"/>
      <c r="L318" s="149"/>
      <c r="M318" s="73"/>
      <c r="N318" s="73"/>
      <c r="O318" s="73"/>
      <c r="P318" s="73"/>
      <c r="Q318" s="73"/>
      <c r="R318" s="109"/>
      <c r="S318" s="4"/>
      <c r="T318" s="4"/>
      <c r="U318" s="4"/>
      <c r="V318" s="4"/>
      <c r="W318" s="4"/>
      <c r="X318" s="4"/>
      <c r="Y318" s="4"/>
      <c r="Z318" s="4"/>
      <c r="AA318" s="4"/>
      <c r="AB318" s="4"/>
      <c r="AC318" s="4"/>
      <c r="AD318" s="4"/>
      <c r="AE318" s="4"/>
      <c r="AF318" s="4"/>
    </row>
    <row r="319">
      <c r="A319" s="73"/>
      <c r="B319" s="73"/>
      <c r="C319" s="147"/>
      <c r="D319" s="103" t="str">
        <f t="array" ref="D319">XLOOKUP(C319,'Master Data'!C:C,'Master Data'!D:D)</f>
        <v>#N/A</v>
      </c>
      <c r="E319" s="104"/>
      <c r="F319" s="105" t="str">
        <f t="array" ref="F319">XLOOKUP(C319,'Master Data'!C:C,'Master Data'!D:D)</f>
        <v>#N/A</v>
      </c>
      <c r="G319" s="90" t="str">
        <f t="array" ref="G319">XLOOKUP(C319,'Master Data'!C:C,'Master Data'!E:E)</f>
        <v>#N/A</v>
      </c>
      <c r="H319" s="88" t="str">
        <f t="array" ref="H319">XLOOKUP(C319,'Master Data'!C:C,'Master Data'!F:F)</f>
        <v>#N/A</v>
      </c>
      <c r="I319" s="72" t="str">
        <f t="array" ref="I319">XLOOKUP(C319,'Master Data'!C:C,'Master Data'!G:G)</f>
        <v>#N/A</v>
      </c>
      <c r="J319" s="72" t="str">
        <f t="array" ref="J319">XLOOKUP(C319,'Master Data'!C:C,'Master Data'!H:H)</f>
        <v>#N/A</v>
      </c>
      <c r="K319" s="73"/>
      <c r="L319" s="149"/>
      <c r="M319" s="73"/>
      <c r="N319" s="73"/>
      <c r="O319" s="73"/>
      <c r="P319" s="73"/>
      <c r="Q319" s="73"/>
      <c r="R319" s="109"/>
      <c r="S319" s="4"/>
      <c r="T319" s="4"/>
      <c r="U319" s="4"/>
      <c r="V319" s="4"/>
      <c r="W319" s="4"/>
      <c r="X319" s="4"/>
      <c r="Y319" s="4"/>
      <c r="Z319" s="4"/>
      <c r="AA319" s="4"/>
      <c r="AB319" s="4"/>
      <c r="AC319" s="4"/>
      <c r="AD319" s="4"/>
      <c r="AE319" s="4"/>
      <c r="AF319" s="4"/>
    </row>
    <row r="320">
      <c r="A320" s="73"/>
      <c r="B320" s="73"/>
      <c r="C320" s="147"/>
      <c r="D320" s="103" t="str">
        <f t="array" ref="D320">XLOOKUP(C320,'Master Data'!C:C,'Master Data'!D:D)</f>
        <v>#N/A</v>
      </c>
      <c r="E320" s="104"/>
      <c r="F320" s="105" t="str">
        <f t="array" ref="F320">XLOOKUP(C320,'Master Data'!C:C,'Master Data'!D:D)</f>
        <v>#N/A</v>
      </c>
      <c r="G320" s="90" t="str">
        <f t="array" ref="G320">XLOOKUP(C320,'Master Data'!C:C,'Master Data'!E:E)</f>
        <v>#N/A</v>
      </c>
      <c r="H320" s="88" t="str">
        <f t="array" ref="H320">XLOOKUP(C320,'Master Data'!C:C,'Master Data'!F:F)</f>
        <v>#N/A</v>
      </c>
      <c r="I320" s="72" t="str">
        <f t="array" ref="I320">XLOOKUP(C320,'Master Data'!C:C,'Master Data'!G:G)</f>
        <v>#N/A</v>
      </c>
      <c r="J320" s="72" t="str">
        <f t="array" ref="J320">XLOOKUP(C320,'Master Data'!C:C,'Master Data'!H:H)</f>
        <v>#N/A</v>
      </c>
      <c r="K320" s="73"/>
      <c r="L320" s="149"/>
      <c r="M320" s="73"/>
      <c r="N320" s="73"/>
      <c r="O320" s="73"/>
      <c r="P320" s="73"/>
      <c r="Q320" s="73"/>
      <c r="R320" s="109"/>
      <c r="S320" s="4"/>
      <c r="T320" s="4"/>
      <c r="U320" s="4"/>
      <c r="V320" s="4"/>
      <c r="W320" s="4"/>
      <c r="X320" s="4"/>
      <c r="Y320" s="4"/>
      <c r="Z320" s="4"/>
      <c r="AA320" s="4"/>
      <c r="AB320" s="4"/>
      <c r="AC320" s="4"/>
      <c r="AD320" s="4"/>
      <c r="AE320" s="4"/>
      <c r="AF320" s="4"/>
    </row>
    <row r="321">
      <c r="A321" s="73"/>
      <c r="B321" s="73"/>
      <c r="C321" s="147"/>
      <c r="D321" s="103" t="str">
        <f t="array" ref="D321">XLOOKUP(C321,'Master Data'!C:C,'Master Data'!D:D)</f>
        <v>#N/A</v>
      </c>
      <c r="E321" s="104"/>
      <c r="F321" s="105" t="str">
        <f t="array" ref="F321">XLOOKUP(C321,'Master Data'!C:C,'Master Data'!D:D)</f>
        <v>#N/A</v>
      </c>
      <c r="G321" s="90" t="str">
        <f t="array" ref="G321">XLOOKUP(C321,'Master Data'!C:C,'Master Data'!E:E)</f>
        <v>#N/A</v>
      </c>
      <c r="H321" s="88" t="str">
        <f t="array" ref="H321">XLOOKUP(C321,'Master Data'!C:C,'Master Data'!F:F)</f>
        <v>#N/A</v>
      </c>
      <c r="I321" s="72" t="str">
        <f t="array" ref="I321">XLOOKUP(C321,'Master Data'!C:C,'Master Data'!G:G)</f>
        <v>#N/A</v>
      </c>
      <c r="J321" s="72" t="str">
        <f t="array" ref="J321">XLOOKUP(C321,'Master Data'!C:C,'Master Data'!H:H)</f>
        <v>#N/A</v>
      </c>
      <c r="K321" s="73"/>
      <c r="L321" s="149"/>
      <c r="M321" s="73"/>
      <c r="N321" s="73"/>
      <c r="O321" s="73"/>
      <c r="P321" s="73"/>
      <c r="Q321" s="73"/>
      <c r="R321" s="109"/>
      <c r="S321" s="4"/>
      <c r="T321" s="4"/>
      <c r="U321" s="4"/>
      <c r="V321" s="4"/>
      <c r="W321" s="4"/>
      <c r="X321" s="4"/>
      <c r="Y321" s="4"/>
      <c r="Z321" s="4"/>
      <c r="AA321" s="4"/>
      <c r="AB321" s="4"/>
      <c r="AC321" s="4"/>
      <c r="AD321" s="4"/>
      <c r="AE321" s="4"/>
      <c r="AF321" s="4"/>
    </row>
    <row r="322">
      <c r="A322" s="73"/>
      <c r="B322" s="73"/>
      <c r="C322" s="147"/>
      <c r="D322" s="103" t="str">
        <f t="array" ref="D322">XLOOKUP(C322,'Master Data'!C:C,'Master Data'!D:D)</f>
        <v>#N/A</v>
      </c>
      <c r="E322" s="104"/>
      <c r="F322" s="105" t="str">
        <f t="array" ref="F322">XLOOKUP(C322,'Master Data'!C:C,'Master Data'!D:D)</f>
        <v>#N/A</v>
      </c>
      <c r="G322" s="90" t="str">
        <f t="array" ref="G322">XLOOKUP(C322,'Master Data'!C:C,'Master Data'!E:E)</f>
        <v>#N/A</v>
      </c>
      <c r="H322" s="88" t="str">
        <f t="array" ref="H322">XLOOKUP(C322,'Master Data'!C:C,'Master Data'!F:F)</f>
        <v>#N/A</v>
      </c>
      <c r="I322" s="72" t="str">
        <f t="array" ref="I322">XLOOKUP(C322,'Master Data'!C:C,'Master Data'!G:G)</f>
        <v>#N/A</v>
      </c>
      <c r="J322" s="72" t="str">
        <f t="array" ref="J322">XLOOKUP(C322,'Master Data'!C:C,'Master Data'!H:H)</f>
        <v>#N/A</v>
      </c>
      <c r="K322" s="73"/>
      <c r="L322" s="149"/>
      <c r="M322" s="73"/>
      <c r="N322" s="73"/>
      <c r="O322" s="73"/>
      <c r="P322" s="73"/>
      <c r="Q322" s="73"/>
      <c r="R322" s="109"/>
      <c r="S322" s="4"/>
      <c r="T322" s="4"/>
      <c r="U322" s="4"/>
      <c r="V322" s="4"/>
      <c r="W322" s="4"/>
      <c r="X322" s="4"/>
      <c r="Y322" s="4"/>
      <c r="Z322" s="4"/>
      <c r="AA322" s="4"/>
      <c r="AB322" s="4"/>
      <c r="AC322" s="4"/>
      <c r="AD322" s="4"/>
      <c r="AE322" s="4"/>
      <c r="AF322" s="4"/>
    </row>
    <row r="323">
      <c r="A323" s="73"/>
      <c r="B323" s="73"/>
      <c r="C323" s="147"/>
      <c r="D323" s="103" t="str">
        <f t="array" ref="D323">XLOOKUP(C323,'Master Data'!C:C,'Master Data'!D:D)</f>
        <v>#N/A</v>
      </c>
      <c r="E323" s="104"/>
      <c r="F323" s="105" t="str">
        <f t="array" ref="F323">XLOOKUP(C323,'Master Data'!C:C,'Master Data'!D:D)</f>
        <v>#N/A</v>
      </c>
      <c r="G323" s="90" t="str">
        <f t="array" ref="G323">XLOOKUP(C323,'Master Data'!C:C,'Master Data'!E:E)</f>
        <v>#N/A</v>
      </c>
      <c r="H323" s="88" t="str">
        <f t="array" ref="H323">XLOOKUP(C323,'Master Data'!C:C,'Master Data'!F:F)</f>
        <v>#N/A</v>
      </c>
      <c r="I323" s="72" t="str">
        <f t="array" ref="I323">XLOOKUP(C323,'Master Data'!C:C,'Master Data'!G:G)</f>
        <v>#N/A</v>
      </c>
      <c r="J323" s="72" t="str">
        <f t="array" ref="J323">XLOOKUP(C323,'Master Data'!C:C,'Master Data'!H:H)</f>
        <v>#N/A</v>
      </c>
      <c r="K323" s="73"/>
      <c r="L323" s="149"/>
      <c r="M323" s="73"/>
      <c r="N323" s="73"/>
      <c r="O323" s="73"/>
      <c r="P323" s="73"/>
      <c r="Q323" s="73"/>
      <c r="R323" s="109"/>
      <c r="S323" s="4"/>
      <c r="T323" s="4"/>
      <c r="U323" s="4"/>
      <c r="V323" s="4"/>
      <c r="W323" s="4"/>
      <c r="X323" s="4"/>
      <c r="Y323" s="4"/>
      <c r="Z323" s="4"/>
      <c r="AA323" s="4"/>
      <c r="AB323" s="4"/>
      <c r="AC323" s="4"/>
      <c r="AD323" s="4"/>
      <c r="AE323" s="4"/>
      <c r="AF323" s="4"/>
    </row>
    <row r="324">
      <c r="A324" s="73"/>
      <c r="B324" s="73"/>
      <c r="C324" s="147"/>
      <c r="D324" s="103" t="str">
        <f t="array" ref="D324">XLOOKUP(C324,'Master Data'!C:C,'Master Data'!D:D)</f>
        <v>#N/A</v>
      </c>
      <c r="E324" s="104"/>
      <c r="F324" s="105" t="str">
        <f t="array" ref="F324">XLOOKUP(C324,'Master Data'!C:C,'Master Data'!D:D)</f>
        <v>#N/A</v>
      </c>
      <c r="G324" s="90" t="str">
        <f t="array" ref="G324">XLOOKUP(C324,'Master Data'!C:C,'Master Data'!E:E)</f>
        <v>#N/A</v>
      </c>
      <c r="H324" s="88" t="str">
        <f t="array" ref="H324">XLOOKUP(C324,'Master Data'!C:C,'Master Data'!F:F)</f>
        <v>#N/A</v>
      </c>
      <c r="I324" s="72" t="str">
        <f t="array" ref="I324">XLOOKUP(C324,'Master Data'!C:C,'Master Data'!G:G)</f>
        <v>#N/A</v>
      </c>
      <c r="J324" s="72" t="str">
        <f t="array" ref="J324">XLOOKUP(C324,'Master Data'!C:C,'Master Data'!H:H)</f>
        <v>#N/A</v>
      </c>
      <c r="K324" s="73"/>
      <c r="L324" s="149"/>
      <c r="M324" s="73"/>
      <c r="N324" s="73"/>
      <c r="O324" s="73"/>
      <c r="P324" s="73"/>
      <c r="Q324" s="73"/>
      <c r="R324" s="109"/>
      <c r="S324" s="4"/>
      <c r="T324" s="4"/>
      <c r="U324" s="4"/>
      <c r="V324" s="4"/>
      <c r="W324" s="4"/>
      <c r="X324" s="4"/>
      <c r="Y324" s="4"/>
      <c r="Z324" s="4"/>
      <c r="AA324" s="4"/>
      <c r="AB324" s="4"/>
      <c r="AC324" s="4"/>
      <c r="AD324" s="4"/>
      <c r="AE324" s="4"/>
      <c r="AF324" s="4"/>
    </row>
    <row r="325">
      <c r="A325" s="73"/>
      <c r="B325" s="73"/>
      <c r="C325" s="147"/>
      <c r="D325" s="103" t="str">
        <f t="array" ref="D325">XLOOKUP(C325,'Master Data'!C:C,'Master Data'!D:D)</f>
        <v>#N/A</v>
      </c>
      <c r="E325" s="104"/>
      <c r="F325" s="105" t="str">
        <f t="array" ref="F325">XLOOKUP(C325,'Master Data'!C:C,'Master Data'!D:D)</f>
        <v>#N/A</v>
      </c>
      <c r="G325" s="90" t="str">
        <f t="array" ref="G325">XLOOKUP(C325,'Master Data'!C:C,'Master Data'!E:E)</f>
        <v>#N/A</v>
      </c>
      <c r="H325" s="88" t="str">
        <f t="array" ref="H325">XLOOKUP(C325,'Master Data'!C:C,'Master Data'!F:F)</f>
        <v>#N/A</v>
      </c>
      <c r="I325" s="72" t="str">
        <f t="array" ref="I325">XLOOKUP(C325,'Master Data'!C:C,'Master Data'!G:G)</f>
        <v>#N/A</v>
      </c>
      <c r="J325" s="72" t="str">
        <f t="array" ref="J325">XLOOKUP(C325,'Master Data'!C:C,'Master Data'!H:H)</f>
        <v>#N/A</v>
      </c>
      <c r="K325" s="73"/>
      <c r="L325" s="149"/>
      <c r="M325" s="73"/>
      <c r="N325" s="73"/>
      <c r="O325" s="73"/>
      <c r="P325" s="73"/>
      <c r="Q325" s="73"/>
      <c r="R325" s="109"/>
      <c r="S325" s="4"/>
      <c r="T325" s="4"/>
      <c r="U325" s="4"/>
      <c r="V325" s="4"/>
      <c r="W325" s="4"/>
      <c r="X325" s="4"/>
      <c r="Y325" s="4"/>
      <c r="Z325" s="4"/>
      <c r="AA325" s="4"/>
      <c r="AB325" s="4"/>
      <c r="AC325" s="4"/>
      <c r="AD325" s="4"/>
      <c r="AE325" s="4"/>
      <c r="AF325" s="4"/>
    </row>
    <row r="326">
      <c r="A326" s="73"/>
      <c r="B326" s="73"/>
      <c r="C326" s="147"/>
      <c r="D326" s="103" t="str">
        <f t="array" ref="D326">XLOOKUP(C326,'Master Data'!C:C,'Master Data'!D:D)</f>
        <v>#N/A</v>
      </c>
      <c r="E326" s="104"/>
      <c r="F326" s="105" t="str">
        <f t="array" ref="F326">XLOOKUP(C326,'Master Data'!C:C,'Master Data'!D:D)</f>
        <v>#N/A</v>
      </c>
      <c r="G326" s="90" t="str">
        <f t="array" ref="G326">XLOOKUP(C326,'Master Data'!C:C,'Master Data'!E:E)</f>
        <v>#N/A</v>
      </c>
      <c r="H326" s="88" t="str">
        <f t="array" ref="H326">XLOOKUP(C326,'Master Data'!C:C,'Master Data'!F:F)</f>
        <v>#N/A</v>
      </c>
      <c r="I326" s="72" t="str">
        <f t="array" ref="I326">XLOOKUP(C326,'Master Data'!C:C,'Master Data'!G:G)</f>
        <v>#N/A</v>
      </c>
      <c r="J326" s="72" t="str">
        <f t="array" ref="J326">XLOOKUP(C326,'Master Data'!C:C,'Master Data'!H:H)</f>
        <v>#N/A</v>
      </c>
      <c r="K326" s="73"/>
      <c r="L326" s="149"/>
      <c r="M326" s="73"/>
      <c r="N326" s="73"/>
      <c r="O326" s="73"/>
      <c r="P326" s="73"/>
      <c r="Q326" s="73"/>
      <c r="R326" s="109"/>
      <c r="S326" s="4"/>
      <c r="T326" s="4"/>
      <c r="U326" s="4"/>
      <c r="V326" s="4"/>
      <c r="W326" s="4"/>
      <c r="X326" s="4"/>
      <c r="Y326" s="4"/>
      <c r="Z326" s="4"/>
      <c r="AA326" s="4"/>
      <c r="AB326" s="4"/>
      <c r="AC326" s="4"/>
      <c r="AD326" s="4"/>
      <c r="AE326" s="4"/>
      <c r="AF326" s="4"/>
    </row>
    <row r="327">
      <c r="A327" s="73"/>
      <c r="B327" s="73"/>
      <c r="C327" s="147"/>
      <c r="D327" s="103" t="str">
        <f t="array" ref="D327">XLOOKUP(C327,'Master Data'!C:C,'Master Data'!D:D)</f>
        <v>#N/A</v>
      </c>
      <c r="E327" s="104"/>
      <c r="F327" s="105" t="str">
        <f t="array" ref="F327">XLOOKUP(C327,'Master Data'!C:C,'Master Data'!D:D)</f>
        <v>#N/A</v>
      </c>
      <c r="G327" s="90" t="str">
        <f t="array" ref="G327">XLOOKUP(C327,'Master Data'!C:C,'Master Data'!E:E)</f>
        <v>#N/A</v>
      </c>
      <c r="H327" s="88" t="str">
        <f t="array" ref="H327">XLOOKUP(C327,'Master Data'!C:C,'Master Data'!F:F)</f>
        <v>#N/A</v>
      </c>
      <c r="I327" s="72" t="str">
        <f t="array" ref="I327">XLOOKUP(C327,'Master Data'!C:C,'Master Data'!G:G)</f>
        <v>#N/A</v>
      </c>
      <c r="J327" s="72" t="str">
        <f t="array" ref="J327">XLOOKUP(C327,'Master Data'!C:C,'Master Data'!H:H)</f>
        <v>#N/A</v>
      </c>
      <c r="K327" s="73"/>
      <c r="L327" s="149"/>
      <c r="M327" s="73"/>
      <c r="N327" s="73"/>
      <c r="O327" s="73"/>
      <c r="P327" s="73"/>
      <c r="Q327" s="73"/>
      <c r="R327" s="109"/>
      <c r="S327" s="4"/>
      <c r="T327" s="4"/>
      <c r="U327" s="4"/>
      <c r="V327" s="4"/>
      <c r="W327" s="4"/>
      <c r="X327" s="4"/>
      <c r="Y327" s="4"/>
      <c r="Z327" s="4"/>
      <c r="AA327" s="4"/>
      <c r="AB327" s="4"/>
      <c r="AC327" s="4"/>
      <c r="AD327" s="4"/>
      <c r="AE327" s="4"/>
      <c r="AF327" s="4"/>
    </row>
    <row r="328">
      <c r="A328" s="73"/>
      <c r="B328" s="73"/>
      <c r="C328" s="147"/>
      <c r="D328" s="103" t="str">
        <f t="array" ref="D328">XLOOKUP(C328,'Master Data'!C:C,'Master Data'!D:D)</f>
        <v>#N/A</v>
      </c>
      <c r="E328" s="104"/>
      <c r="F328" s="105" t="str">
        <f t="array" ref="F328">XLOOKUP(C328,'Master Data'!C:C,'Master Data'!D:D)</f>
        <v>#N/A</v>
      </c>
      <c r="G328" s="90" t="str">
        <f t="array" ref="G328">XLOOKUP(C328,'Master Data'!C:C,'Master Data'!E:E)</f>
        <v>#N/A</v>
      </c>
      <c r="H328" s="88" t="str">
        <f t="array" ref="H328">XLOOKUP(C328,'Master Data'!C:C,'Master Data'!F:F)</f>
        <v>#N/A</v>
      </c>
      <c r="I328" s="72" t="str">
        <f t="array" ref="I328">XLOOKUP(C328,'Master Data'!C:C,'Master Data'!G:G)</f>
        <v>#N/A</v>
      </c>
      <c r="J328" s="72" t="str">
        <f t="array" ref="J328">XLOOKUP(C328,'Master Data'!C:C,'Master Data'!H:H)</f>
        <v>#N/A</v>
      </c>
      <c r="K328" s="73"/>
      <c r="L328" s="149"/>
      <c r="M328" s="73"/>
      <c r="N328" s="73"/>
      <c r="O328" s="73"/>
      <c r="P328" s="73"/>
      <c r="Q328" s="73"/>
      <c r="R328" s="109"/>
      <c r="S328" s="4"/>
      <c r="T328" s="4"/>
      <c r="U328" s="4"/>
      <c r="V328" s="4"/>
      <c r="W328" s="4"/>
      <c r="X328" s="4"/>
      <c r="Y328" s="4"/>
      <c r="Z328" s="4"/>
      <c r="AA328" s="4"/>
      <c r="AB328" s="4"/>
      <c r="AC328" s="4"/>
      <c r="AD328" s="4"/>
      <c r="AE328" s="4"/>
      <c r="AF328" s="4"/>
    </row>
    <row r="329">
      <c r="A329" s="73"/>
      <c r="B329" s="73"/>
      <c r="C329" s="147"/>
      <c r="D329" s="103" t="str">
        <f t="array" ref="D329">XLOOKUP(C329,'Master Data'!C:C,'Master Data'!D:D)</f>
        <v>#N/A</v>
      </c>
      <c r="E329" s="104"/>
      <c r="F329" s="105" t="str">
        <f t="array" ref="F329">XLOOKUP(C329,'Master Data'!C:C,'Master Data'!D:D)</f>
        <v>#N/A</v>
      </c>
      <c r="G329" s="90" t="str">
        <f t="array" ref="G329">XLOOKUP(C329,'Master Data'!C:C,'Master Data'!E:E)</f>
        <v>#N/A</v>
      </c>
      <c r="H329" s="88" t="str">
        <f t="array" ref="H329">XLOOKUP(C329,'Master Data'!C:C,'Master Data'!F:F)</f>
        <v>#N/A</v>
      </c>
      <c r="I329" s="72" t="str">
        <f t="array" ref="I329">XLOOKUP(C329,'Master Data'!C:C,'Master Data'!G:G)</f>
        <v>#N/A</v>
      </c>
      <c r="J329" s="72" t="str">
        <f t="array" ref="J329">XLOOKUP(C329,'Master Data'!C:C,'Master Data'!H:H)</f>
        <v>#N/A</v>
      </c>
      <c r="K329" s="73"/>
      <c r="L329" s="149"/>
      <c r="M329" s="73"/>
      <c r="N329" s="73"/>
      <c r="O329" s="73"/>
      <c r="P329" s="73"/>
      <c r="Q329" s="73"/>
      <c r="R329" s="109"/>
      <c r="S329" s="4"/>
      <c r="T329" s="4"/>
      <c r="U329" s="4"/>
      <c r="V329" s="4"/>
      <c r="W329" s="4"/>
      <c r="X329" s="4"/>
      <c r="Y329" s="4"/>
      <c r="Z329" s="4"/>
      <c r="AA329" s="4"/>
      <c r="AB329" s="4"/>
      <c r="AC329" s="4"/>
      <c r="AD329" s="4"/>
      <c r="AE329" s="4"/>
      <c r="AF329" s="4"/>
    </row>
    <row r="330">
      <c r="A330" s="73"/>
      <c r="B330" s="73"/>
      <c r="C330" s="147"/>
      <c r="D330" s="103" t="str">
        <f t="array" ref="D330">XLOOKUP(C330,'Master Data'!C:C,'Master Data'!D:D)</f>
        <v>#N/A</v>
      </c>
      <c r="E330" s="104"/>
      <c r="F330" s="105" t="str">
        <f t="array" ref="F330">XLOOKUP(C330,'Master Data'!C:C,'Master Data'!D:D)</f>
        <v>#N/A</v>
      </c>
      <c r="G330" s="90" t="str">
        <f t="array" ref="G330">XLOOKUP(C330,'Master Data'!C:C,'Master Data'!E:E)</f>
        <v>#N/A</v>
      </c>
      <c r="H330" s="88" t="str">
        <f t="array" ref="H330">XLOOKUP(C330,'Master Data'!C:C,'Master Data'!F:F)</f>
        <v>#N/A</v>
      </c>
      <c r="I330" s="72" t="str">
        <f t="array" ref="I330">XLOOKUP(C330,'Master Data'!C:C,'Master Data'!G:G)</f>
        <v>#N/A</v>
      </c>
      <c r="J330" s="72" t="str">
        <f t="array" ref="J330">XLOOKUP(C330,'Master Data'!C:C,'Master Data'!H:H)</f>
        <v>#N/A</v>
      </c>
      <c r="K330" s="73"/>
      <c r="L330" s="149"/>
      <c r="M330" s="73"/>
      <c r="N330" s="73"/>
      <c r="O330" s="73"/>
      <c r="P330" s="73"/>
      <c r="Q330" s="73"/>
      <c r="R330" s="109"/>
      <c r="S330" s="4"/>
      <c r="T330" s="4"/>
      <c r="U330" s="4"/>
      <c r="V330" s="4"/>
      <c r="W330" s="4"/>
      <c r="X330" s="4"/>
      <c r="Y330" s="4"/>
      <c r="Z330" s="4"/>
      <c r="AA330" s="4"/>
      <c r="AB330" s="4"/>
      <c r="AC330" s="4"/>
      <c r="AD330" s="4"/>
      <c r="AE330" s="4"/>
      <c r="AF330" s="4"/>
    </row>
    <row r="331">
      <c r="A331" s="73"/>
      <c r="B331" s="73"/>
      <c r="C331" s="147"/>
      <c r="D331" s="103" t="str">
        <f t="array" ref="D331">XLOOKUP(C331,'Master Data'!C:C,'Master Data'!D:D)</f>
        <v>#N/A</v>
      </c>
      <c r="E331" s="104"/>
      <c r="F331" s="105" t="str">
        <f t="array" ref="F331">XLOOKUP(C331,'Master Data'!C:C,'Master Data'!D:D)</f>
        <v>#N/A</v>
      </c>
      <c r="G331" s="90" t="str">
        <f t="array" ref="G331">XLOOKUP(C331,'Master Data'!C:C,'Master Data'!E:E)</f>
        <v>#N/A</v>
      </c>
      <c r="H331" s="88" t="str">
        <f t="array" ref="H331">XLOOKUP(C331,'Master Data'!C:C,'Master Data'!F:F)</f>
        <v>#N/A</v>
      </c>
      <c r="I331" s="72" t="str">
        <f t="array" ref="I331">XLOOKUP(C331,'Master Data'!C:C,'Master Data'!G:G)</f>
        <v>#N/A</v>
      </c>
      <c r="J331" s="72" t="str">
        <f t="array" ref="J331">XLOOKUP(C331,'Master Data'!C:C,'Master Data'!H:H)</f>
        <v>#N/A</v>
      </c>
      <c r="K331" s="73"/>
      <c r="L331" s="149"/>
      <c r="M331" s="73"/>
      <c r="N331" s="73"/>
      <c r="O331" s="73"/>
      <c r="P331" s="73"/>
      <c r="Q331" s="73"/>
      <c r="R331" s="109"/>
      <c r="S331" s="4"/>
      <c r="T331" s="4"/>
      <c r="U331" s="4"/>
      <c r="V331" s="4"/>
      <c r="W331" s="4"/>
      <c r="X331" s="4"/>
      <c r="Y331" s="4"/>
      <c r="Z331" s="4"/>
      <c r="AA331" s="4"/>
      <c r="AB331" s="4"/>
      <c r="AC331" s="4"/>
      <c r="AD331" s="4"/>
      <c r="AE331" s="4"/>
      <c r="AF331" s="4"/>
    </row>
    <row r="332">
      <c r="A332" s="73"/>
      <c r="B332" s="73"/>
      <c r="C332" s="147"/>
      <c r="D332" s="103" t="str">
        <f t="array" ref="D332">XLOOKUP(C332,'Master Data'!C:C,'Master Data'!D:D)</f>
        <v>#N/A</v>
      </c>
      <c r="E332" s="104"/>
      <c r="F332" s="105" t="str">
        <f t="array" ref="F332">XLOOKUP(C332,'Master Data'!C:C,'Master Data'!D:D)</f>
        <v>#N/A</v>
      </c>
      <c r="G332" s="90" t="str">
        <f t="array" ref="G332">XLOOKUP(C332,'Master Data'!C:C,'Master Data'!E:E)</f>
        <v>#N/A</v>
      </c>
      <c r="H332" s="88" t="str">
        <f t="array" ref="H332">XLOOKUP(C332,'Master Data'!C:C,'Master Data'!F:F)</f>
        <v>#N/A</v>
      </c>
      <c r="I332" s="72" t="str">
        <f t="array" ref="I332">XLOOKUP(C332,'Master Data'!C:C,'Master Data'!G:G)</f>
        <v>#N/A</v>
      </c>
      <c r="J332" s="72" t="str">
        <f t="array" ref="J332">XLOOKUP(C332,'Master Data'!C:C,'Master Data'!H:H)</f>
        <v>#N/A</v>
      </c>
      <c r="K332" s="73"/>
      <c r="L332" s="149"/>
      <c r="M332" s="73"/>
      <c r="N332" s="73"/>
      <c r="O332" s="73"/>
      <c r="P332" s="73"/>
      <c r="Q332" s="73"/>
      <c r="R332" s="109"/>
      <c r="S332" s="4"/>
      <c r="T332" s="4"/>
      <c r="U332" s="4"/>
      <c r="V332" s="4"/>
      <c r="W332" s="4"/>
      <c r="X332" s="4"/>
      <c r="Y332" s="4"/>
      <c r="Z332" s="4"/>
      <c r="AA332" s="4"/>
      <c r="AB332" s="4"/>
      <c r="AC332" s="4"/>
      <c r="AD332" s="4"/>
      <c r="AE332" s="4"/>
      <c r="AF332" s="4"/>
    </row>
    <row r="333">
      <c r="A333" s="73"/>
      <c r="B333" s="73"/>
      <c r="C333" s="147"/>
      <c r="D333" s="103" t="str">
        <f t="array" ref="D333">XLOOKUP(C333,'Master Data'!C:C,'Master Data'!D:D)</f>
        <v>#N/A</v>
      </c>
      <c r="E333" s="104"/>
      <c r="F333" s="105" t="str">
        <f t="array" ref="F333">XLOOKUP(C333,'Master Data'!C:C,'Master Data'!D:D)</f>
        <v>#N/A</v>
      </c>
      <c r="G333" s="90" t="str">
        <f t="array" ref="G333">XLOOKUP(C333,'Master Data'!C:C,'Master Data'!E:E)</f>
        <v>#N/A</v>
      </c>
      <c r="H333" s="88" t="str">
        <f t="array" ref="H333">XLOOKUP(C333,'Master Data'!C:C,'Master Data'!F:F)</f>
        <v>#N/A</v>
      </c>
      <c r="I333" s="72" t="str">
        <f t="array" ref="I333">XLOOKUP(C333,'Master Data'!C:C,'Master Data'!G:G)</f>
        <v>#N/A</v>
      </c>
      <c r="J333" s="72" t="str">
        <f t="array" ref="J333">XLOOKUP(C333,'Master Data'!C:C,'Master Data'!H:H)</f>
        <v>#N/A</v>
      </c>
      <c r="K333" s="73"/>
      <c r="L333" s="149"/>
      <c r="M333" s="73"/>
      <c r="N333" s="73"/>
      <c r="O333" s="73"/>
      <c r="P333" s="73"/>
      <c r="Q333" s="73"/>
      <c r="R333" s="109"/>
      <c r="S333" s="4"/>
      <c r="T333" s="4"/>
      <c r="U333" s="4"/>
      <c r="V333" s="4"/>
      <c r="W333" s="4"/>
      <c r="X333" s="4"/>
      <c r="Y333" s="4"/>
      <c r="Z333" s="4"/>
      <c r="AA333" s="4"/>
      <c r="AB333" s="4"/>
      <c r="AC333" s="4"/>
      <c r="AD333" s="4"/>
      <c r="AE333" s="4"/>
      <c r="AF333" s="4"/>
    </row>
    <row r="334">
      <c r="A334" s="73"/>
      <c r="B334" s="73"/>
      <c r="C334" s="147"/>
      <c r="D334" s="103" t="str">
        <f t="array" ref="D334">XLOOKUP(C334,'Master Data'!C:C,'Master Data'!D:D)</f>
        <v>#N/A</v>
      </c>
      <c r="E334" s="104"/>
      <c r="F334" s="105" t="str">
        <f t="array" ref="F334">XLOOKUP(C334,'Master Data'!C:C,'Master Data'!D:D)</f>
        <v>#N/A</v>
      </c>
      <c r="G334" s="90" t="str">
        <f t="array" ref="G334">XLOOKUP(C334,'Master Data'!C:C,'Master Data'!E:E)</f>
        <v>#N/A</v>
      </c>
      <c r="H334" s="88" t="str">
        <f t="array" ref="H334">XLOOKUP(C334,'Master Data'!C:C,'Master Data'!F:F)</f>
        <v>#N/A</v>
      </c>
      <c r="I334" s="72" t="str">
        <f t="array" ref="I334">XLOOKUP(C334,'Master Data'!C:C,'Master Data'!G:G)</f>
        <v>#N/A</v>
      </c>
      <c r="J334" s="72" t="str">
        <f t="array" ref="J334">XLOOKUP(C334,'Master Data'!C:C,'Master Data'!H:H)</f>
        <v>#N/A</v>
      </c>
      <c r="K334" s="73"/>
      <c r="L334" s="149"/>
      <c r="M334" s="73"/>
      <c r="N334" s="73"/>
      <c r="O334" s="73"/>
      <c r="P334" s="73"/>
      <c r="Q334" s="73"/>
      <c r="R334" s="109"/>
      <c r="S334" s="4"/>
      <c r="T334" s="4"/>
      <c r="U334" s="4"/>
      <c r="V334" s="4"/>
      <c r="W334" s="4"/>
      <c r="X334" s="4"/>
      <c r="Y334" s="4"/>
      <c r="Z334" s="4"/>
      <c r="AA334" s="4"/>
      <c r="AB334" s="4"/>
      <c r="AC334" s="4"/>
      <c r="AD334" s="4"/>
      <c r="AE334" s="4"/>
      <c r="AF334" s="4"/>
    </row>
    <row r="335">
      <c r="A335" s="73"/>
      <c r="B335" s="73"/>
      <c r="C335" s="147"/>
      <c r="D335" s="103" t="str">
        <f t="array" ref="D335">XLOOKUP(C335,'Master Data'!C:C,'Master Data'!D:D)</f>
        <v>#N/A</v>
      </c>
      <c r="E335" s="104"/>
      <c r="F335" s="105" t="str">
        <f t="array" ref="F335">XLOOKUP(C335,'Master Data'!C:C,'Master Data'!D:D)</f>
        <v>#N/A</v>
      </c>
      <c r="G335" s="90" t="str">
        <f t="array" ref="G335">XLOOKUP(C335,'Master Data'!C:C,'Master Data'!E:E)</f>
        <v>#N/A</v>
      </c>
      <c r="H335" s="88" t="str">
        <f t="array" ref="H335">XLOOKUP(C335,'Master Data'!C:C,'Master Data'!F:F)</f>
        <v>#N/A</v>
      </c>
      <c r="I335" s="72" t="str">
        <f t="array" ref="I335">XLOOKUP(C335,'Master Data'!C:C,'Master Data'!G:G)</f>
        <v>#N/A</v>
      </c>
      <c r="J335" s="72" t="str">
        <f t="array" ref="J335">XLOOKUP(C335,'Master Data'!C:C,'Master Data'!H:H)</f>
        <v>#N/A</v>
      </c>
      <c r="K335" s="73"/>
      <c r="L335" s="149"/>
      <c r="M335" s="73"/>
      <c r="N335" s="73"/>
      <c r="O335" s="73"/>
      <c r="P335" s="73"/>
      <c r="Q335" s="73"/>
      <c r="R335" s="109"/>
      <c r="S335" s="4"/>
      <c r="T335" s="4"/>
      <c r="U335" s="4"/>
      <c r="V335" s="4"/>
      <c r="W335" s="4"/>
      <c r="X335" s="4"/>
      <c r="Y335" s="4"/>
      <c r="Z335" s="4"/>
      <c r="AA335" s="4"/>
      <c r="AB335" s="4"/>
      <c r="AC335" s="4"/>
      <c r="AD335" s="4"/>
      <c r="AE335" s="4"/>
      <c r="AF335" s="4"/>
    </row>
    <row r="336">
      <c r="A336" s="73"/>
      <c r="B336" s="73"/>
      <c r="C336" s="147"/>
      <c r="D336" s="103" t="str">
        <f t="array" ref="D336">XLOOKUP(C336,'Master Data'!C:C,'Master Data'!D:D)</f>
        <v>#N/A</v>
      </c>
      <c r="E336" s="104"/>
      <c r="F336" s="105" t="str">
        <f t="array" ref="F336">XLOOKUP(C336,'Master Data'!C:C,'Master Data'!D:D)</f>
        <v>#N/A</v>
      </c>
      <c r="G336" s="90" t="str">
        <f t="array" ref="G336">XLOOKUP(C336,'Master Data'!C:C,'Master Data'!E:E)</f>
        <v>#N/A</v>
      </c>
      <c r="H336" s="88" t="str">
        <f t="array" ref="H336">XLOOKUP(C336,'Master Data'!C:C,'Master Data'!F:F)</f>
        <v>#N/A</v>
      </c>
      <c r="I336" s="72" t="str">
        <f t="array" ref="I336">XLOOKUP(C336,'Master Data'!C:C,'Master Data'!G:G)</f>
        <v>#N/A</v>
      </c>
      <c r="J336" s="72" t="str">
        <f t="array" ref="J336">XLOOKUP(C336,'Master Data'!C:C,'Master Data'!H:H)</f>
        <v>#N/A</v>
      </c>
      <c r="K336" s="73"/>
      <c r="L336" s="149"/>
      <c r="M336" s="73"/>
      <c r="N336" s="73"/>
      <c r="O336" s="73"/>
      <c r="P336" s="73"/>
      <c r="Q336" s="73"/>
      <c r="R336" s="109"/>
      <c r="S336" s="4"/>
      <c r="T336" s="4"/>
      <c r="U336" s="4"/>
      <c r="V336" s="4"/>
      <c r="W336" s="4"/>
      <c r="X336" s="4"/>
      <c r="Y336" s="4"/>
      <c r="Z336" s="4"/>
      <c r="AA336" s="4"/>
      <c r="AB336" s="4"/>
      <c r="AC336" s="4"/>
      <c r="AD336" s="4"/>
      <c r="AE336" s="4"/>
      <c r="AF336" s="4"/>
    </row>
    <row r="337">
      <c r="A337" s="73"/>
      <c r="B337" s="73"/>
      <c r="C337" s="147"/>
      <c r="D337" s="103" t="str">
        <f t="array" ref="D337">XLOOKUP(C337,'Master Data'!C:C,'Master Data'!D:D)</f>
        <v>#N/A</v>
      </c>
      <c r="E337" s="104"/>
      <c r="F337" s="105" t="str">
        <f t="array" ref="F337">XLOOKUP(C337,'Master Data'!C:C,'Master Data'!D:D)</f>
        <v>#N/A</v>
      </c>
      <c r="G337" s="90" t="str">
        <f t="array" ref="G337">XLOOKUP(C337,'Master Data'!C:C,'Master Data'!E:E)</f>
        <v>#N/A</v>
      </c>
      <c r="H337" s="88" t="str">
        <f t="array" ref="H337">XLOOKUP(C337,'Master Data'!C:C,'Master Data'!F:F)</f>
        <v>#N/A</v>
      </c>
      <c r="I337" s="72" t="str">
        <f t="array" ref="I337">XLOOKUP(C337,'Master Data'!C:C,'Master Data'!G:G)</f>
        <v>#N/A</v>
      </c>
      <c r="J337" s="72" t="str">
        <f t="array" ref="J337">XLOOKUP(C337,'Master Data'!C:C,'Master Data'!H:H)</f>
        <v>#N/A</v>
      </c>
      <c r="K337" s="73"/>
      <c r="L337" s="149"/>
      <c r="M337" s="73"/>
      <c r="N337" s="73"/>
      <c r="O337" s="73"/>
      <c r="P337" s="73"/>
      <c r="Q337" s="73"/>
      <c r="R337" s="109"/>
      <c r="S337" s="4"/>
      <c r="T337" s="4"/>
      <c r="U337" s="4"/>
      <c r="V337" s="4"/>
      <c r="W337" s="4"/>
      <c r="X337" s="4"/>
      <c r="Y337" s="4"/>
      <c r="Z337" s="4"/>
      <c r="AA337" s="4"/>
      <c r="AB337" s="4"/>
      <c r="AC337" s="4"/>
      <c r="AD337" s="4"/>
      <c r="AE337" s="4"/>
      <c r="AF337" s="4"/>
    </row>
    <row r="338">
      <c r="A338" s="73"/>
      <c r="B338" s="73"/>
      <c r="C338" s="147"/>
      <c r="D338" s="103" t="str">
        <f t="array" ref="D338">XLOOKUP(C338,'Master Data'!C:C,'Master Data'!D:D)</f>
        <v>#N/A</v>
      </c>
      <c r="E338" s="104"/>
      <c r="F338" s="105" t="str">
        <f t="array" ref="F338">XLOOKUP(C338,'Master Data'!C:C,'Master Data'!D:D)</f>
        <v>#N/A</v>
      </c>
      <c r="G338" s="90" t="str">
        <f t="array" ref="G338">XLOOKUP(C338,'Master Data'!C:C,'Master Data'!E:E)</f>
        <v>#N/A</v>
      </c>
      <c r="H338" s="88" t="str">
        <f t="array" ref="H338">XLOOKUP(C338,'Master Data'!C:C,'Master Data'!F:F)</f>
        <v>#N/A</v>
      </c>
      <c r="I338" s="72" t="str">
        <f t="array" ref="I338">XLOOKUP(C338,'Master Data'!C:C,'Master Data'!G:G)</f>
        <v>#N/A</v>
      </c>
      <c r="J338" s="72" t="str">
        <f t="array" ref="J338">XLOOKUP(C338,'Master Data'!C:C,'Master Data'!H:H)</f>
        <v>#N/A</v>
      </c>
      <c r="K338" s="73"/>
      <c r="L338" s="149"/>
      <c r="M338" s="73"/>
      <c r="N338" s="73"/>
      <c r="O338" s="73"/>
      <c r="P338" s="73"/>
      <c r="Q338" s="73"/>
      <c r="R338" s="109"/>
      <c r="S338" s="4"/>
      <c r="T338" s="4"/>
      <c r="U338" s="4"/>
      <c r="V338" s="4"/>
      <c r="W338" s="4"/>
      <c r="X338" s="4"/>
      <c r="Y338" s="4"/>
      <c r="Z338" s="4"/>
      <c r="AA338" s="4"/>
      <c r="AB338" s="4"/>
      <c r="AC338" s="4"/>
      <c r="AD338" s="4"/>
      <c r="AE338" s="4"/>
      <c r="AF338" s="4"/>
    </row>
    <row r="339">
      <c r="A339" s="73"/>
      <c r="B339" s="73"/>
      <c r="C339" s="147"/>
      <c r="D339" s="103" t="str">
        <f t="array" ref="D339">XLOOKUP(C339,'Master Data'!C:C,'Master Data'!D:D)</f>
        <v>#N/A</v>
      </c>
      <c r="E339" s="104"/>
      <c r="F339" s="105" t="str">
        <f t="array" ref="F339">XLOOKUP(C339,'Master Data'!C:C,'Master Data'!D:D)</f>
        <v>#N/A</v>
      </c>
      <c r="G339" s="90" t="str">
        <f t="array" ref="G339">XLOOKUP(C339,'Master Data'!C:C,'Master Data'!E:E)</f>
        <v>#N/A</v>
      </c>
      <c r="H339" s="88" t="str">
        <f t="array" ref="H339">XLOOKUP(C339,'Master Data'!C:C,'Master Data'!F:F)</f>
        <v>#N/A</v>
      </c>
      <c r="I339" s="72" t="str">
        <f t="array" ref="I339">XLOOKUP(C339,'Master Data'!C:C,'Master Data'!G:G)</f>
        <v>#N/A</v>
      </c>
      <c r="J339" s="72" t="str">
        <f t="array" ref="J339">XLOOKUP(C339,'Master Data'!C:C,'Master Data'!H:H)</f>
        <v>#N/A</v>
      </c>
      <c r="K339" s="73"/>
      <c r="L339" s="149"/>
      <c r="M339" s="73"/>
      <c r="N339" s="73"/>
      <c r="O339" s="73"/>
      <c r="P339" s="73"/>
      <c r="Q339" s="73"/>
      <c r="R339" s="109"/>
      <c r="S339" s="4"/>
      <c r="T339" s="4"/>
      <c r="U339" s="4"/>
      <c r="V339" s="4"/>
      <c r="W339" s="4"/>
      <c r="X339" s="4"/>
      <c r="Y339" s="4"/>
      <c r="Z339" s="4"/>
      <c r="AA339" s="4"/>
      <c r="AB339" s="4"/>
      <c r="AC339" s="4"/>
      <c r="AD339" s="4"/>
      <c r="AE339" s="4"/>
      <c r="AF339" s="4"/>
    </row>
    <row r="340">
      <c r="A340" s="73"/>
      <c r="B340" s="73"/>
      <c r="C340" s="147"/>
      <c r="D340" s="103" t="str">
        <f t="array" ref="D340">XLOOKUP(C340,'Master Data'!C:C,'Master Data'!D:D)</f>
        <v>#N/A</v>
      </c>
      <c r="E340" s="104"/>
      <c r="F340" s="105" t="str">
        <f t="array" ref="F340">XLOOKUP(C340,'Master Data'!C:C,'Master Data'!D:D)</f>
        <v>#N/A</v>
      </c>
      <c r="G340" s="90" t="str">
        <f t="array" ref="G340">XLOOKUP(C340,'Master Data'!C:C,'Master Data'!E:E)</f>
        <v>#N/A</v>
      </c>
      <c r="H340" s="88" t="str">
        <f t="array" ref="H340">XLOOKUP(C340,'Master Data'!C:C,'Master Data'!F:F)</f>
        <v>#N/A</v>
      </c>
      <c r="I340" s="72" t="str">
        <f t="array" ref="I340">XLOOKUP(C340,'Master Data'!C:C,'Master Data'!G:G)</f>
        <v>#N/A</v>
      </c>
      <c r="J340" s="72" t="str">
        <f t="array" ref="J340">XLOOKUP(C340,'Master Data'!C:C,'Master Data'!H:H)</f>
        <v>#N/A</v>
      </c>
      <c r="K340" s="73"/>
      <c r="L340" s="149"/>
      <c r="M340" s="73"/>
      <c r="N340" s="73"/>
      <c r="O340" s="73"/>
      <c r="P340" s="73"/>
      <c r="Q340" s="73"/>
      <c r="R340" s="109"/>
      <c r="S340" s="4"/>
      <c r="T340" s="4"/>
      <c r="U340" s="4"/>
      <c r="V340" s="4"/>
      <c r="W340" s="4"/>
      <c r="X340" s="4"/>
      <c r="Y340" s="4"/>
      <c r="Z340" s="4"/>
      <c r="AA340" s="4"/>
      <c r="AB340" s="4"/>
      <c r="AC340" s="4"/>
      <c r="AD340" s="4"/>
      <c r="AE340" s="4"/>
      <c r="AF340" s="4"/>
    </row>
    <row r="341">
      <c r="A341" s="73"/>
      <c r="B341" s="73"/>
      <c r="C341" s="147"/>
      <c r="D341" s="103" t="str">
        <f t="array" ref="D341">XLOOKUP(C341,'Master Data'!C:C,'Master Data'!D:D)</f>
        <v>#N/A</v>
      </c>
      <c r="E341" s="104"/>
      <c r="F341" s="105" t="str">
        <f t="array" ref="F341">XLOOKUP(C341,'Master Data'!C:C,'Master Data'!D:D)</f>
        <v>#N/A</v>
      </c>
      <c r="G341" s="90" t="str">
        <f t="array" ref="G341">XLOOKUP(C341,'Master Data'!C:C,'Master Data'!E:E)</f>
        <v>#N/A</v>
      </c>
      <c r="H341" s="88" t="str">
        <f t="array" ref="H341">XLOOKUP(C341,'Master Data'!C:C,'Master Data'!F:F)</f>
        <v>#N/A</v>
      </c>
      <c r="I341" s="72" t="str">
        <f t="array" ref="I341">XLOOKUP(C341,'Master Data'!C:C,'Master Data'!G:G)</f>
        <v>#N/A</v>
      </c>
      <c r="J341" s="72" t="str">
        <f t="array" ref="J341">XLOOKUP(C341,'Master Data'!C:C,'Master Data'!H:H)</f>
        <v>#N/A</v>
      </c>
      <c r="K341" s="73"/>
      <c r="L341" s="149"/>
      <c r="M341" s="73"/>
      <c r="N341" s="73"/>
      <c r="O341" s="73"/>
      <c r="P341" s="73"/>
      <c r="Q341" s="73"/>
      <c r="R341" s="109"/>
      <c r="S341" s="4"/>
      <c r="T341" s="4"/>
      <c r="U341" s="4"/>
      <c r="V341" s="4"/>
      <c r="W341" s="4"/>
      <c r="X341" s="4"/>
      <c r="Y341" s="4"/>
      <c r="Z341" s="4"/>
      <c r="AA341" s="4"/>
      <c r="AB341" s="4"/>
      <c r="AC341" s="4"/>
      <c r="AD341" s="4"/>
      <c r="AE341" s="4"/>
      <c r="AF341" s="4"/>
    </row>
    <row r="342">
      <c r="A342" s="73"/>
      <c r="B342" s="73"/>
      <c r="C342" s="147"/>
      <c r="D342" s="103" t="str">
        <f t="array" ref="D342">XLOOKUP(C342,'Master Data'!C:C,'Master Data'!D:D)</f>
        <v>#N/A</v>
      </c>
      <c r="E342" s="104"/>
      <c r="F342" s="105" t="str">
        <f t="array" ref="F342">XLOOKUP(C342,'Master Data'!C:C,'Master Data'!D:D)</f>
        <v>#N/A</v>
      </c>
      <c r="G342" s="90" t="str">
        <f t="array" ref="G342">XLOOKUP(C342,'Master Data'!C:C,'Master Data'!E:E)</f>
        <v>#N/A</v>
      </c>
      <c r="H342" s="88" t="str">
        <f t="array" ref="H342">XLOOKUP(C342,'Master Data'!C:C,'Master Data'!F:F)</f>
        <v>#N/A</v>
      </c>
      <c r="I342" s="72" t="str">
        <f t="array" ref="I342">XLOOKUP(C342,'Master Data'!C:C,'Master Data'!G:G)</f>
        <v>#N/A</v>
      </c>
      <c r="J342" s="72" t="str">
        <f t="array" ref="J342">XLOOKUP(C342,'Master Data'!C:C,'Master Data'!H:H)</f>
        <v>#N/A</v>
      </c>
      <c r="K342" s="73"/>
      <c r="L342" s="149"/>
      <c r="M342" s="73"/>
      <c r="N342" s="73"/>
      <c r="O342" s="73"/>
      <c r="P342" s="73"/>
      <c r="Q342" s="73"/>
      <c r="R342" s="109"/>
      <c r="S342" s="4"/>
      <c r="T342" s="4"/>
      <c r="U342" s="4"/>
      <c r="V342" s="4"/>
      <c r="W342" s="4"/>
      <c r="X342" s="4"/>
      <c r="Y342" s="4"/>
      <c r="Z342" s="4"/>
      <c r="AA342" s="4"/>
      <c r="AB342" s="4"/>
      <c r="AC342" s="4"/>
      <c r="AD342" s="4"/>
      <c r="AE342" s="4"/>
      <c r="AF342" s="4"/>
    </row>
    <row r="343">
      <c r="A343" s="73"/>
      <c r="B343" s="73"/>
      <c r="C343" s="147"/>
      <c r="D343" s="103" t="str">
        <f t="array" ref="D343">XLOOKUP(C343,'Master Data'!C:C,'Master Data'!D:D)</f>
        <v>#N/A</v>
      </c>
      <c r="E343" s="104"/>
      <c r="F343" s="105" t="str">
        <f t="array" ref="F343">XLOOKUP(C343,'Master Data'!C:C,'Master Data'!D:D)</f>
        <v>#N/A</v>
      </c>
      <c r="G343" s="90" t="str">
        <f t="array" ref="G343">XLOOKUP(C343,'Master Data'!C:C,'Master Data'!E:E)</f>
        <v>#N/A</v>
      </c>
      <c r="H343" s="88" t="str">
        <f t="array" ref="H343">XLOOKUP(C343,'Master Data'!C:C,'Master Data'!F:F)</f>
        <v>#N/A</v>
      </c>
      <c r="I343" s="72" t="str">
        <f t="array" ref="I343">XLOOKUP(C343,'Master Data'!C:C,'Master Data'!G:G)</f>
        <v>#N/A</v>
      </c>
      <c r="J343" s="72" t="str">
        <f t="array" ref="J343">XLOOKUP(C343,'Master Data'!C:C,'Master Data'!H:H)</f>
        <v>#N/A</v>
      </c>
      <c r="K343" s="73"/>
      <c r="L343" s="149"/>
      <c r="M343" s="73"/>
      <c r="N343" s="73"/>
      <c r="O343" s="73"/>
      <c r="P343" s="73"/>
      <c r="Q343" s="73"/>
      <c r="R343" s="109"/>
      <c r="S343" s="4"/>
      <c r="T343" s="4"/>
      <c r="U343" s="4"/>
      <c r="V343" s="4"/>
      <c r="W343" s="4"/>
      <c r="X343" s="4"/>
      <c r="Y343" s="4"/>
      <c r="Z343" s="4"/>
      <c r="AA343" s="4"/>
      <c r="AB343" s="4"/>
      <c r="AC343" s="4"/>
      <c r="AD343" s="4"/>
      <c r="AE343" s="4"/>
      <c r="AF343" s="4"/>
    </row>
    <row r="344">
      <c r="A344" s="73"/>
      <c r="B344" s="73"/>
      <c r="C344" s="147"/>
      <c r="D344" s="103" t="str">
        <f t="array" ref="D344">XLOOKUP(C344,'Master Data'!C:C,'Master Data'!D:D)</f>
        <v>#N/A</v>
      </c>
      <c r="E344" s="104"/>
      <c r="F344" s="105" t="str">
        <f t="array" ref="F344">XLOOKUP(C344,'Master Data'!C:C,'Master Data'!D:D)</f>
        <v>#N/A</v>
      </c>
      <c r="G344" s="90" t="str">
        <f t="array" ref="G344">XLOOKUP(C344,'Master Data'!C:C,'Master Data'!E:E)</f>
        <v>#N/A</v>
      </c>
      <c r="H344" s="88" t="str">
        <f t="array" ref="H344">XLOOKUP(C344,'Master Data'!C:C,'Master Data'!F:F)</f>
        <v>#N/A</v>
      </c>
      <c r="I344" s="72" t="str">
        <f t="array" ref="I344">XLOOKUP(C344,'Master Data'!C:C,'Master Data'!G:G)</f>
        <v>#N/A</v>
      </c>
      <c r="J344" s="72" t="str">
        <f t="array" ref="J344">XLOOKUP(C344,'Master Data'!C:C,'Master Data'!H:H)</f>
        <v>#N/A</v>
      </c>
      <c r="K344" s="73"/>
      <c r="L344" s="149"/>
      <c r="M344" s="73"/>
      <c r="N344" s="73"/>
      <c r="O344" s="73"/>
      <c r="P344" s="73"/>
      <c r="Q344" s="73"/>
      <c r="R344" s="109"/>
      <c r="S344" s="4"/>
      <c r="T344" s="4"/>
      <c r="U344" s="4"/>
      <c r="V344" s="4"/>
      <c r="W344" s="4"/>
      <c r="X344" s="4"/>
      <c r="Y344" s="4"/>
      <c r="Z344" s="4"/>
      <c r="AA344" s="4"/>
      <c r="AB344" s="4"/>
      <c r="AC344" s="4"/>
      <c r="AD344" s="4"/>
      <c r="AE344" s="4"/>
      <c r="AF344" s="4"/>
    </row>
    <row r="345">
      <c r="A345" s="73"/>
      <c r="B345" s="73"/>
      <c r="C345" s="147"/>
      <c r="D345" s="103" t="str">
        <f t="array" ref="D345">XLOOKUP(C345,'Master Data'!C:C,'Master Data'!D:D)</f>
        <v>#N/A</v>
      </c>
      <c r="E345" s="104"/>
      <c r="F345" s="105" t="str">
        <f t="array" ref="F345">XLOOKUP(C345,'Master Data'!C:C,'Master Data'!D:D)</f>
        <v>#N/A</v>
      </c>
      <c r="G345" s="90" t="str">
        <f t="array" ref="G345">XLOOKUP(C345,'Master Data'!C:C,'Master Data'!E:E)</f>
        <v>#N/A</v>
      </c>
      <c r="H345" s="88" t="str">
        <f t="array" ref="H345">XLOOKUP(C345,'Master Data'!C:C,'Master Data'!F:F)</f>
        <v>#N/A</v>
      </c>
      <c r="I345" s="72" t="str">
        <f t="array" ref="I345">XLOOKUP(C345,'Master Data'!C:C,'Master Data'!G:G)</f>
        <v>#N/A</v>
      </c>
      <c r="J345" s="72" t="str">
        <f t="array" ref="J345">XLOOKUP(C345,'Master Data'!C:C,'Master Data'!H:H)</f>
        <v>#N/A</v>
      </c>
      <c r="K345" s="73"/>
      <c r="L345" s="149"/>
      <c r="M345" s="73"/>
      <c r="N345" s="73"/>
      <c r="O345" s="73"/>
      <c r="P345" s="73"/>
      <c r="Q345" s="73"/>
      <c r="R345" s="109"/>
      <c r="S345" s="4"/>
      <c r="T345" s="4"/>
      <c r="U345" s="4"/>
      <c r="V345" s="4"/>
      <c r="W345" s="4"/>
      <c r="X345" s="4"/>
      <c r="Y345" s="4"/>
      <c r="Z345" s="4"/>
      <c r="AA345" s="4"/>
      <c r="AB345" s="4"/>
      <c r="AC345" s="4"/>
      <c r="AD345" s="4"/>
      <c r="AE345" s="4"/>
      <c r="AF345" s="4"/>
    </row>
    <row r="346">
      <c r="A346" s="73"/>
      <c r="B346" s="73"/>
      <c r="C346" s="147"/>
      <c r="D346" s="103" t="str">
        <f t="array" ref="D346">XLOOKUP(C346,'Master Data'!C:C,'Master Data'!D:D)</f>
        <v>#N/A</v>
      </c>
      <c r="E346" s="104"/>
      <c r="F346" s="105" t="str">
        <f t="array" ref="F346">XLOOKUP(C346,'Master Data'!C:C,'Master Data'!D:D)</f>
        <v>#N/A</v>
      </c>
      <c r="G346" s="90" t="str">
        <f t="array" ref="G346">XLOOKUP(C346,'Master Data'!C:C,'Master Data'!E:E)</f>
        <v>#N/A</v>
      </c>
      <c r="H346" s="88" t="str">
        <f t="array" ref="H346">XLOOKUP(C346,'Master Data'!C:C,'Master Data'!F:F)</f>
        <v>#N/A</v>
      </c>
      <c r="I346" s="72" t="str">
        <f t="array" ref="I346">XLOOKUP(C346,'Master Data'!C:C,'Master Data'!G:G)</f>
        <v>#N/A</v>
      </c>
      <c r="J346" s="72" t="str">
        <f t="array" ref="J346">XLOOKUP(C346,'Master Data'!C:C,'Master Data'!H:H)</f>
        <v>#N/A</v>
      </c>
      <c r="K346" s="73"/>
      <c r="L346" s="149"/>
      <c r="M346" s="73"/>
      <c r="N346" s="73"/>
      <c r="O346" s="73"/>
      <c r="P346" s="73"/>
      <c r="Q346" s="73"/>
      <c r="R346" s="109"/>
      <c r="S346" s="4"/>
      <c r="T346" s="4"/>
      <c r="U346" s="4"/>
      <c r="V346" s="4"/>
      <c r="W346" s="4"/>
      <c r="X346" s="4"/>
      <c r="Y346" s="4"/>
      <c r="Z346" s="4"/>
      <c r="AA346" s="4"/>
      <c r="AB346" s="4"/>
      <c r="AC346" s="4"/>
      <c r="AD346" s="4"/>
      <c r="AE346" s="4"/>
      <c r="AF346" s="4"/>
    </row>
    <row r="347">
      <c r="A347" s="73"/>
      <c r="B347" s="73"/>
      <c r="C347" s="147"/>
      <c r="D347" s="103" t="str">
        <f t="array" ref="D347">XLOOKUP(C347,'Master Data'!C:C,'Master Data'!D:D)</f>
        <v>#N/A</v>
      </c>
      <c r="E347" s="104"/>
      <c r="F347" s="105" t="str">
        <f t="array" ref="F347">XLOOKUP(C347,'Master Data'!C:C,'Master Data'!D:D)</f>
        <v>#N/A</v>
      </c>
      <c r="G347" s="90" t="str">
        <f t="array" ref="G347">XLOOKUP(C347,'Master Data'!C:C,'Master Data'!E:E)</f>
        <v>#N/A</v>
      </c>
      <c r="H347" s="88" t="str">
        <f t="array" ref="H347">XLOOKUP(C347,'Master Data'!C:C,'Master Data'!F:F)</f>
        <v>#N/A</v>
      </c>
      <c r="I347" s="72" t="str">
        <f t="array" ref="I347">XLOOKUP(C347,'Master Data'!C:C,'Master Data'!G:G)</f>
        <v>#N/A</v>
      </c>
      <c r="J347" s="72" t="str">
        <f t="array" ref="J347">XLOOKUP(C347,'Master Data'!C:C,'Master Data'!H:H)</f>
        <v>#N/A</v>
      </c>
      <c r="K347" s="73"/>
      <c r="L347" s="149"/>
      <c r="M347" s="73"/>
      <c r="N347" s="73"/>
      <c r="O347" s="73"/>
      <c r="P347" s="73"/>
      <c r="Q347" s="73"/>
      <c r="R347" s="109"/>
      <c r="S347" s="4"/>
      <c r="T347" s="4"/>
      <c r="U347" s="4"/>
      <c r="V347" s="4"/>
      <c r="W347" s="4"/>
      <c r="X347" s="4"/>
      <c r="Y347" s="4"/>
      <c r="Z347" s="4"/>
      <c r="AA347" s="4"/>
      <c r="AB347" s="4"/>
      <c r="AC347" s="4"/>
      <c r="AD347" s="4"/>
      <c r="AE347" s="4"/>
      <c r="AF347" s="4"/>
    </row>
    <row r="348">
      <c r="A348" s="73"/>
      <c r="B348" s="73"/>
      <c r="C348" s="147"/>
      <c r="D348" s="103" t="str">
        <f t="array" ref="D348">XLOOKUP(C348,'Master Data'!C:C,'Master Data'!D:D)</f>
        <v>#N/A</v>
      </c>
      <c r="E348" s="104"/>
      <c r="F348" s="105" t="str">
        <f t="array" ref="F348">XLOOKUP(C348,'Master Data'!C:C,'Master Data'!D:D)</f>
        <v>#N/A</v>
      </c>
      <c r="G348" s="90" t="str">
        <f t="array" ref="G348">XLOOKUP(C348,'Master Data'!C:C,'Master Data'!E:E)</f>
        <v>#N/A</v>
      </c>
      <c r="H348" s="88" t="str">
        <f t="array" ref="H348">XLOOKUP(C348,'Master Data'!C:C,'Master Data'!F:F)</f>
        <v>#N/A</v>
      </c>
      <c r="I348" s="72" t="str">
        <f t="array" ref="I348">XLOOKUP(C348,'Master Data'!C:C,'Master Data'!G:G)</f>
        <v>#N/A</v>
      </c>
      <c r="J348" s="72" t="str">
        <f t="array" ref="J348">XLOOKUP(C348,'Master Data'!C:C,'Master Data'!H:H)</f>
        <v>#N/A</v>
      </c>
      <c r="K348" s="73"/>
      <c r="L348" s="149"/>
      <c r="M348" s="73"/>
      <c r="N348" s="73"/>
      <c r="O348" s="73"/>
      <c r="P348" s="73"/>
      <c r="Q348" s="73"/>
      <c r="R348" s="109"/>
      <c r="S348" s="4"/>
      <c r="T348" s="4"/>
      <c r="U348" s="4"/>
      <c r="V348" s="4"/>
      <c r="W348" s="4"/>
      <c r="X348" s="4"/>
      <c r="Y348" s="4"/>
      <c r="Z348" s="4"/>
      <c r="AA348" s="4"/>
      <c r="AB348" s="4"/>
      <c r="AC348" s="4"/>
      <c r="AD348" s="4"/>
      <c r="AE348" s="4"/>
      <c r="AF348" s="4"/>
    </row>
    <row r="349">
      <c r="A349" s="73"/>
      <c r="B349" s="73"/>
      <c r="C349" s="147"/>
      <c r="D349" s="103" t="str">
        <f t="array" ref="D349">XLOOKUP(C349,'Master Data'!C:C,'Master Data'!D:D)</f>
        <v>#N/A</v>
      </c>
      <c r="E349" s="104"/>
      <c r="F349" s="105" t="str">
        <f t="array" ref="F349">XLOOKUP(C349,'Master Data'!C:C,'Master Data'!D:D)</f>
        <v>#N/A</v>
      </c>
      <c r="G349" s="90" t="str">
        <f t="array" ref="G349">XLOOKUP(C349,'Master Data'!C:C,'Master Data'!E:E)</f>
        <v>#N/A</v>
      </c>
      <c r="H349" s="88" t="str">
        <f t="array" ref="H349">XLOOKUP(C349,'Master Data'!C:C,'Master Data'!F:F)</f>
        <v>#N/A</v>
      </c>
      <c r="I349" s="72" t="str">
        <f t="array" ref="I349">XLOOKUP(C349,'Master Data'!C:C,'Master Data'!G:G)</f>
        <v>#N/A</v>
      </c>
      <c r="J349" s="72" t="str">
        <f t="array" ref="J349">XLOOKUP(C349,'Master Data'!C:C,'Master Data'!H:H)</f>
        <v>#N/A</v>
      </c>
      <c r="K349" s="73"/>
      <c r="L349" s="149"/>
      <c r="M349" s="73"/>
      <c r="N349" s="73"/>
      <c r="O349" s="73"/>
      <c r="P349" s="73"/>
      <c r="Q349" s="73"/>
      <c r="R349" s="109"/>
      <c r="S349" s="4"/>
      <c r="T349" s="4"/>
      <c r="U349" s="4"/>
      <c r="V349" s="4"/>
      <c r="W349" s="4"/>
      <c r="X349" s="4"/>
      <c r="Y349" s="4"/>
      <c r="Z349" s="4"/>
      <c r="AA349" s="4"/>
      <c r="AB349" s="4"/>
      <c r="AC349" s="4"/>
      <c r="AD349" s="4"/>
      <c r="AE349" s="4"/>
      <c r="AF349" s="4"/>
    </row>
    <row r="350">
      <c r="A350" s="73"/>
      <c r="B350" s="73"/>
      <c r="C350" s="147"/>
      <c r="D350" s="103" t="str">
        <f t="array" ref="D350">XLOOKUP(C350,'Master Data'!C:C,'Master Data'!D:D)</f>
        <v>#N/A</v>
      </c>
      <c r="E350" s="104"/>
      <c r="F350" s="105" t="str">
        <f t="array" ref="F350">XLOOKUP(C350,'Master Data'!C:C,'Master Data'!D:D)</f>
        <v>#N/A</v>
      </c>
      <c r="G350" s="90" t="str">
        <f t="array" ref="G350">XLOOKUP(C350,'Master Data'!C:C,'Master Data'!E:E)</f>
        <v>#N/A</v>
      </c>
      <c r="H350" s="88" t="str">
        <f t="array" ref="H350">XLOOKUP(C350,'Master Data'!C:C,'Master Data'!F:F)</f>
        <v>#N/A</v>
      </c>
      <c r="I350" s="72" t="str">
        <f t="array" ref="I350">XLOOKUP(C350,'Master Data'!C:C,'Master Data'!G:G)</f>
        <v>#N/A</v>
      </c>
      <c r="J350" s="72" t="str">
        <f t="array" ref="J350">XLOOKUP(C350,'Master Data'!C:C,'Master Data'!H:H)</f>
        <v>#N/A</v>
      </c>
      <c r="K350" s="73"/>
      <c r="L350" s="149"/>
      <c r="M350" s="73"/>
      <c r="N350" s="73"/>
      <c r="O350" s="73"/>
      <c r="P350" s="73"/>
      <c r="Q350" s="73"/>
      <c r="R350" s="109"/>
      <c r="S350" s="4"/>
      <c r="T350" s="4"/>
      <c r="U350" s="4"/>
      <c r="V350" s="4"/>
      <c r="W350" s="4"/>
      <c r="X350" s="4"/>
      <c r="Y350" s="4"/>
      <c r="Z350" s="4"/>
      <c r="AA350" s="4"/>
      <c r="AB350" s="4"/>
      <c r="AC350" s="4"/>
      <c r="AD350" s="4"/>
      <c r="AE350" s="4"/>
      <c r="AF350" s="4"/>
    </row>
    <row r="351">
      <c r="A351" s="73"/>
      <c r="B351" s="73"/>
      <c r="C351" s="147"/>
      <c r="D351" s="103" t="str">
        <f t="array" ref="D351">XLOOKUP(C351,'Master Data'!C:C,'Master Data'!D:D)</f>
        <v>#N/A</v>
      </c>
      <c r="E351" s="104"/>
      <c r="F351" s="105" t="str">
        <f t="array" ref="F351">XLOOKUP(C351,'Master Data'!C:C,'Master Data'!D:D)</f>
        <v>#N/A</v>
      </c>
      <c r="G351" s="90" t="str">
        <f t="array" ref="G351">XLOOKUP(C351,'Master Data'!C:C,'Master Data'!E:E)</f>
        <v>#N/A</v>
      </c>
      <c r="H351" s="88" t="str">
        <f t="array" ref="H351">XLOOKUP(C351,'Master Data'!C:C,'Master Data'!F:F)</f>
        <v>#N/A</v>
      </c>
      <c r="I351" s="72" t="str">
        <f t="array" ref="I351">XLOOKUP(C351,'Master Data'!C:C,'Master Data'!G:G)</f>
        <v>#N/A</v>
      </c>
      <c r="J351" s="72" t="str">
        <f t="array" ref="J351">XLOOKUP(C351,'Master Data'!C:C,'Master Data'!H:H)</f>
        <v>#N/A</v>
      </c>
      <c r="K351" s="73"/>
      <c r="L351" s="149"/>
      <c r="M351" s="73"/>
      <c r="N351" s="73"/>
      <c r="O351" s="73"/>
      <c r="P351" s="73"/>
      <c r="Q351" s="73"/>
      <c r="R351" s="109"/>
      <c r="S351" s="4"/>
      <c r="T351" s="4"/>
      <c r="U351" s="4"/>
      <c r="V351" s="4"/>
      <c r="W351" s="4"/>
      <c r="X351" s="4"/>
      <c r="Y351" s="4"/>
      <c r="Z351" s="4"/>
      <c r="AA351" s="4"/>
      <c r="AB351" s="4"/>
      <c r="AC351" s="4"/>
      <c r="AD351" s="4"/>
      <c r="AE351" s="4"/>
      <c r="AF351" s="4"/>
    </row>
    <row r="352">
      <c r="A352" s="73"/>
      <c r="B352" s="73"/>
      <c r="C352" s="147"/>
      <c r="D352" s="103" t="str">
        <f t="array" ref="D352">XLOOKUP(C352,'Master Data'!C:C,'Master Data'!D:D)</f>
        <v>#N/A</v>
      </c>
      <c r="E352" s="104"/>
      <c r="F352" s="105" t="str">
        <f t="array" ref="F352">XLOOKUP(C352,'Master Data'!C:C,'Master Data'!D:D)</f>
        <v>#N/A</v>
      </c>
      <c r="G352" s="90" t="str">
        <f t="array" ref="G352">XLOOKUP(C352,'Master Data'!C:C,'Master Data'!E:E)</f>
        <v>#N/A</v>
      </c>
      <c r="H352" s="88" t="str">
        <f t="array" ref="H352">XLOOKUP(C352,'Master Data'!C:C,'Master Data'!F:F)</f>
        <v>#N/A</v>
      </c>
      <c r="I352" s="72" t="str">
        <f t="array" ref="I352">XLOOKUP(C352,'Master Data'!C:C,'Master Data'!G:G)</f>
        <v>#N/A</v>
      </c>
      <c r="J352" s="72" t="str">
        <f t="array" ref="J352">XLOOKUP(C352,'Master Data'!C:C,'Master Data'!H:H)</f>
        <v>#N/A</v>
      </c>
      <c r="K352" s="73"/>
      <c r="L352" s="149"/>
      <c r="M352" s="73"/>
      <c r="N352" s="73"/>
      <c r="O352" s="73"/>
      <c r="P352" s="73"/>
      <c r="Q352" s="73"/>
      <c r="R352" s="109"/>
      <c r="S352" s="4"/>
      <c r="T352" s="4"/>
      <c r="U352" s="4"/>
      <c r="V352" s="4"/>
      <c r="W352" s="4"/>
      <c r="X352" s="4"/>
      <c r="Y352" s="4"/>
      <c r="Z352" s="4"/>
      <c r="AA352" s="4"/>
      <c r="AB352" s="4"/>
      <c r="AC352" s="4"/>
      <c r="AD352" s="4"/>
      <c r="AE352" s="4"/>
      <c r="AF352" s="4"/>
    </row>
    <row r="353">
      <c r="A353" s="73"/>
      <c r="B353" s="73"/>
      <c r="C353" s="147"/>
      <c r="D353" s="103" t="str">
        <f t="array" ref="D353">XLOOKUP(C353,'Master Data'!C:C,'Master Data'!D:D)</f>
        <v>#N/A</v>
      </c>
      <c r="E353" s="104"/>
      <c r="F353" s="105" t="str">
        <f t="array" ref="F353">XLOOKUP(C353,'Master Data'!C:C,'Master Data'!D:D)</f>
        <v>#N/A</v>
      </c>
      <c r="G353" s="90" t="str">
        <f t="array" ref="G353">XLOOKUP(C353,'Master Data'!C:C,'Master Data'!E:E)</f>
        <v>#N/A</v>
      </c>
      <c r="H353" s="88" t="str">
        <f t="array" ref="H353">XLOOKUP(C353,'Master Data'!C:C,'Master Data'!F:F)</f>
        <v>#N/A</v>
      </c>
      <c r="I353" s="72" t="str">
        <f t="array" ref="I353">XLOOKUP(C353,'Master Data'!C:C,'Master Data'!G:G)</f>
        <v>#N/A</v>
      </c>
      <c r="J353" s="72" t="str">
        <f t="array" ref="J353">XLOOKUP(C353,'Master Data'!C:C,'Master Data'!H:H)</f>
        <v>#N/A</v>
      </c>
      <c r="K353" s="73"/>
      <c r="L353" s="149"/>
      <c r="M353" s="73"/>
      <c r="N353" s="73"/>
      <c r="O353" s="73"/>
      <c r="P353" s="73"/>
      <c r="Q353" s="73"/>
      <c r="R353" s="109"/>
      <c r="S353" s="4"/>
      <c r="T353" s="4"/>
      <c r="U353" s="4"/>
      <c r="V353" s="4"/>
      <c r="W353" s="4"/>
      <c r="X353" s="4"/>
      <c r="Y353" s="4"/>
      <c r="Z353" s="4"/>
      <c r="AA353" s="4"/>
      <c r="AB353" s="4"/>
      <c r="AC353" s="4"/>
      <c r="AD353" s="4"/>
      <c r="AE353" s="4"/>
      <c r="AF353" s="4"/>
    </row>
    <row r="354">
      <c r="A354" s="73"/>
      <c r="B354" s="73"/>
      <c r="C354" s="147"/>
      <c r="D354" s="103" t="str">
        <f t="array" ref="D354">XLOOKUP(C354,'Master Data'!C:C,'Master Data'!D:D)</f>
        <v>#N/A</v>
      </c>
      <c r="E354" s="104"/>
      <c r="F354" s="105" t="str">
        <f t="array" ref="F354">XLOOKUP(C354,'Master Data'!C:C,'Master Data'!D:D)</f>
        <v>#N/A</v>
      </c>
      <c r="G354" s="90" t="str">
        <f t="array" ref="G354">XLOOKUP(C354,'Master Data'!C:C,'Master Data'!E:E)</f>
        <v>#N/A</v>
      </c>
      <c r="H354" s="88" t="str">
        <f t="array" ref="H354">XLOOKUP(C354,'Master Data'!C:C,'Master Data'!F:F)</f>
        <v>#N/A</v>
      </c>
      <c r="I354" s="72" t="str">
        <f t="array" ref="I354">XLOOKUP(C354,'Master Data'!C:C,'Master Data'!G:G)</f>
        <v>#N/A</v>
      </c>
      <c r="J354" s="72" t="str">
        <f t="array" ref="J354">XLOOKUP(C354,'Master Data'!C:C,'Master Data'!H:H)</f>
        <v>#N/A</v>
      </c>
      <c r="K354" s="73"/>
      <c r="L354" s="149"/>
      <c r="M354" s="73"/>
      <c r="N354" s="73"/>
      <c r="O354" s="73"/>
      <c r="P354" s="73"/>
      <c r="Q354" s="73"/>
      <c r="R354" s="109"/>
      <c r="S354" s="4"/>
      <c r="T354" s="4"/>
      <c r="U354" s="4"/>
      <c r="V354" s="4"/>
      <c r="W354" s="4"/>
      <c r="X354" s="4"/>
      <c r="Y354" s="4"/>
      <c r="Z354" s="4"/>
      <c r="AA354" s="4"/>
      <c r="AB354" s="4"/>
      <c r="AC354" s="4"/>
      <c r="AD354" s="4"/>
      <c r="AE354" s="4"/>
      <c r="AF354" s="4"/>
    </row>
    <row r="355">
      <c r="A355" s="73"/>
      <c r="B355" s="73"/>
      <c r="C355" s="147"/>
      <c r="D355" s="103" t="str">
        <f t="array" ref="D355">XLOOKUP(C355,'Master Data'!C:C,'Master Data'!D:D)</f>
        <v>#N/A</v>
      </c>
      <c r="E355" s="104"/>
      <c r="F355" s="105" t="str">
        <f t="array" ref="F355">XLOOKUP(C355,'Master Data'!C:C,'Master Data'!D:D)</f>
        <v>#N/A</v>
      </c>
      <c r="G355" s="90" t="str">
        <f t="array" ref="G355">XLOOKUP(C355,'Master Data'!C:C,'Master Data'!E:E)</f>
        <v>#N/A</v>
      </c>
      <c r="H355" s="88" t="str">
        <f t="array" ref="H355">XLOOKUP(C355,'Master Data'!C:C,'Master Data'!F:F)</f>
        <v>#N/A</v>
      </c>
      <c r="I355" s="72" t="str">
        <f t="array" ref="I355">XLOOKUP(C355,'Master Data'!C:C,'Master Data'!G:G)</f>
        <v>#N/A</v>
      </c>
      <c r="J355" s="72" t="str">
        <f t="array" ref="J355">XLOOKUP(C355,'Master Data'!C:C,'Master Data'!H:H)</f>
        <v>#N/A</v>
      </c>
      <c r="K355" s="73"/>
      <c r="L355" s="149"/>
      <c r="M355" s="73"/>
      <c r="N355" s="73"/>
      <c r="O355" s="73"/>
      <c r="P355" s="73"/>
      <c r="Q355" s="73"/>
      <c r="R355" s="109"/>
      <c r="S355" s="4"/>
      <c r="T355" s="4"/>
      <c r="U355" s="4"/>
      <c r="V355" s="4"/>
      <c r="W355" s="4"/>
      <c r="X355" s="4"/>
      <c r="Y355" s="4"/>
      <c r="Z355" s="4"/>
      <c r="AA355" s="4"/>
      <c r="AB355" s="4"/>
      <c r="AC355" s="4"/>
      <c r="AD355" s="4"/>
      <c r="AE355" s="4"/>
      <c r="AF355" s="4"/>
    </row>
    <row r="356">
      <c r="A356" s="73"/>
      <c r="B356" s="73"/>
      <c r="C356" s="147"/>
      <c r="D356" s="103" t="str">
        <f t="array" ref="D356">XLOOKUP(C356,'Master Data'!C:C,'Master Data'!D:D)</f>
        <v>#N/A</v>
      </c>
      <c r="E356" s="104"/>
      <c r="F356" s="105" t="str">
        <f t="array" ref="F356">XLOOKUP(C356,'Master Data'!C:C,'Master Data'!D:D)</f>
        <v>#N/A</v>
      </c>
      <c r="G356" s="90" t="str">
        <f t="array" ref="G356">XLOOKUP(C356,'Master Data'!C:C,'Master Data'!E:E)</f>
        <v>#N/A</v>
      </c>
      <c r="H356" s="88" t="str">
        <f t="array" ref="H356">XLOOKUP(C356,'Master Data'!C:C,'Master Data'!F:F)</f>
        <v>#N/A</v>
      </c>
      <c r="I356" s="72" t="str">
        <f t="array" ref="I356">XLOOKUP(C356,'Master Data'!C:C,'Master Data'!G:G)</f>
        <v>#N/A</v>
      </c>
      <c r="J356" s="72" t="str">
        <f t="array" ref="J356">XLOOKUP(C356,'Master Data'!C:C,'Master Data'!H:H)</f>
        <v>#N/A</v>
      </c>
      <c r="K356" s="73"/>
      <c r="L356" s="149"/>
      <c r="M356" s="73"/>
      <c r="N356" s="73"/>
      <c r="O356" s="73"/>
      <c r="P356" s="73"/>
      <c r="Q356" s="73"/>
      <c r="R356" s="109"/>
      <c r="S356" s="4"/>
      <c r="T356" s="4"/>
      <c r="U356" s="4"/>
      <c r="V356" s="4"/>
      <c r="W356" s="4"/>
      <c r="X356" s="4"/>
      <c r="Y356" s="4"/>
      <c r="Z356" s="4"/>
      <c r="AA356" s="4"/>
      <c r="AB356" s="4"/>
      <c r="AC356" s="4"/>
      <c r="AD356" s="4"/>
      <c r="AE356" s="4"/>
      <c r="AF356" s="4"/>
    </row>
    <row r="357">
      <c r="A357" s="73"/>
      <c r="B357" s="73"/>
      <c r="C357" s="147"/>
      <c r="D357" s="103" t="str">
        <f t="array" ref="D357">XLOOKUP(C357,'Master Data'!C:C,'Master Data'!D:D)</f>
        <v>#N/A</v>
      </c>
      <c r="E357" s="104"/>
      <c r="F357" s="105" t="str">
        <f t="array" ref="F357">XLOOKUP(C357,'Master Data'!C:C,'Master Data'!D:D)</f>
        <v>#N/A</v>
      </c>
      <c r="G357" s="90" t="str">
        <f t="array" ref="G357">XLOOKUP(C357,'Master Data'!C:C,'Master Data'!E:E)</f>
        <v>#N/A</v>
      </c>
      <c r="H357" s="88" t="str">
        <f t="array" ref="H357">XLOOKUP(C357,'Master Data'!C:C,'Master Data'!F:F)</f>
        <v>#N/A</v>
      </c>
      <c r="I357" s="72" t="str">
        <f t="array" ref="I357">XLOOKUP(C357,'Master Data'!C:C,'Master Data'!G:G)</f>
        <v>#N/A</v>
      </c>
      <c r="J357" s="72" t="str">
        <f t="array" ref="J357">XLOOKUP(C357,'Master Data'!C:C,'Master Data'!H:H)</f>
        <v>#N/A</v>
      </c>
      <c r="K357" s="73"/>
      <c r="L357" s="149"/>
      <c r="M357" s="73"/>
      <c r="N357" s="73"/>
      <c r="O357" s="73"/>
      <c r="P357" s="73"/>
      <c r="Q357" s="73"/>
      <c r="R357" s="109"/>
      <c r="S357" s="4"/>
      <c r="T357" s="4"/>
      <c r="U357" s="4"/>
      <c r="V357" s="4"/>
      <c r="W357" s="4"/>
      <c r="X357" s="4"/>
      <c r="Y357" s="4"/>
      <c r="Z357" s="4"/>
      <c r="AA357" s="4"/>
      <c r="AB357" s="4"/>
      <c r="AC357" s="4"/>
      <c r="AD357" s="4"/>
      <c r="AE357" s="4"/>
      <c r="AF357" s="4"/>
    </row>
    <row r="358">
      <c r="A358" s="73"/>
      <c r="B358" s="73"/>
      <c r="C358" s="147"/>
      <c r="D358" s="103" t="str">
        <f t="array" ref="D358">XLOOKUP(C358,'Master Data'!C:C,'Master Data'!D:D)</f>
        <v>#N/A</v>
      </c>
      <c r="E358" s="104"/>
      <c r="F358" s="105" t="str">
        <f t="array" ref="F358">XLOOKUP(C358,'Master Data'!C:C,'Master Data'!D:D)</f>
        <v>#N/A</v>
      </c>
      <c r="G358" s="90" t="str">
        <f t="array" ref="G358">XLOOKUP(C358,'Master Data'!C:C,'Master Data'!E:E)</f>
        <v>#N/A</v>
      </c>
      <c r="H358" s="88" t="str">
        <f t="array" ref="H358">XLOOKUP(C358,'Master Data'!C:C,'Master Data'!F:F)</f>
        <v>#N/A</v>
      </c>
      <c r="I358" s="72" t="str">
        <f t="array" ref="I358">XLOOKUP(C358,'Master Data'!C:C,'Master Data'!G:G)</f>
        <v>#N/A</v>
      </c>
      <c r="J358" s="72" t="str">
        <f t="array" ref="J358">XLOOKUP(C358,'Master Data'!C:C,'Master Data'!H:H)</f>
        <v>#N/A</v>
      </c>
      <c r="K358" s="73"/>
      <c r="L358" s="149"/>
      <c r="M358" s="73"/>
      <c r="N358" s="73"/>
      <c r="O358" s="73"/>
      <c r="P358" s="73"/>
      <c r="Q358" s="73"/>
      <c r="R358" s="109"/>
      <c r="S358" s="4"/>
      <c r="T358" s="4"/>
      <c r="U358" s="4"/>
      <c r="V358" s="4"/>
      <c r="W358" s="4"/>
      <c r="X358" s="4"/>
      <c r="Y358" s="4"/>
      <c r="Z358" s="4"/>
      <c r="AA358" s="4"/>
      <c r="AB358" s="4"/>
      <c r="AC358" s="4"/>
      <c r="AD358" s="4"/>
      <c r="AE358" s="4"/>
      <c r="AF358" s="4"/>
    </row>
    <row r="359">
      <c r="A359" s="73"/>
      <c r="B359" s="73"/>
      <c r="C359" s="147"/>
      <c r="D359" s="103" t="str">
        <f t="array" ref="D359">XLOOKUP(C359,'Master Data'!C:C,'Master Data'!D:D)</f>
        <v>#N/A</v>
      </c>
      <c r="E359" s="104"/>
      <c r="F359" s="105" t="str">
        <f t="array" ref="F359">XLOOKUP(C359,'Master Data'!C:C,'Master Data'!D:D)</f>
        <v>#N/A</v>
      </c>
      <c r="G359" s="90" t="str">
        <f t="array" ref="G359">XLOOKUP(C359,'Master Data'!C:C,'Master Data'!E:E)</f>
        <v>#N/A</v>
      </c>
      <c r="H359" s="88" t="str">
        <f t="array" ref="H359">XLOOKUP(C359,'Master Data'!C:C,'Master Data'!F:F)</f>
        <v>#N/A</v>
      </c>
      <c r="I359" s="72" t="str">
        <f t="array" ref="I359">XLOOKUP(C359,'Master Data'!C:C,'Master Data'!G:G)</f>
        <v>#N/A</v>
      </c>
      <c r="J359" s="72" t="str">
        <f t="array" ref="J359">XLOOKUP(C359,'Master Data'!C:C,'Master Data'!H:H)</f>
        <v>#N/A</v>
      </c>
      <c r="K359" s="73"/>
      <c r="L359" s="149"/>
      <c r="M359" s="73"/>
      <c r="N359" s="73"/>
      <c r="O359" s="73"/>
      <c r="P359" s="73"/>
      <c r="Q359" s="73"/>
      <c r="R359" s="109"/>
      <c r="S359" s="4"/>
      <c r="T359" s="4"/>
      <c r="U359" s="4"/>
      <c r="V359" s="4"/>
      <c r="W359" s="4"/>
      <c r="X359" s="4"/>
      <c r="Y359" s="4"/>
      <c r="Z359" s="4"/>
      <c r="AA359" s="4"/>
      <c r="AB359" s="4"/>
      <c r="AC359" s="4"/>
      <c r="AD359" s="4"/>
      <c r="AE359" s="4"/>
      <c r="AF359" s="4"/>
    </row>
    <row r="360">
      <c r="A360" s="73"/>
      <c r="B360" s="73"/>
      <c r="C360" s="147"/>
      <c r="D360" s="103" t="str">
        <f t="array" ref="D360">XLOOKUP(C360,'Master Data'!C:C,'Master Data'!D:D)</f>
        <v>#N/A</v>
      </c>
      <c r="E360" s="104"/>
      <c r="F360" s="105" t="str">
        <f t="array" ref="F360">XLOOKUP(C360,'Master Data'!C:C,'Master Data'!D:D)</f>
        <v>#N/A</v>
      </c>
      <c r="G360" s="90" t="str">
        <f t="array" ref="G360">XLOOKUP(C360,'Master Data'!C:C,'Master Data'!E:E)</f>
        <v>#N/A</v>
      </c>
      <c r="H360" s="88" t="str">
        <f t="array" ref="H360">XLOOKUP(C360,'Master Data'!C:C,'Master Data'!F:F)</f>
        <v>#N/A</v>
      </c>
      <c r="I360" s="72" t="str">
        <f t="array" ref="I360">XLOOKUP(C360,'Master Data'!C:C,'Master Data'!G:G)</f>
        <v>#N/A</v>
      </c>
      <c r="J360" s="72" t="str">
        <f t="array" ref="J360">XLOOKUP(C360,'Master Data'!C:C,'Master Data'!H:H)</f>
        <v>#N/A</v>
      </c>
      <c r="K360" s="73"/>
      <c r="L360" s="149"/>
      <c r="M360" s="73"/>
      <c r="N360" s="73"/>
      <c r="O360" s="73"/>
      <c r="P360" s="73"/>
      <c r="Q360" s="73"/>
      <c r="R360" s="109"/>
      <c r="S360" s="4"/>
      <c r="T360" s="4"/>
      <c r="U360" s="4"/>
      <c r="V360" s="4"/>
      <c r="W360" s="4"/>
      <c r="X360" s="4"/>
      <c r="Y360" s="4"/>
      <c r="Z360" s="4"/>
      <c r="AA360" s="4"/>
      <c r="AB360" s="4"/>
      <c r="AC360" s="4"/>
      <c r="AD360" s="4"/>
      <c r="AE360" s="4"/>
      <c r="AF360" s="4"/>
    </row>
    <row r="361">
      <c r="A361" s="73"/>
      <c r="B361" s="73"/>
      <c r="C361" s="147"/>
      <c r="D361" s="103" t="str">
        <f t="array" ref="D361">XLOOKUP(C361,'Master Data'!C:C,'Master Data'!D:D)</f>
        <v>#N/A</v>
      </c>
      <c r="E361" s="104"/>
      <c r="F361" s="105" t="str">
        <f t="array" ref="F361">XLOOKUP(C361,'Master Data'!C:C,'Master Data'!D:D)</f>
        <v>#N/A</v>
      </c>
      <c r="G361" s="90" t="str">
        <f t="array" ref="G361">XLOOKUP(C361,'Master Data'!C:C,'Master Data'!E:E)</f>
        <v>#N/A</v>
      </c>
      <c r="H361" s="88" t="str">
        <f t="array" ref="H361">XLOOKUP(C361,'Master Data'!C:C,'Master Data'!F:F)</f>
        <v>#N/A</v>
      </c>
      <c r="I361" s="72" t="str">
        <f t="array" ref="I361">XLOOKUP(C361,'Master Data'!C:C,'Master Data'!G:G)</f>
        <v>#N/A</v>
      </c>
      <c r="J361" s="72" t="str">
        <f t="array" ref="J361">XLOOKUP(C361,'Master Data'!C:C,'Master Data'!H:H)</f>
        <v>#N/A</v>
      </c>
      <c r="K361" s="73"/>
      <c r="L361" s="149"/>
      <c r="M361" s="73"/>
      <c r="N361" s="73"/>
      <c r="O361" s="73"/>
      <c r="P361" s="73"/>
      <c r="Q361" s="73"/>
      <c r="R361" s="109"/>
      <c r="S361" s="4"/>
      <c r="T361" s="4"/>
      <c r="U361" s="4"/>
      <c r="V361" s="4"/>
      <c r="W361" s="4"/>
      <c r="X361" s="4"/>
      <c r="Y361" s="4"/>
      <c r="Z361" s="4"/>
      <c r="AA361" s="4"/>
      <c r="AB361" s="4"/>
      <c r="AC361" s="4"/>
      <c r="AD361" s="4"/>
      <c r="AE361" s="4"/>
      <c r="AF361" s="4"/>
    </row>
    <row r="362">
      <c r="A362" s="73"/>
      <c r="B362" s="73"/>
      <c r="C362" s="147"/>
      <c r="D362" s="103" t="str">
        <f t="array" ref="D362">XLOOKUP(C362,'Master Data'!C:C,'Master Data'!D:D)</f>
        <v>#N/A</v>
      </c>
      <c r="E362" s="104"/>
      <c r="F362" s="105" t="str">
        <f t="array" ref="F362">XLOOKUP(C362,'Master Data'!C:C,'Master Data'!D:D)</f>
        <v>#N/A</v>
      </c>
      <c r="G362" s="90" t="str">
        <f t="array" ref="G362">XLOOKUP(C362,'Master Data'!C:C,'Master Data'!E:E)</f>
        <v>#N/A</v>
      </c>
      <c r="H362" s="88" t="str">
        <f t="array" ref="H362">XLOOKUP(C362,'Master Data'!C:C,'Master Data'!F:F)</f>
        <v>#N/A</v>
      </c>
      <c r="I362" s="72" t="str">
        <f t="array" ref="I362">XLOOKUP(C362,'Master Data'!C:C,'Master Data'!G:G)</f>
        <v>#N/A</v>
      </c>
      <c r="J362" s="72" t="str">
        <f t="array" ref="J362">XLOOKUP(C362,'Master Data'!C:C,'Master Data'!H:H)</f>
        <v>#N/A</v>
      </c>
      <c r="K362" s="73"/>
      <c r="L362" s="149"/>
      <c r="M362" s="73"/>
      <c r="N362" s="73"/>
      <c r="O362" s="73"/>
      <c r="P362" s="73"/>
      <c r="Q362" s="73"/>
      <c r="R362" s="109"/>
      <c r="S362" s="4"/>
      <c r="T362" s="4"/>
      <c r="U362" s="4"/>
      <c r="V362" s="4"/>
      <c r="W362" s="4"/>
      <c r="X362" s="4"/>
      <c r="Y362" s="4"/>
      <c r="Z362" s="4"/>
      <c r="AA362" s="4"/>
      <c r="AB362" s="4"/>
      <c r="AC362" s="4"/>
      <c r="AD362" s="4"/>
      <c r="AE362" s="4"/>
      <c r="AF362" s="4"/>
    </row>
    <row r="363">
      <c r="A363" s="73"/>
      <c r="B363" s="73"/>
      <c r="C363" s="147"/>
      <c r="D363" s="103" t="str">
        <f t="array" ref="D363">XLOOKUP(C363,'Master Data'!C:C,'Master Data'!D:D)</f>
        <v>#N/A</v>
      </c>
      <c r="E363" s="104"/>
      <c r="F363" s="105" t="str">
        <f t="array" ref="F363">XLOOKUP(C363,'Master Data'!C:C,'Master Data'!D:D)</f>
        <v>#N/A</v>
      </c>
      <c r="G363" s="90" t="str">
        <f t="array" ref="G363">XLOOKUP(C363,'Master Data'!C:C,'Master Data'!E:E)</f>
        <v>#N/A</v>
      </c>
      <c r="H363" s="88" t="str">
        <f t="array" ref="H363">XLOOKUP(C363,'Master Data'!C:C,'Master Data'!F:F)</f>
        <v>#N/A</v>
      </c>
      <c r="I363" s="72" t="str">
        <f t="array" ref="I363">XLOOKUP(C363,'Master Data'!C:C,'Master Data'!G:G)</f>
        <v>#N/A</v>
      </c>
      <c r="J363" s="72" t="str">
        <f t="array" ref="J363">XLOOKUP(C363,'Master Data'!C:C,'Master Data'!H:H)</f>
        <v>#N/A</v>
      </c>
      <c r="K363" s="73"/>
      <c r="L363" s="149"/>
      <c r="M363" s="73"/>
      <c r="N363" s="73"/>
      <c r="O363" s="73"/>
      <c r="P363" s="73"/>
      <c r="Q363" s="73"/>
      <c r="R363" s="109"/>
      <c r="S363" s="4"/>
      <c r="T363" s="4"/>
      <c r="U363" s="4"/>
      <c r="V363" s="4"/>
      <c r="W363" s="4"/>
      <c r="X363" s="4"/>
      <c r="Y363" s="4"/>
      <c r="Z363" s="4"/>
      <c r="AA363" s="4"/>
      <c r="AB363" s="4"/>
      <c r="AC363" s="4"/>
      <c r="AD363" s="4"/>
      <c r="AE363" s="4"/>
      <c r="AF363" s="4"/>
    </row>
    <row r="364">
      <c r="A364" s="73"/>
      <c r="B364" s="73"/>
      <c r="C364" s="147"/>
      <c r="D364" s="103" t="str">
        <f t="array" ref="D364">XLOOKUP(C364,'Master Data'!C:C,'Master Data'!D:D)</f>
        <v>#N/A</v>
      </c>
      <c r="E364" s="104"/>
      <c r="F364" s="105" t="str">
        <f t="array" ref="F364">XLOOKUP(C364,'Master Data'!C:C,'Master Data'!D:D)</f>
        <v>#N/A</v>
      </c>
      <c r="G364" s="90" t="str">
        <f t="array" ref="G364">XLOOKUP(C364,'Master Data'!C:C,'Master Data'!E:E)</f>
        <v>#N/A</v>
      </c>
      <c r="H364" s="88" t="str">
        <f t="array" ref="H364">XLOOKUP(C364,'Master Data'!C:C,'Master Data'!F:F)</f>
        <v>#N/A</v>
      </c>
      <c r="I364" s="72" t="str">
        <f t="array" ref="I364">XLOOKUP(C364,'Master Data'!C:C,'Master Data'!G:G)</f>
        <v>#N/A</v>
      </c>
      <c r="J364" s="72" t="str">
        <f t="array" ref="J364">XLOOKUP(C364,'Master Data'!C:C,'Master Data'!H:H)</f>
        <v>#N/A</v>
      </c>
      <c r="K364" s="73"/>
      <c r="L364" s="149"/>
      <c r="M364" s="73"/>
      <c r="N364" s="73"/>
      <c r="O364" s="73"/>
      <c r="P364" s="73"/>
      <c r="Q364" s="73"/>
      <c r="R364" s="109"/>
      <c r="S364" s="4"/>
      <c r="T364" s="4"/>
      <c r="U364" s="4"/>
      <c r="V364" s="4"/>
      <c r="W364" s="4"/>
      <c r="X364" s="4"/>
      <c r="Y364" s="4"/>
      <c r="Z364" s="4"/>
      <c r="AA364" s="4"/>
      <c r="AB364" s="4"/>
      <c r="AC364" s="4"/>
      <c r="AD364" s="4"/>
      <c r="AE364" s="4"/>
      <c r="AF364" s="4"/>
    </row>
    <row r="365">
      <c r="A365" s="73"/>
      <c r="B365" s="73"/>
      <c r="C365" s="147"/>
      <c r="D365" s="103" t="str">
        <f t="array" ref="D365">XLOOKUP(C365,'Master Data'!C:C,'Master Data'!D:D)</f>
        <v>#N/A</v>
      </c>
      <c r="E365" s="104"/>
      <c r="F365" s="105" t="str">
        <f t="array" ref="F365">XLOOKUP(C365,'Master Data'!C:C,'Master Data'!D:D)</f>
        <v>#N/A</v>
      </c>
      <c r="G365" s="90" t="str">
        <f t="array" ref="G365">XLOOKUP(C365,'Master Data'!C:C,'Master Data'!E:E)</f>
        <v>#N/A</v>
      </c>
      <c r="H365" s="88" t="str">
        <f t="array" ref="H365">XLOOKUP(C365,'Master Data'!C:C,'Master Data'!F:F)</f>
        <v>#N/A</v>
      </c>
      <c r="I365" s="72" t="str">
        <f t="array" ref="I365">XLOOKUP(C365,'Master Data'!C:C,'Master Data'!G:G)</f>
        <v>#N/A</v>
      </c>
      <c r="J365" s="72" t="str">
        <f t="array" ref="J365">XLOOKUP(C365,'Master Data'!C:C,'Master Data'!H:H)</f>
        <v>#N/A</v>
      </c>
      <c r="K365" s="73"/>
      <c r="L365" s="149"/>
      <c r="M365" s="73"/>
      <c r="N365" s="73"/>
      <c r="O365" s="73"/>
      <c r="P365" s="73"/>
      <c r="Q365" s="73"/>
      <c r="R365" s="109"/>
      <c r="S365" s="4"/>
      <c r="T365" s="4"/>
      <c r="U365" s="4"/>
      <c r="V365" s="4"/>
      <c r="W365" s="4"/>
      <c r="X365" s="4"/>
      <c r="Y365" s="4"/>
      <c r="Z365" s="4"/>
      <c r="AA365" s="4"/>
      <c r="AB365" s="4"/>
      <c r="AC365" s="4"/>
      <c r="AD365" s="4"/>
      <c r="AE365" s="4"/>
      <c r="AF365" s="4"/>
    </row>
    <row r="366">
      <c r="A366" s="73"/>
      <c r="B366" s="73"/>
      <c r="C366" s="147"/>
      <c r="D366" s="103" t="str">
        <f t="array" ref="D366">XLOOKUP(C366,'Master Data'!C:C,'Master Data'!D:D)</f>
        <v>#N/A</v>
      </c>
      <c r="E366" s="104"/>
      <c r="F366" s="105" t="str">
        <f t="array" ref="F366">XLOOKUP(C366,'Master Data'!C:C,'Master Data'!D:D)</f>
        <v>#N/A</v>
      </c>
      <c r="G366" s="90" t="str">
        <f t="array" ref="G366">XLOOKUP(C366,'Master Data'!C:C,'Master Data'!E:E)</f>
        <v>#N/A</v>
      </c>
      <c r="H366" s="88" t="str">
        <f t="array" ref="H366">XLOOKUP(C366,'Master Data'!C:C,'Master Data'!F:F)</f>
        <v>#N/A</v>
      </c>
      <c r="I366" s="72" t="str">
        <f t="array" ref="I366">XLOOKUP(C366,'Master Data'!C:C,'Master Data'!G:G)</f>
        <v>#N/A</v>
      </c>
      <c r="J366" s="72" t="str">
        <f t="array" ref="J366">XLOOKUP(C366,'Master Data'!C:C,'Master Data'!H:H)</f>
        <v>#N/A</v>
      </c>
      <c r="K366" s="73"/>
      <c r="L366" s="149"/>
      <c r="M366" s="73"/>
      <c r="N366" s="73"/>
      <c r="O366" s="73"/>
      <c r="P366" s="73"/>
      <c r="Q366" s="73"/>
      <c r="R366" s="109"/>
      <c r="S366" s="4"/>
      <c r="T366" s="4"/>
      <c r="U366" s="4"/>
      <c r="V366" s="4"/>
      <c r="W366" s="4"/>
      <c r="X366" s="4"/>
      <c r="Y366" s="4"/>
      <c r="Z366" s="4"/>
      <c r="AA366" s="4"/>
      <c r="AB366" s="4"/>
      <c r="AC366" s="4"/>
      <c r="AD366" s="4"/>
      <c r="AE366" s="4"/>
      <c r="AF366" s="4"/>
    </row>
    <row r="367">
      <c r="A367" s="73"/>
      <c r="B367" s="73"/>
      <c r="C367" s="147"/>
      <c r="D367" s="103" t="str">
        <f t="array" ref="D367">XLOOKUP(C367,'Master Data'!C:C,'Master Data'!D:D)</f>
        <v>#N/A</v>
      </c>
      <c r="E367" s="104"/>
      <c r="F367" s="105" t="str">
        <f t="array" ref="F367">XLOOKUP(C367,'Master Data'!C:C,'Master Data'!D:D)</f>
        <v>#N/A</v>
      </c>
      <c r="G367" s="90" t="str">
        <f t="array" ref="G367">XLOOKUP(C367,'Master Data'!C:C,'Master Data'!E:E)</f>
        <v>#N/A</v>
      </c>
      <c r="H367" s="88" t="str">
        <f t="array" ref="H367">XLOOKUP(C367,'Master Data'!C:C,'Master Data'!F:F)</f>
        <v>#N/A</v>
      </c>
      <c r="I367" s="72" t="str">
        <f t="array" ref="I367">XLOOKUP(C367,'Master Data'!C:C,'Master Data'!G:G)</f>
        <v>#N/A</v>
      </c>
      <c r="J367" s="72" t="str">
        <f t="array" ref="J367">XLOOKUP(C367,'Master Data'!C:C,'Master Data'!H:H)</f>
        <v>#N/A</v>
      </c>
      <c r="K367" s="73"/>
      <c r="L367" s="149"/>
      <c r="M367" s="73"/>
      <c r="N367" s="73"/>
      <c r="O367" s="73"/>
      <c r="P367" s="73"/>
      <c r="Q367" s="73"/>
      <c r="R367" s="109"/>
      <c r="S367" s="4"/>
      <c r="T367" s="4"/>
      <c r="U367" s="4"/>
      <c r="V367" s="4"/>
      <c r="W367" s="4"/>
      <c r="X367" s="4"/>
      <c r="Y367" s="4"/>
      <c r="Z367" s="4"/>
      <c r="AA367" s="4"/>
      <c r="AB367" s="4"/>
      <c r="AC367" s="4"/>
      <c r="AD367" s="4"/>
      <c r="AE367" s="4"/>
      <c r="AF367" s="4"/>
    </row>
    <row r="368">
      <c r="A368" s="73"/>
      <c r="B368" s="73"/>
      <c r="C368" s="147"/>
      <c r="D368" s="103" t="str">
        <f t="array" ref="D368">XLOOKUP(C368,'Master Data'!C:C,'Master Data'!D:D)</f>
        <v>#N/A</v>
      </c>
      <c r="E368" s="104"/>
      <c r="F368" s="105" t="str">
        <f t="array" ref="F368">XLOOKUP(C368,'Master Data'!C:C,'Master Data'!D:D)</f>
        <v>#N/A</v>
      </c>
      <c r="G368" s="90" t="str">
        <f t="array" ref="G368">XLOOKUP(C368,'Master Data'!C:C,'Master Data'!E:E)</f>
        <v>#N/A</v>
      </c>
      <c r="H368" s="88" t="str">
        <f t="array" ref="H368">XLOOKUP(C368,'Master Data'!C:C,'Master Data'!F:F)</f>
        <v>#N/A</v>
      </c>
      <c r="I368" s="72" t="str">
        <f t="array" ref="I368">XLOOKUP(C368,'Master Data'!C:C,'Master Data'!G:G)</f>
        <v>#N/A</v>
      </c>
      <c r="J368" s="72" t="str">
        <f t="array" ref="J368">XLOOKUP(C368,'Master Data'!C:C,'Master Data'!H:H)</f>
        <v>#N/A</v>
      </c>
      <c r="K368" s="73"/>
      <c r="L368" s="149"/>
      <c r="M368" s="73"/>
      <c r="N368" s="73"/>
      <c r="O368" s="73"/>
      <c r="P368" s="73"/>
      <c r="Q368" s="73"/>
      <c r="R368" s="109"/>
      <c r="S368" s="4"/>
      <c r="T368" s="4"/>
      <c r="U368" s="4"/>
      <c r="V368" s="4"/>
      <c r="W368" s="4"/>
      <c r="X368" s="4"/>
      <c r="Y368" s="4"/>
      <c r="Z368" s="4"/>
      <c r="AA368" s="4"/>
      <c r="AB368" s="4"/>
      <c r="AC368" s="4"/>
      <c r="AD368" s="4"/>
      <c r="AE368" s="4"/>
      <c r="AF368" s="4"/>
    </row>
    <row r="369">
      <c r="A369" s="73"/>
      <c r="B369" s="73"/>
      <c r="C369" s="147"/>
      <c r="D369" s="103" t="str">
        <f t="array" ref="D369">XLOOKUP(C369,'Master Data'!C:C,'Master Data'!D:D)</f>
        <v>#N/A</v>
      </c>
      <c r="E369" s="104"/>
      <c r="F369" s="105" t="str">
        <f t="array" ref="F369">XLOOKUP(C369,'Master Data'!C:C,'Master Data'!D:D)</f>
        <v>#N/A</v>
      </c>
      <c r="G369" s="90" t="str">
        <f t="array" ref="G369">XLOOKUP(C369,'Master Data'!C:C,'Master Data'!E:E)</f>
        <v>#N/A</v>
      </c>
      <c r="H369" s="88" t="str">
        <f t="array" ref="H369">XLOOKUP(C369,'Master Data'!C:C,'Master Data'!F:F)</f>
        <v>#N/A</v>
      </c>
      <c r="I369" s="72" t="str">
        <f t="array" ref="I369">XLOOKUP(C369,'Master Data'!C:C,'Master Data'!G:G)</f>
        <v>#N/A</v>
      </c>
      <c r="J369" s="72" t="str">
        <f t="array" ref="J369">XLOOKUP(C369,'Master Data'!C:C,'Master Data'!H:H)</f>
        <v>#N/A</v>
      </c>
      <c r="K369" s="73"/>
      <c r="L369" s="149"/>
      <c r="M369" s="73"/>
      <c r="N369" s="73"/>
      <c r="O369" s="73"/>
      <c r="P369" s="73"/>
      <c r="Q369" s="73"/>
      <c r="R369" s="109"/>
      <c r="S369" s="4"/>
      <c r="T369" s="4"/>
      <c r="U369" s="4"/>
      <c r="V369" s="4"/>
      <c r="W369" s="4"/>
      <c r="X369" s="4"/>
      <c r="Y369" s="4"/>
      <c r="Z369" s="4"/>
      <c r="AA369" s="4"/>
      <c r="AB369" s="4"/>
      <c r="AC369" s="4"/>
      <c r="AD369" s="4"/>
      <c r="AE369" s="4"/>
      <c r="AF369" s="4"/>
    </row>
    <row r="370">
      <c r="A370" s="73"/>
      <c r="B370" s="73"/>
      <c r="C370" s="147"/>
      <c r="D370" s="103" t="str">
        <f t="array" ref="D370">XLOOKUP(C370,'Master Data'!C:C,'Master Data'!D:D)</f>
        <v>#N/A</v>
      </c>
      <c r="E370" s="104"/>
      <c r="F370" s="105" t="str">
        <f t="array" ref="F370">XLOOKUP(C370,'Master Data'!C:C,'Master Data'!D:D)</f>
        <v>#N/A</v>
      </c>
      <c r="G370" s="90" t="str">
        <f t="array" ref="G370">XLOOKUP(C370,'Master Data'!C:C,'Master Data'!E:E)</f>
        <v>#N/A</v>
      </c>
      <c r="H370" s="88" t="str">
        <f t="array" ref="H370">XLOOKUP(C370,'Master Data'!C:C,'Master Data'!F:F)</f>
        <v>#N/A</v>
      </c>
      <c r="I370" s="72" t="str">
        <f t="array" ref="I370">XLOOKUP(C370,'Master Data'!C:C,'Master Data'!G:G)</f>
        <v>#N/A</v>
      </c>
      <c r="J370" s="72" t="str">
        <f t="array" ref="J370">XLOOKUP(C370,'Master Data'!C:C,'Master Data'!H:H)</f>
        <v>#N/A</v>
      </c>
      <c r="K370" s="73"/>
      <c r="L370" s="149"/>
      <c r="M370" s="73"/>
      <c r="N370" s="73"/>
      <c r="O370" s="73"/>
      <c r="P370" s="73"/>
      <c r="Q370" s="73"/>
      <c r="R370" s="109"/>
      <c r="S370" s="4"/>
      <c r="T370" s="4"/>
      <c r="U370" s="4"/>
      <c r="V370" s="4"/>
      <c r="W370" s="4"/>
      <c r="X370" s="4"/>
      <c r="Y370" s="4"/>
      <c r="Z370" s="4"/>
      <c r="AA370" s="4"/>
      <c r="AB370" s="4"/>
      <c r="AC370" s="4"/>
      <c r="AD370" s="4"/>
      <c r="AE370" s="4"/>
      <c r="AF370" s="4"/>
    </row>
    <row r="371">
      <c r="A371" s="73"/>
      <c r="B371" s="73"/>
      <c r="C371" s="147"/>
      <c r="D371" s="103" t="str">
        <f t="array" ref="D371">XLOOKUP(C371,'Master Data'!C:C,'Master Data'!D:D)</f>
        <v>#N/A</v>
      </c>
      <c r="E371" s="104"/>
      <c r="F371" s="105" t="str">
        <f t="array" ref="F371">XLOOKUP(C371,'Master Data'!C:C,'Master Data'!D:D)</f>
        <v>#N/A</v>
      </c>
      <c r="G371" s="90" t="str">
        <f t="array" ref="G371">XLOOKUP(C371,'Master Data'!C:C,'Master Data'!E:E)</f>
        <v>#N/A</v>
      </c>
      <c r="H371" s="88" t="str">
        <f t="array" ref="H371">XLOOKUP(C371,'Master Data'!C:C,'Master Data'!F:F)</f>
        <v>#N/A</v>
      </c>
      <c r="I371" s="72" t="str">
        <f t="array" ref="I371">XLOOKUP(C371,'Master Data'!C:C,'Master Data'!G:G)</f>
        <v>#N/A</v>
      </c>
      <c r="J371" s="72" t="str">
        <f t="array" ref="J371">XLOOKUP(C371,'Master Data'!C:C,'Master Data'!H:H)</f>
        <v>#N/A</v>
      </c>
      <c r="K371" s="73"/>
      <c r="L371" s="149"/>
      <c r="M371" s="73"/>
      <c r="N371" s="73"/>
      <c r="O371" s="73"/>
      <c r="P371" s="73"/>
      <c r="Q371" s="73"/>
      <c r="R371" s="109"/>
      <c r="S371" s="4"/>
      <c r="T371" s="4"/>
      <c r="U371" s="4"/>
      <c r="V371" s="4"/>
      <c r="W371" s="4"/>
      <c r="X371" s="4"/>
      <c r="Y371" s="4"/>
      <c r="Z371" s="4"/>
      <c r="AA371" s="4"/>
      <c r="AB371" s="4"/>
      <c r="AC371" s="4"/>
      <c r="AD371" s="4"/>
      <c r="AE371" s="4"/>
      <c r="AF371" s="4"/>
    </row>
    <row r="372">
      <c r="A372" s="73"/>
      <c r="B372" s="73"/>
      <c r="C372" s="147"/>
      <c r="D372" s="103" t="str">
        <f t="array" ref="D372">XLOOKUP(C372,'Master Data'!C:C,'Master Data'!D:D)</f>
        <v>#N/A</v>
      </c>
      <c r="E372" s="104"/>
      <c r="F372" s="105" t="str">
        <f t="array" ref="F372">XLOOKUP(C372,'Master Data'!C:C,'Master Data'!D:D)</f>
        <v>#N/A</v>
      </c>
      <c r="G372" s="90" t="str">
        <f t="array" ref="G372">XLOOKUP(C372,'Master Data'!C:C,'Master Data'!E:E)</f>
        <v>#N/A</v>
      </c>
      <c r="H372" s="88" t="str">
        <f t="array" ref="H372">XLOOKUP(C372,'Master Data'!C:C,'Master Data'!F:F)</f>
        <v>#N/A</v>
      </c>
      <c r="I372" s="72" t="str">
        <f t="array" ref="I372">XLOOKUP(C372,'Master Data'!C:C,'Master Data'!G:G)</f>
        <v>#N/A</v>
      </c>
      <c r="J372" s="72" t="str">
        <f t="array" ref="J372">XLOOKUP(C372,'Master Data'!C:C,'Master Data'!H:H)</f>
        <v>#N/A</v>
      </c>
      <c r="K372" s="73"/>
      <c r="L372" s="149"/>
      <c r="M372" s="73"/>
      <c r="N372" s="73"/>
      <c r="O372" s="73"/>
      <c r="P372" s="73"/>
      <c r="Q372" s="73"/>
      <c r="R372" s="109"/>
      <c r="S372" s="4"/>
      <c r="T372" s="4"/>
      <c r="U372" s="4"/>
      <c r="V372" s="4"/>
      <c r="W372" s="4"/>
      <c r="X372" s="4"/>
      <c r="Y372" s="4"/>
      <c r="Z372" s="4"/>
      <c r="AA372" s="4"/>
      <c r="AB372" s="4"/>
      <c r="AC372" s="4"/>
      <c r="AD372" s="4"/>
      <c r="AE372" s="4"/>
      <c r="AF372" s="4"/>
    </row>
    <row r="373">
      <c r="A373" s="73"/>
      <c r="B373" s="73"/>
      <c r="C373" s="147"/>
      <c r="D373" s="103" t="str">
        <f t="array" ref="D373">XLOOKUP(C373,'Master Data'!C:C,'Master Data'!D:D)</f>
        <v>#N/A</v>
      </c>
      <c r="E373" s="104"/>
      <c r="F373" s="105" t="str">
        <f t="array" ref="F373">XLOOKUP(C373,'Master Data'!C:C,'Master Data'!D:D)</f>
        <v>#N/A</v>
      </c>
      <c r="G373" s="90" t="str">
        <f t="array" ref="G373">XLOOKUP(C373,'Master Data'!C:C,'Master Data'!E:E)</f>
        <v>#N/A</v>
      </c>
      <c r="H373" s="88" t="str">
        <f t="array" ref="H373">XLOOKUP(C373,'Master Data'!C:C,'Master Data'!F:F)</f>
        <v>#N/A</v>
      </c>
      <c r="I373" s="72" t="str">
        <f t="array" ref="I373">XLOOKUP(C373,'Master Data'!C:C,'Master Data'!G:G)</f>
        <v>#N/A</v>
      </c>
      <c r="J373" s="72" t="str">
        <f t="array" ref="J373">XLOOKUP(C373,'Master Data'!C:C,'Master Data'!H:H)</f>
        <v>#N/A</v>
      </c>
      <c r="K373" s="73"/>
      <c r="L373" s="149"/>
      <c r="M373" s="73"/>
      <c r="N373" s="73"/>
      <c r="O373" s="73"/>
      <c r="P373" s="73"/>
      <c r="Q373" s="73"/>
      <c r="R373" s="109"/>
      <c r="S373" s="4"/>
      <c r="T373" s="4"/>
      <c r="U373" s="4"/>
      <c r="V373" s="4"/>
      <c r="W373" s="4"/>
      <c r="X373" s="4"/>
      <c r="Y373" s="4"/>
      <c r="Z373" s="4"/>
      <c r="AA373" s="4"/>
      <c r="AB373" s="4"/>
      <c r="AC373" s="4"/>
      <c r="AD373" s="4"/>
      <c r="AE373" s="4"/>
      <c r="AF373" s="4"/>
    </row>
    <row r="374">
      <c r="A374" s="73"/>
      <c r="B374" s="73"/>
      <c r="C374" s="147"/>
      <c r="D374" s="103" t="str">
        <f t="array" ref="D374">XLOOKUP(C374,'Master Data'!C:C,'Master Data'!D:D)</f>
        <v>#N/A</v>
      </c>
      <c r="E374" s="104"/>
      <c r="F374" s="105" t="str">
        <f t="array" ref="F374">XLOOKUP(C374,'Master Data'!C:C,'Master Data'!D:D)</f>
        <v>#N/A</v>
      </c>
      <c r="G374" s="90" t="str">
        <f t="array" ref="G374">XLOOKUP(C374,'Master Data'!C:C,'Master Data'!E:E)</f>
        <v>#N/A</v>
      </c>
      <c r="H374" s="88" t="str">
        <f t="array" ref="H374">XLOOKUP(C374,'Master Data'!C:C,'Master Data'!F:F)</f>
        <v>#N/A</v>
      </c>
      <c r="I374" s="72" t="str">
        <f t="array" ref="I374">XLOOKUP(C374,'Master Data'!C:C,'Master Data'!G:G)</f>
        <v>#N/A</v>
      </c>
      <c r="J374" s="72" t="str">
        <f t="array" ref="J374">XLOOKUP(C374,'Master Data'!C:C,'Master Data'!H:H)</f>
        <v>#N/A</v>
      </c>
      <c r="K374" s="73"/>
      <c r="L374" s="149"/>
      <c r="M374" s="73"/>
      <c r="N374" s="73"/>
      <c r="O374" s="73"/>
      <c r="P374" s="73"/>
      <c r="Q374" s="73"/>
      <c r="R374" s="109"/>
      <c r="S374" s="4"/>
      <c r="T374" s="4"/>
      <c r="U374" s="4"/>
      <c r="V374" s="4"/>
      <c r="W374" s="4"/>
      <c r="X374" s="4"/>
      <c r="Y374" s="4"/>
      <c r="Z374" s="4"/>
      <c r="AA374" s="4"/>
      <c r="AB374" s="4"/>
      <c r="AC374" s="4"/>
      <c r="AD374" s="4"/>
      <c r="AE374" s="4"/>
      <c r="AF374" s="4"/>
    </row>
    <row r="375">
      <c r="A375" s="73"/>
      <c r="B375" s="73"/>
      <c r="C375" s="147"/>
      <c r="D375" s="103" t="str">
        <f t="array" ref="D375">XLOOKUP(C375,'Master Data'!C:C,'Master Data'!D:D)</f>
        <v>#N/A</v>
      </c>
      <c r="E375" s="104"/>
      <c r="F375" s="105" t="str">
        <f t="array" ref="F375">XLOOKUP(C375,'Master Data'!C:C,'Master Data'!D:D)</f>
        <v>#N/A</v>
      </c>
      <c r="G375" s="90" t="str">
        <f t="array" ref="G375">XLOOKUP(C375,'Master Data'!C:C,'Master Data'!E:E)</f>
        <v>#N/A</v>
      </c>
      <c r="H375" s="88" t="str">
        <f t="array" ref="H375">XLOOKUP(C375,'Master Data'!C:C,'Master Data'!F:F)</f>
        <v>#N/A</v>
      </c>
      <c r="I375" s="72" t="str">
        <f t="array" ref="I375">XLOOKUP(C375,'Master Data'!C:C,'Master Data'!G:G)</f>
        <v>#N/A</v>
      </c>
      <c r="J375" s="72" t="str">
        <f t="array" ref="J375">XLOOKUP(C375,'Master Data'!C:C,'Master Data'!H:H)</f>
        <v>#N/A</v>
      </c>
      <c r="K375" s="73"/>
      <c r="L375" s="149"/>
      <c r="M375" s="73"/>
      <c r="N375" s="73"/>
      <c r="O375" s="73"/>
      <c r="P375" s="73"/>
      <c r="Q375" s="73"/>
      <c r="R375" s="109"/>
      <c r="S375" s="4"/>
      <c r="T375" s="4"/>
      <c r="U375" s="4"/>
      <c r="V375" s="4"/>
      <c r="W375" s="4"/>
      <c r="X375" s="4"/>
      <c r="Y375" s="4"/>
      <c r="Z375" s="4"/>
      <c r="AA375" s="4"/>
      <c r="AB375" s="4"/>
      <c r="AC375" s="4"/>
      <c r="AD375" s="4"/>
      <c r="AE375" s="4"/>
      <c r="AF375" s="4"/>
    </row>
    <row r="376">
      <c r="A376" s="73"/>
      <c r="B376" s="73"/>
      <c r="C376" s="147"/>
      <c r="D376" s="103" t="str">
        <f t="array" ref="D376">XLOOKUP(C376,'Master Data'!C:C,'Master Data'!D:D)</f>
        <v>#N/A</v>
      </c>
      <c r="E376" s="104"/>
      <c r="F376" s="105" t="str">
        <f t="array" ref="F376">XLOOKUP(C376,'Master Data'!C:C,'Master Data'!D:D)</f>
        <v>#N/A</v>
      </c>
      <c r="G376" s="90" t="str">
        <f t="array" ref="G376">XLOOKUP(C376,'Master Data'!C:C,'Master Data'!E:E)</f>
        <v>#N/A</v>
      </c>
      <c r="H376" s="88" t="str">
        <f t="array" ref="H376">XLOOKUP(C376,'Master Data'!C:C,'Master Data'!F:F)</f>
        <v>#N/A</v>
      </c>
      <c r="I376" s="72" t="str">
        <f t="array" ref="I376">XLOOKUP(C376,'Master Data'!C:C,'Master Data'!G:G)</f>
        <v>#N/A</v>
      </c>
      <c r="J376" s="72" t="str">
        <f t="array" ref="J376">XLOOKUP(C376,'Master Data'!C:C,'Master Data'!H:H)</f>
        <v>#N/A</v>
      </c>
      <c r="K376" s="73"/>
      <c r="L376" s="149"/>
      <c r="M376" s="73"/>
      <c r="N376" s="73"/>
      <c r="O376" s="73"/>
      <c r="P376" s="73"/>
      <c r="Q376" s="73"/>
      <c r="R376" s="109"/>
      <c r="S376" s="4"/>
      <c r="T376" s="4"/>
      <c r="U376" s="4"/>
      <c r="V376" s="4"/>
      <c r="W376" s="4"/>
      <c r="X376" s="4"/>
      <c r="Y376" s="4"/>
      <c r="Z376" s="4"/>
      <c r="AA376" s="4"/>
      <c r="AB376" s="4"/>
      <c r="AC376" s="4"/>
      <c r="AD376" s="4"/>
      <c r="AE376" s="4"/>
      <c r="AF376" s="4"/>
    </row>
    <row r="377">
      <c r="A377" s="73"/>
      <c r="B377" s="73"/>
      <c r="C377" s="147"/>
      <c r="D377" s="103" t="str">
        <f t="array" ref="D377">XLOOKUP(C377,'Master Data'!C:C,'Master Data'!D:D)</f>
        <v>#N/A</v>
      </c>
      <c r="E377" s="104"/>
      <c r="F377" s="105" t="str">
        <f t="array" ref="F377">XLOOKUP(C377,'Master Data'!C:C,'Master Data'!D:D)</f>
        <v>#N/A</v>
      </c>
      <c r="G377" s="90" t="str">
        <f t="array" ref="G377">XLOOKUP(C377,'Master Data'!C:C,'Master Data'!E:E)</f>
        <v>#N/A</v>
      </c>
      <c r="H377" s="88" t="str">
        <f t="array" ref="H377">XLOOKUP(C377,'Master Data'!C:C,'Master Data'!F:F)</f>
        <v>#N/A</v>
      </c>
      <c r="I377" s="72" t="str">
        <f t="array" ref="I377">XLOOKUP(C377,'Master Data'!C:C,'Master Data'!G:G)</f>
        <v>#N/A</v>
      </c>
      <c r="J377" s="72" t="str">
        <f t="array" ref="J377">XLOOKUP(C377,'Master Data'!C:C,'Master Data'!H:H)</f>
        <v>#N/A</v>
      </c>
      <c r="K377" s="73"/>
      <c r="L377" s="149"/>
      <c r="M377" s="73"/>
      <c r="N377" s="73"/>
      <c r="O377" s="73"/>
      <c r="P377" s="73"/>
      <c r="Q377" s="73"/>
      <c r="R377" s="109"/>
      <c r="S377" s="4"/>
      <c r="T377" s="4"/>
      <c r="U377" s="4"/>
      <c r="V377" s="4"/>
      <c r="W377" s="4"/>
      <c r="X377" s="4"/>
      <c r="Y377" s="4"/>
      <c r="Z377" s="4"/>
      <c r="AA377" s="4"/>
      <c r="AB377" s="4"/>
      <c r="AC377" s="4"/>
      <c r="AD377" s="4"/>
      <c r="AE377" s="4"/>
      <c r="AF377" s="4"/>
    </row>
    <row r="378">
      <c r="A378" s="73"/>
      <c r="B378" s="73"/>
      <c r="C378" s="147"/>
      <c r="D378" s="103" t="str">
        <f t="array" ref="D378">XLOOKUP(C378,'Master Data'!C:C,'Master Data'!D:D)</f>
        <v>#N/A</v>
      </c>
      <c r="E378" s="104"/>
      <c r="F378" s="105" t="str">
        <f t="array" ref="F378">XLOOKUP(C378,'Master Data'!C:C,'Master Data'!D:D)</f>
        <v>#N/A</v>
      </c>
      <c r="G378" s="90" t="str">
        <f t="array" ref="G378">XLOOKUP(C378,'Master Data'!C:C,'Master Data'!E:E)</f>
        <v>#N/A</v>
      </c>
      <c r="H378" s="88" t="str">
        <f t="array" ref="H378">XLOOKUP(C378,'Master Data'!C:C,'Master Data'!F:F)</f>
        <v>#N/A</v>
      </c>
      <c r="I378" s="72" t="str">
        <f t="array" ref="I378">XLOOKUP(C378,'Master Data'!C:C,'Master Data'!G:G)</f>
        <v>#N/A</v>
      </c>
      <c r="J378" s="72" t="str">
        <f t="array" ref="J378">XLOOKUP(C378,'Master Data'!C:C,'Master Data'!H:H)</f>
        <v>#N/A</v>
      </c>
      <c r="K378" s="73"/>
      <c r="L378" s="149"/>
      <c r="M378" s="73"/>
      <c r="N378" s="73"/>
      <c r="O378" s="73"/>
      <c r="P378" s="73"/>
      <c r="Q378" s="73"/>
      <c r="R378" s="109"/>
      <c r="S378" s="4"/>
      <c r="T378" s="4"/>
      <c r="U378" s="4"/>
      <c r="V378" s="4"/>
      <c r="W378" s="4"/>
      <c r="X378" s="4"/>
      <c r="Y378" s="4"/>
      <c r="Z378" s="4"/>
      <c r="AA378" s="4"/>
      <c r="AB378" s="4"/>
      <c r="AC378" s="4"/>
      <c r="AD378" s="4"/>
      <c r="AE378" s="4"/>
      <c r="AF378" s="4"/>
    </row>
    <row r="379">
      <c r="A379" s="73"/>
      <c r="B379" s="73"/>
      <c r="C379" s="147"/>
      <c r="D379" s="103" t="str">
        <f t="array" ref="D379">XLOOKUP(C379,'Master Data'!C:C,'Master Data'!D:D)</f>
        <v>#N/A</v>
      </c>
      <c r="E379" s="104"/>
      <c r="F379" s="105" t="str">
        <f t="array" ref="F379">XLOOKUP(C379,'Master Data'!C:C,'Master Data'!D:D)</f>
        <v>#N/A</v>
      </c>
      <c r="G379" s="90" t="str">
        <f t="array" ref="G379">XLOOKUP(C379,'Master Data'!C:C,'Master Data'!E:E)</f>
        <v>#N/A</v>
      </c>
      <c r="H379" s="88" t="str">
        <f t="array" ref="H379">XLOOKUP(C379,'Master Data'!C:C,'Master Data'!F:F)</f>
        <v>#N/A</v>
      </c>
      <c r="I379" s="72" t="str">
        <f t="array" ref="I379">XLOOKUP(C379,'Master Data'!C:C,'Master Data'!G:G)</f>
        <v>#N/A</v>
      </c>
      <c r="J379" s="72" t="str">
        <f t="array" ref="J379">XLOOKUP(C379,'Master Data'!C:C,'Master Data'!H:H)</f>
        <v>#N/A</v>
      </c>
      <c r="K379" s="73"/>
      <c r="L379" s="149"/>
      <c r="M379" s="73"/>
      <c r="N379" s="73"/>
      <c r="O379" s="73"/>
      <c r="P379" s="73"/>
      <c r="Q379" s="73"/>
      <c r="R379" s="109"/>
      <c r="S379" s="4"/>
      <c r="T379" s="4"/>
      <c r="U379" s="4"/>
      <c r="V379" s="4"/>
      <c r="W379" s="4"/>
      <c r="X379" s="4"/>
      <c r="Y379" s="4"/>
      <c r="Z379" s="4"/>
      <c r="AA379" s="4"/>
      <c r="AB379" s="4"/>
      <c r="AC379" s="4"/>
      <c r="AD379" s="4"/>
      <c r="AE379" s="4"/>
      <c r="AF379" s="4"/>
    </row>
    <row r="380">
      <c r="A380" s="73"/>
      <c r="B380" s="73"/>
      <c r="C380" s="147"/>
      <c r="D380" s="103" t="str">
        <f t="array" ref="D380">XLOOKUP(C380,'Master Data'!C:C,'Master Data'!D:D)</f>
        <v>#N/A</v>
      </c>
      <c r="E380" s="104"/>
      <c r="F380" s="105" t="str">
        <f t="array" ref="F380">XLOOKUP(C380,'Master Data'!C:C,'Master Data'!D:D)</f>
        <v>#N/A</v>
      </c>
      <c r="G380" s="90" t="str">
        <f t="array" ref="G380">XLOOKUP(C380,'Master Data'!C:C,'Master Data'!E:E)</f>
        <v>#N/A</v>
      </c>
      <c r="H380" s="88" t="str">
        <f t="array" ref="H380">XLOOKUP(C380,'Master Data'!C:C,'Master Data'!F:F)</f>
        <v>#N/A</v>
      </c>
      <c r="I380" s="72" t="str">
        <f t="array" ref="I380">XLOOKUP(C380,'Master Data'!C:C,'Master Data'!G:G)</f>
        <v>#N/A</v>
      </c>
      <c r="J380" s="72" t="str">
        <f t="array" ref="J380">XLOOKUP(C380,'Master Data'!C:C,'Master Data'!H:H)</f>
        <v>#N/A</v>
      </c>
      <c r="K380" s="73"/>
      <c r="L380" s="149"/>
      <c r="M380" s="73"/>
      <c r="N380" s="73"/>
      <c r="O380" s="73"/>
      <c r="P380" s="73"/>
      <c r="Q380" s="73"/>
      <c r="R380" s="109"/>
      <c r="S380" s="4"/>
      <c r="T380" s="4"/>
      <c r="U380" s="4"/>
      <c r="V380" s="4"/>
      <c r="W380" s="4"/>
      <c r="X380" s="4"/>
      <c r="Y380" s="4"/>
      <c r="Z380" s="4"/>
      <c r="AA380" s="4"/>
      <c r="AB380" s="4"/>
      <c r="AC380" s="4"/>
      <c r="AD380" s="4"/>
      <c r="AE380" s="4"/>
      <c r="AF380" s="4"/>
    </row>
    <row r="381">
      <c r="A381" s="73"/>
      <c r="B381" s="73"/>
      <c r="C381" s="147"/>
      <c r="D381" s="103" t="str">
        <f t="array" ref="D381">XLOOKUP(C381,'Master Data'!C:C,'Master Data'!D:D)</f>
        <v>#N/A</v>
      </c>
      <c r="E381" s="104"/>
      <c r="F381" s="105" t="str">
        <f t="array" ref="F381">XLOOKUP(C381,'Master Data'!C:C,'Master Data'!D:D)</f>
        <v>#N/A</v>
      </c>
      <c r="G381" s="90" t="str">
        <f t="array" ref="G381">XLOOKUP(C381,'Master Data'!C:C,'Master Data'!E:E)</f>
        <v>#N/A</v>
      </c>
      <c r="H381" s="88" t="str">
        <f t="array" ref="H381">XLOOKUP(C381,'Master Data'!C:C,'Master Data'!F:F)</f>
        <v>#N/A</v>
      </c>
      <c r="I381" s="72" t="str">
        <f t="array" ref="I381">XLOOKUP(C381,'Master Data'!C:C,'Master Data'!G:G)</f>
        <v>#N/A</v>
      </c>
      <c r="J381" s="72" t="str">
        <f t="array" ref="J381">XLOOKUP(C381,'Master Data'!C:C,'Master Data'!H:H)</f>
        <v>#N/A</v>
      </c>
      <c r="K381" s="73"/>
      <c r="L381" s="149"/>
      <c r="M381" s="73"/>
      <c r="N381" s="73"/>
      <c r="O381" s="73"/>
      <c r="P381" s="73"/>
      <c r="Q381" s="73"/>
      <c r="R381" s="109"/>
      <c r="S381" s="4"/>
      <c r="T381" s="4"/>
      <c r="U381" s="4"/>
      <c r="V381" s="4"/>
      <c r="W381" s="4"/>
      <c r="X381" s="4"/>
      <c r="Y381" s="4"/>
      <c r="Z381" s="4"/>
      <c r="AA381" s="4"/>
      <c r="AB381" s="4"/>
      <c r="AC381" s="4"/>
      <c r="AD381" s="4"/>
      <c r="AE381" s="4"/>
      <c r="AF381" s="4"/>
    </row>
    <row r="382">
      <c r="A382" s="73"/>
      <c r="B382" s="73"/>
      <c r="C382" s="147"/>
      <c r="D382" s="103" t="str">
        <f t="array" ref="D382">XLOOKUP(C382,'Master Data'!C:C,'Master Data'!D:D)</f>
        <v>#N/A</v>
      </c>
      <c r="E382" s="104"/>
      <c r="F382" s="105" t="str">
        <f t="array" ref="F382">XLOOKUP(C382,'Master Data'!C:C,'Master Data'!D:D)</f>
        <v>#N/A</v>
      </c>
      <c r="G382" s="90" t="str">
        <f t="array" ref="G382">XLOOKUP(C382,'Master Data'!C:C,'Master Data'!E:E)</f>
        <v>#N/A</v>
      </c>
      <c r="H382" s="88" t="str">
        <f t="array" ref="H382">XLOOKUP(C382,'Master Data'!C:C,'Master Data'!F:F)</f>
        <v>#N/A</v>
      </c>
      <c r="I382" s="72" t="str">
        <f t="array" ref="I382">XLOOKUP(C382,'Master Data'!C:C,'Master Data'!G:G)</f>
        <v>#N/A</v>
      </c>
      <c r="J382" s="72" t="str">
        <f t="array" ref="J382">XLOOKUP(C382,'Master Data'!C:C,'Master Data'!H:H)</f>
        <v>#N/A</v>
      </c>
      <c r="K382" s="73"/>
      <c r="L382" s="149"/>
      <c r="M382" s="73"/>
      <c r="N382" s="73"/>
      <c r="O382" s="73"/>
      <c r="P382" s="73"/>
      <c r="Q382" s="73"/>
      <c r="R382" s="109"/>
      <c r="S382" s="4"/>
      <c r="T382" s="4"/>
      <c r="U382" s="4"/>
      <c r="V382" s="4"/>
      <c r="W382" s="4"/>
      <c r="X382" s="4"/>
      <c r="Y382" s="4"/>
      <c r="Z382" s="4"/>
      <c r="AA382" s="4"/>
      <c r="AB382" s="4"/>
      <c r="AC382" s="4"/>
      <c r="AD382" s="4"/>
      <c r="AE382" s="4"/>
      <c r="AF382" s="4"/>
    </row>
    <row r="383">
      <c r="A383" s="73"/>
      <c r="B383" s="73"/>
      <c r="C383" s="147"/>
      <c r="D383" s="103" t="str">
        <f t="array" ref="D383">XLOOKUP(C383,'Master Data'!C:C,'Master Data'!D:D)</f>
        <v>#N/A</v>
      </c>
      <c r="E383" s="104"/>
      <c r="F383" s="105" t="str">
        <f t="array" ref="F383">XLOOKUP(C383,'Master Data'!C:C,'Master Data'!D:D)</f>
        <v>#N/A</v>
      </c>
      <c r="G383" s="90" t="str">
        <f t="array" ref="G383">XLOOKUP(C383,'Master Data'!C:C,'Master Data'!E:E)</f>
        <v>#N/A</v>
      </c>
      <c r="H383" s="88" t="str">
        <f t="array" ref="H383">XLOOKUP(C383,'Master Data'!C:C,'Master Data'!F:F)</f>
        <v>#N/A</v>
      </c>
      <c r="I383" s="72" t="str">
        <f t="array" ref="I383">XLOOKUP(C383,'Master Data'!C:C,'Master Data'!G:G)</f>
        <v>#N/A</v>
      </c>
      <c r="J383" s="72" t="str">
        <f t="array" ref="J383">XLOOKUP(C383,'Master Data'!C:C,'Master Data'!H:H)</f>
        <v>#N/A</v>
      </c>
      <c r="K383" s="73"/>
      <c r="L383" s="149"/>
      <c r="M383" s="73"/>
      <c r="N383" s="73"/>
      <c r="O383" s="73"/>
      <c r="P383" s="73"/>
      <c r="Q383" s="73"/>
      <c r="R383" s="109"/>
      <c r="S383" s="4"/>
      <c r="T383" s="4"/>
      <c r="U383" s="4"/>
      <c r="V383" s="4"/>
      <c r="W383" s="4"/>
      <c r="X383" s="4"/>
      <c r="Y383" s="4"/>
      <c r="Z383" s="4"/>
      <c r="AA383" s="4"/>
      <c r="AB383" s="4"/>
      <c r="AC383" s="4"/>
      <c r="AD383" s="4"/>
      <c r="AE383" s="4"/>
      <c r="AF383" s="4"/>
    </row>
    <row r="384">
      <c r="A384" s="73"/>
      <c r="B384" s="73"/>
      <c r="C384" s="147"/>
      <c r="D384" s="103" t="str">
        <f t="array" ref="D384">XLOOKUP(C384,'Master Data'!C:C,'Master Data'!D:D)</f>
        <v>#N/A</v>
      </c>
      <c r="E384" s="104"/>
      <c r="F384" s="105" t="str">
        <f t="array" ref="F384">XLOOKUP(C384,'Master Data'!C:C,'Master Data'!D:D)</f>
        <v>#N/A</v>
      </c>
      <c r="G384" s="90" t="str">
        <f t="array" ref="G384">XLOOKUP(C384,'Master Data'!C:C,'Master Data'!E:E)</f>
        <v>#N/A</v>
      </c>
      <c r="H384" s="88" t="str">
        <f t="array" ref="H384">XLOOKUP(C384,'Master Data'!C:C,'Master Data'!F:F)</f>
        <v>#N/A</v>
      </c>
      <c r="I384" s="72" t="str">
        <f t="array" ref="I384">XLOOKUP(C384,'Master Data'!C:C,'Master Data'!G:G)</f>
        <v>#N/A</v>
      </c>
      <c r="J384" s="72" t="str">
        <f t="array" ref="J384">XLOOKUP(C384,'Master Data'!C:C,'Master Data'!H:H)</f>
        <v>#N/A</v>
      </c>
      <c r="K384" s="73"/>
      <c r="L384" s="149"/>
      <c r="M384" s="73"/>
      <c r="N384" s="73"/>
      <c r="O384" s="73"/>
      <c r="P384" s="73"/>
      <c r="Q384" s="73"/>
      <c r="R384" s="109"/>
      <c r="S384" s="4"/>
      <c r="T384" s="4"/>
      <c r="U384" s="4"/>
      <c r="V384" s="4"/>
      <c r="W384" s="4"/>
      <c r="X384" s="4"/>
      <c r="Y384" s="4"/>
      <c r="Z384" s="4"/>
      <c r="AA384" s="4"/>
      <c r="AB384" s="4"/>
      <c r="AC384" s="4"/>
      <c r="AD384" s="4"/>
      <c r="AE384" s="4"/>
      <c r="AF384" s="4"/>
    </row>
    <row r="385">
      <c r="A385" s="73"/>
      <c r="B385" s="73"/>
      <c r="C385" s="147"/>
      <c r="D385" s="103" t="str">
        <f t="array" ref="D385">XLOOKUP(C385,'Master Data'!C:C,'Master Data'!D:D)</f>
        <v>#N/A</v>
      </c>
      <c r="E385" s="104"/>
      <c r="F385" s="105" t="str">
        <f t="array" ref="F385">XLOOKUP(C385,'Master Data'!C:C,'Master Data'!D:D)</f>
        <v>#N/A</v>
      </c>
      <c r="G385" s="90" t="str">
        <f t="array" ref="G385">XLOOKUP(C385,'Master Data'!C:C,'Master Data'!E:E)</f>
        <v>#N/A</v>
      </c>
      <c r="H385" s="88" t="str">
        <f t="array" ref="H385">XLOOKUP(C385,'Master Data'!C:C,'Master Data'!F:F)</f>
        <v>#N/A</v>
      </c>
      <c r="I385" s="72" t="str">
        <f t="array" ref="I385">XLOOKUP(C385,'Master Data'!C:C,'Master Data'!G:G)</f>
        <v>#N/A</v>
      </c>
      <c r="J385" s="72" t="str">
        <f t="array" ref="J385">XLOOKUP(C385,'Master Data'!C:C,'Master Data'!H:H)</f>
        <v>#N/A</v>
      </c>
      <c r="K385" s="73"/>
      <c r="L385" s="149"/>
      <c r="M385" s="73"/>
      <c r="N385" s="73"/>
      <c r="O385" s="73"/>
      <c r="P385" s="73"/>
      <c r="Q385" s="73"/>
      <c r="R385" s="109"/>
      <c r="S385" s="4"/>
      <c r="T385" s="4"/>
      <c r="U385" s="4"/>
      <c r="V385" s="4"/>
      <c r="W385" s="4"/>
      <c r="X385" s="4"/>
      <c r="Y385" s="4"/>
      <c r="Z385" s="4"/>
      <c r="AA385" s="4"/>
      <c r="AB385" s="4"/>
      <c r="AC385" s="4"/>
      <c r="AD385" s="4"/>
      <c r="AE385" s="4"/>
      <c r="AF385" s="4"/>
    </row>
    <row r="386">
      <c r="A386" s="73"/>
      <c r="B386" s="73"/>
      <c r="C386" s="147"/>
      <c r="D386" s="103" t="str">
        <f t="array" ref="D386">XLOOKUP(C386,'Master Data'!C:C,'Master Data'!D:D)</f>
        <v>#N/A</v>
      </c>
      <c r="E386" s="104"/>
      <c r="F386" s="105" t="str">
        <f t="array" ref="F386">XLOOKUP(C386,'Master Data'!C:C,'Master Data'!D:D)</f>
        <v>#N/A</v>
      </c>
      <c r="G386" s="90" t="str">
        <f t="array" ref="G386">XLOOKUP(C386,'Master Data'!C:C,'Master Data'!E:E)</f>
        <v>#N/A</v>
      </c>
      <c r="H386" s="88" t="str">
        <f t="array" ref="H386">XLOOKUP(C386,'Master Data'!C:C,'Master Data'!F:F)</f>
        <v>#N/A</v>
      </c>
      <c r="I386" s="72" t="str">
        <f t="array" ref="I386">XLOOKUP(C386,'Master Data'!C:C,'Master Data'!G:G)</f>
        <v>#N/A</v>
      </c>
      <c r="J386" s="72" t="str">
        <f t="array" ref="J386">XLOOKUP(C386,'Master Data'!C:C,'Master Data'!H:H)</f>
        <v>#N/A</v>
      </c>
      <c r="K386" s="73"/>
      <c r="L386" s="149"/>
      <c r="M386" s="73"/>
      <c r="N386" s="73"/>
      <c r="O386" s="73"/>
      <c r="P386" s="73"/>
      <c r="Q386" s="73"/>
      <c r="R386" s="109"/>
      <c r="S386" s="4"/>
      <c r="T386" s="4"/>
      <c r="U386" s="4"/>
      <c r="V386" s="4"/>
      <c r="W386" s="4"/>
      <c r="X386" s="4"/>
      <c r="Y386" s="4"/>
      <c r="Z386" s="4"/>
      <c r="AA386" s="4"/>
      <c r="AB386" s="4"/>
      <c r="AC386" s="4"/>
      <c r="AD386" s="4"/>
      <c r="AE386" s="4"/>
      <c r="AF386" s="4"/>
    </row>
    <row r="387">
      <c r="A387" s="73"/>
      <c r="B387" s="73"/>
      <c r="C387" s="147"/>
      <c r="D387" s="103" t="str">
        <f t="array" ref="D387">XLOOKUP(C387,'Master Data'!C:C,'Master Data'!D:D)</f>
        <v>#N/A</v>
      </c>
      <c r="E387" s="104"/>
      <c r="F387" s="105" t="str">
        <f t="array" ref="F387">XLOOKUP(C387,'Master Data'!C:C,'Master Data'!D:D)</f>
        <v>#N/A</v>
      </c>
      <c r="G387" s="90" t="str">
        <f t="array" ref="G387">XLOOKUP(C387,'Master Data'!C:C,'Master Data'!E:E)</f>
        <v>#N/A</v>
      </c>
      <c r="H387" s="88" t="str">
        <f t="array" ref="H387">XLOOKUP(C387,'Master Data'!C:C,'Master Data'!F:F)</f>
        <v>#N/A</v>
      </c>
      <c r="I387" s="72" t="str">
        <f t="array" ref="I387">XLOOKUP(C387,'Master Data'!C:C,'Master Data'!G:G)</f>
        <v>#N/A</v>
      </c>
      <c r="J387" s="72" t="str">
        <f t="array" ref="J387">XLOOKUP(C387,'Master Data'!C:C,'Master Data'!H:H)</f>
        <v>#N/A</v>
      </c>
      <c r="K387" s="73"/>
      <c r="L387" s="149"/>
      <c r="M387" s="73"/>
      <c r="N387" s="73"/>
      <c r="O387" s="73"/>
      <c r="P387" s="73"/>
      <c r="Q387" s="73"/>
      <c r="R387" s="109"/>
      <c r="S387" s="4"/>
      <c r="T387" s="4"/>
      <c r="U387" s="4"/>
      <c r="V387" s="4"/>
      <c r="W387" s="4"/>
      <c r="X387" s="4"/>
      <c r="Y387" s="4"/>
      <c r="Z387" s="4"/>
      <c r="AA387" s="4"/>
      <c r="AB387" s="4"/>
      <c r="AC387" s="4"/>
      <c r="AD387" s="4"/>
      <c r="AE387" s="4"/>
      <c r="AF387" s="4"/>
    </row>
    <row r="388">
      <c r="A388" s="73"/>
      <c r="B388" s="73"/>
      <c r="C388" s="147"/>
      <c r="D388" s="103" t="str">
        <f t="array" ref="D388">XLOOKUP(C388,'Master Data'!C:C,'Master Data'!D:D)</f>
        <v>#N/A</v>
      </c>
      <c r="E388" s="104"/>
      <c r="F388" s="105" t="str">
        <f t="array" ref="F388">XLOOKUP(C388,'Master Data'!C:C,'Master Data'!D:D)</f>
        <v>#N/A</v>
      </c>
      <c r="G388" s="90" t="str">
        <f t="array" ref="G388">XLOOKUP(C388,'Master Data'!C:C,'Master Data'!E:E)</f>
        <v>#N/A</v>
      </c>
      <c r="H388" s="88" t="str">
        <f t="array" ref="H388">XLOOKUP(C388,'Master Data'!C:C,'Master Data'!F:F)</f>
        <v>#N/A</v>
      </c>
      <c r="I388" s="72" t="str">
        <f t="array" ref="I388">XLOOKUP(C388,'Master Data'!C:C,'Master Data'!G:G)</f>
        <v>#N/A</v>
      </c>
      <c r="J388" s="72" t="str">
        <f t="array" ref="J388">XLOOKUP(C388,'Master Data'!C:C,'Master Data'!H:H)</f>
        <v>#N/A</v>
      </c>
      <c r="K388" s="73"/>
      <c r="L388" s="149"/>
      <c r="M388" s="73"/>
      <c r="N388" s="73"/>
      <c r="O388" s="73"/>
      <c r="P388" s="73"/>
      <c r="Q388" s="73"/>
      <c r="R388" s="109"/>
      <c r="S388" s="4"/>
      <c r="T388" s="4"/>
      <c r="U388" s="4"/>
      <c r="V388" s="4"/>
      <c r="W388" s="4"/>
      <c r="X388" s="4"/>
      <c r="Y388" s="4"/>
      <c r="Z388" s="4"/>
      <c r="AA388" s="4"/>
      <c r="AB388" s="4"/>
      <c r="AC388" s="4"/>
      <c r="AD388" s="4"/>
      <c r="AE388" s="4"/>
      <c r="AF388" s="4"/>
    </row>
    <row r="389">
      <c r="A389" s="73"/>
      <c r="B389" s="73"/>
      <c r="C389" s="147"/>
      <c r="D389" s="103" t="str">
        <f t="array" ref="D389">XLOOKUP(C389,'Master Data'!C:C,'Master Data'!D:D)</f>
        <v>#N/A</v>
      </c>
      <c r="E389" s="104"/>
      <c r="F389" s="105" t="str">
        <f t="array" ref="F389">XLOOKUP(C389,'Master Data'!C:C,'Master Data'!D:D)</f>
        <v>#N/A</v>
      </c>
      <c r="G389" s="90" t="str">
        <f t="array" ref="G389">XLOOKUP(C389,'Master Data'!C:C,'Master Data'!E:E)</f>
        <v>#N/A</v>
      </c>
      <c r="H389" s="88" t="str">
        <f t="array" ref="H389">XLOOKUP(C389,'Master Data'!C:C,'Master Data'!F:F)</f>
        <v>#N/A</v>
      </c>
      <c r="I389" s="72" t="str">
        <f t="array" ref="I389">XLOOKUP(C389,'Master Data'!C:C,'Master Data'!G:G)</f>
        <v>#N/A</v>
      </c>
      <c r="J389" s="72" t="str">
        <f t="array" ref="J389">XLOOKUP(C389,'Master Data'!C:C,'Master Data'!H:H)</f>
        <v>#N/A</v>
      </c>
      <c r="K389" s="73"/>
      <c r="L389" s="149"/>
      <c r="M389" s="73"/>
      <c r="N389" s="73"/>
      <c r="O389" s="73"/>
      <c r="P389" s="73"/>
      <c r="Q389" s="73"/>
      <c r="R389" s="109"/>
      <c r="S389" s="4"/>
      <c r="T389" s="4"/>
      <c r="U389" s="4"/>
      <c r="V389" s="4"/>
      <c r="W389" s="4"/>
      <c r="X389" s="4"/>
      <c r="Y389" s="4"/>
      <c r="Z389" s="4"/>
      <c r="AA389" s="4"/>
      <c r="AB389" s="4"/>
      <c r="AC389" s="4"/>
      <c r="AD389" s="4"/>
      <c r="AE389" s="4"/>
      <c r="AF389" s="4"/>
    </row>
    <row r="390">
      <c r="A390" s="73"/>
      <c r="B390" s="73"/>
      <c r="C390" s="147"/>
      <c r="D390" s="103" t="str">
        <f t="array" ref="D390">XLOOKUP(C390,'Master Data'!C:C,'Master Data'!D:D)</f>
        <v>#N/A</v>
      </c>
      <c r="E390" s="104"/>
      <c r="F390" s="105" t="str">
        <f t="array" ref="F390">XLOOKUP(C390,'Master Data'!C:C,'Master Data'!D:D)</f>
        <v>#N/A</v>
      </c>
      <c r="G390" s="90" t="str">
        <f t="array" ref="G390">XLOOKUP(C390,'Master Data'!C:C,'Master Data'!E:E)</f>
        <v>#N/A</v>
      </c>
      <c r="H390" s="88" t="str">
        <f t="array" ref="H390">XLOOKUP(C390,'Master Data'!C:C,'Master Data'!F:F)</f>
        <v>#N/A</v>
      </c>
      <c r="I390" s="72" t="str">
        <f t="array" ref="I390">XLOOKUP(C390,'Master Data'!C:C,'Master Data'!G:G)</f>
        <v>#N/A</v>
      </c>
      <c r="J390" s="72" t="str">
        <f t="array" ref="J390">XLOOKUP(C390,'Master Data'!C:C,'Master Data'!H:H)</f>
        <v>#N/A</v>
      </c>
      <c r="K390" s="73"/>
      <c r="L390" s="149"/>
      <c r="M390" s="73"/>
      <c r="N390" s="73"/>
      <c r="O390" s="73"/>
      <c r="P390" s="73"/>
      <c r="Q390" s="73"/>
      <c r="R390" s="109"/>
      <c r="S390" s="4"/>
      <c r="T390" s="4"/>
      <c r="U390" s="4"/>
      <c r="V390" s="4"/>
      <c r="W390" s="4"/>
      <c r="X390" s="4"/>
      <c r="Y390" s="4"/>
      <c r="Z390" s="4"/>
      <c r="AA390" s="4"/>
      <c r="AB390" s="4"/>
      <c r="AC390" s="4"/>
      <c r="AD390" s="4"/>
      <c r="AE390" s="4"/>
      <c r="AF390" s="4"/>
    </row>
    <row r="391">
      <c r="A391" s="73"/>
      <c r="B391" s="73"/>
      <c r="C391" s="147"/>
      <c r="D391" s="103" t="str">
        <f t="array" ref="D391">XLOOKUP(C391,'Master Data'!C:C,'Master Data'!D:D)</f>
        <v>#N/A</v>
      </c>
      <c r="E391" s="104"/>
      <c r="F391" s="105" t="str">
        <f t="array" ref="F391">XLOOKUP(C391,'Master Data'!C:C,'Master Data'!D:D)</f>
        <v>#N/A</v>
      </c>
      <c r="G391" s="90" t="str">
        <f t="array" ref="G391">XLOOKUP(C391,'Master Data'!C:C,'Master Data'!E:E)</f>
        <v>#N/A</v>
      </c>
      <c r="H391" s="88" t="str">
        <f t="array" ref="H391">XLOOKUP(C391,'Master Data'!C:C,'Master Data'!F:F)</f>
        <v>#N/A</v>
      </c>
      <c r="I391" s="72" t="str">
        <f t="array" ref="I391">XLOOKUP(C391,'Master Data'!C:C,'Master Data'!G:G)</f>
        <v>#N/A</v>
      </c>
      <c r="J391" s="72" t="str">
        <f t="array" ref="J391">XLOOKUP(C391,'Master Data'!C:C,'Master Data'!H:H)</f>
        <v>#N/A</v>
      </c>
      <c r="K391" s="73"/>
      <c r="L391" s="149"/>
      <c r="M391" s="73"/>
      <c r="N391" s="73"/>
      <c r="O391" s="73"/>
      <c r="P391" s="73"/>
      <c r="Q391" s="73"/>
      <c r="R391" s="109"/>
      <c r="S391" s="4"/>
      <c r="T391" s="4"/>
      <c r="U391" s="4"/>
      <c r="V391" s="4"/>
      <c r="W391" s="4"/>
      <c r="X391" s="4"/>
      <c r="Y391" s="4"/>
      <c r="Z391" s="4"/>
      <c r="AA391" s="4"/>
      <c r="AB391" s="4"/>
      <c r="AC391" s="4"/>
      <c r="AD391" s="4"/>
      <c r="AE391" s="4"/>
      <c r="AF391" s="4"/>
    </row>
    <row r="392">
      <c r="A392" s="73"/>
      <c r="B392" s="73"/>
      <c r="C392" s="147"/>
      <c r="D392" s="103" t="str">
        <f t="array" ref="D392">XLOOKUP(C392,'Master Data'!C:C,'Master Data'!D:D)</f>
        <v>#N/A</v>
      </c>
      <c r="E392" s="104"/>
      <c r="F392" s="105" t="str">
        <f t="array" ref="F392">XLOOKUP(C392,'Master Data'!C:C,'Master Data'!D:D)</f>
        <v>#N/A</v>
      </c>
      <c r="G392" s="90" t="str">
        <f t="array" ref="G392">XLOOKUP(C392,'Master Data'!C:C,'Master Data'!E:E)</f>
        <v>#N/A</v>
      </c>
      <c r="H392" s="88" t="str">
        <f t="array" ref="H392">XLOOKUP(C392,'Master Data'!C:C,'Master Data'!F:F)</f>
        <v>#N/A</v>
      </c>
      <c r="I392" s="72" t="str">
        <f t="array" ref="I392">XLOOKUP(C392,'Master Data'!C:C,'Master Data'!G:G)</f>
        <v>#N/A</v>
      </c>
      <c r="J392" s="72" t="str">
        <f t="array" ref="J392">XLOOKUP(C392,'Master Data'!C:C,'Master Data'!H:H)</f>
        <v>#N/A</v>
      </c>
      <c r="K392" s="73"/>
      <c r="L392" s="149"/>
      <c r="M392" s="73"/>
      <c r="N392" s="73"/>
      <c r="O392" s="73"/>
      <c r="P392" s="73"/>
      <c r="Q392" s="73"/>
      <c r="R392" s="109"/>
      <c r="S392" s="4"/>
      <c r="T392" s="4"/>
      <c r="U392" s="4"/>
      <c r="V392" s="4"/>
      <c r="W392" s="4"/>
      <c r="X392" s="4"/>
      <c r="Y392" s="4"/>
      <c r="Z392" s="4"/>
      <c r="AA392" s="4"/>
      <c r="AB392" s="4"/>
      <c r="AC392" s="4"/>
      <c r="AD392" s="4"/>
      <c r="AE392" s="4"/>
      <c r="AF392" s="4"/>
    </row>
    <row r="393">
      <c r="A393" s="73"/>
      <c r="B393" s="73"/>
      <c r="C393" s="147"/>
      <c r="D393" s="103" t="str">
        <f t="array" ref="D393">XLOOKUP(C393,'Master Data'!C:C,'Master Data'!D:D)</f>
        <v>#N/A</v>
      </c>
      <c r="E393" s="104"/>
      <c r="F393" s="105" t="str">
        <f t="array" ref="F393">XLOOKUP(C393,'Master Data'!C:C,'Master Data'!D:D)</f>
        <v>#N/A</v>
      </c>
      <c r="G393" s="90" t="str">
        <f t="array" ref="G393">XLOOKUP(C393,'Master Data'!C:C,'Master Data'!E:E)</f>
        <v>#N/A</v>
      </c>
      <c r="H393" s="88" t="str">
        <f t="array" ref="H393">XLOOKUP(C393,'Master Data'!C:C,'Master Data'!F:F)</f>
        <v>#N/A</v>
      </c>
      <c r="I393" s="72" t="str">
        <f t="array" ref="I393">XLOOKUP(C393,'Master Data'!C:C,'Master Data'!G:G)</f>
        <v>#N/A</v>
      </c>
      <c r="J393" s="72" t="str">
        <f t="array" ref="J393">XLOOKUP(C393,'Master Data'!C:C,'Master Data'!H:H)</f>
        <v>#N/A</v>
      </c>
      <c r="K393" s="73"/>
      <c r="L393" s="149"/>
      <c r="M393" s="73"/>
      <c r="N393" s="73"/>
      <c r="O393" s="73"/>
      <c r="P393" s="73"/>
      <c r="Q393" s="73"/>
      <c r="R393" s="109"/>
      <c r="S393" s="4"/>
      <c r="T393" s="4"/>
      <c r="U393" s="4"/>
      <c r="V393" s="4"/>
      <c r="W393" s="4"/>
      <c r="X393" s="4"/>
      <c r="Y393" s="4"/>
      <c r="Z393" s="4"/>
      <c r="AA393" s="4"/>
      <c r="AB393" s="4"/>
      <c r="AC393" s="4"/>
      <c r="AD393" s="4"/>
      <c r="AE393" s="4"/>
      <c r="AF393" s="4"/>
    </row>
    <row r="394">
      <c r="A394" s="73"/>
      <c r="B394" s="73"/>
      <c r="C394" s="147"/>
      <c r="D394" s="103" t="str">
        <f t="array" ref="D394">XLOOKUP(C394,'Master Data'!C:C,'Master Data'!D:D)</f>
        <v>#N/A</v>
      </c>
      <c r="E394" s="104"/>
      <c r="F394" s="105" t="str">
        <f t="array" ref="F394">XLOOKUP(C394,'Master Data'!C:C,'Master Data'!D:D)</f>
        <v>#N/A</v>
      </c>
      <c r="G394" s="90" t="str">
        <f t="array" ref="G394">XLOOKUP(C394,'Master Data'!C:C,'Master Data'!E:E)</f>
        <v>#N/A</v>
      </c>
      <c r="H394" s="88" t="str">
        <f t="array" ref="H394">XLOOKUP(C394,'Master Data'!C:C,'Master Data'!F:F)</f>
        <v>#N/A</v>
      </c>
      <c r="I394" s="72" t="str">
        <f t="array" ref="I394">XLOOKUP(C394,'Master Data'!C:C,'Master Data'!G:G)</f>
        <v>#N/A</v>
      </c>
      <c r="J394" s="72" t="str">
        <f t="array" ref="J394">XLOOKUP(C394,'Master Data'!C:C,'Master Data'!H:H)</f>
        <v>#N/A</v>
      </c>
      <c r="K394" s="73"/>
      <c r="L394" s="149"/>
      <c r="M394" s="73"/>
      <c r="N394" s="73"/>
      <c r="O394" s="73"/>
      <c r="P394" s="73"/>
      <c r="Q394" s="73"/>
      <c r="R394" s="109"/>
      <c r="S394" s="4"/>
      <c r="T394" s="4"/>
      <c r="U394" s="4"/>
      <c r="V394" s="4"/>
      <c r="W394" s="4"/>
      <c r="X394" s="4"/>
      <c r="Y394" s="4"/>
      <c r="Z394" s="4"/>
      <c r="AA394" s="4"/>
      <c r="AB394" s="4"/>
      <c r="AC394" s="4"/>
      <c r="AD394" s="4"/>
      <c r="AE394" s="4"/>
      <c r="AF394" s="4"/>
    </row>
    <row r="395">
      <c r="A395" s="73"/>
      <c r="B395" s="73"/>
      <c r="C395" s="147"/>
      <c r="D395" s="103" t="str">
        <f t="array" ref="D395">XLOOKUP(C395,'Master Data'!C:C,'Master Data'!D:D)</f>
        <v>#N/A</v>
      </c>
      <c r="E395" s="104"/>
      <c r="F395" s="105" t="str">
        <f t="array" ref="F395">XLOOKUP(C395,'Master Data'!C:C,'Master Data'!D:D)</f>
        <v>#N/A</v>
      </c>
      <c r="G395" s="90" t="str">
        <f t="array" ref="G395">XLOOKUP(C395,'Master Data'!C:C,'Master Data'!E:E)</f>
        <v>#N/A</v>
      </c>
      <c r="H395" s="88" t="str">
        <f t="array" ref="H395">XLOOKUP(C395,'Master Data'!C:C,'Master Data'!F:F)</f>
        <v>#N/A</v>
      </c>
      <c r="I395" s="72" t="str">
        <f t="array" ref="I395">XLOOKUP(C395,'Master Data'!C:C,'Master Data'!G:G)</f>
        <v>#N/A</v>
      </c>
      <c r="J395" s="72" t="str">
        <f t="array" ref="J395">XLOOKUP(C395,'Master Data'!C:C,'Master Data'!H:H)</f>
        <v>#N/A</v>
      </c>
      <c r="K395" s="73"/>
      <c r="L395" s="149"/>
      <c r="M395" s="73"/>
      <c r="N395" s="73"/>
      <c r="O395" s="73"/>
      <c r="P395" s="73"/>
      <c r="Q395" s="73"/>
      <c r="R395" s="109"/>
      <c r="S395" s="4"/>
      <c r="T395" s="4"/>
      <c r="U395" s="4"/>
      <c r="V395" s="4"/>
      <c r="W395" s="4"/>
      <c r="X395" s="4"/>
      <c r="Y395" s="4"/>
      <c r="Z395" s="4"/>
      <c r="AA395" s="4"/>
      <c r="AB395" s="4"/>
      <c r="AC395" s="4"/>
      <c r="AD395" s="4"/>
      <c r="AE395" s="4"/>
      <c r="AF395" s="4"/>
    </row>
    <row r="396">
      <c r="A396" s="73"/>
      <c r="B396" s="73"/>
      <c r="C396" s="147"/>
      <c r="D396" s="103" t="str">
        <f t="array" ref="D396">XLOOKUP(C396,'Master Data'!C:C,'Master Data'!D:D)</f>
        <v>#N/A</v>
      </c>
      <c r="E396" s="104"/>
      <c r="F396" s="105" t="str">
        <f t="array" ref="F396">XLOOKUP(C396,'Master Data'!C:C,'Master Data'!D:D)</f>
        <v>#N/A</v>
      </c>
      <c r="G396" s="90" t="str">
        <f t="array" ref="G396">XLOOKUP(C396,'Master Data'!C:C,'Master Data'!E:E)</f>
        <v>#N/A</v>
      </c>
      <c r="H396" s="88" t="str">
        <f t="array" ref="H396">XLOOKUP(C396,'Master Data'!C:C,'Master Data'!F:F)</f>
        <v>#N/A</v>
      </c>
      <c r="I396" s="72" t="str">
        <f t="array" ref="I396">XLOOKUP(C396,'Master Data'!C:C,'Master Data'!G:G)</f>
        <v>#N/A</v>
      </c>
      <c r="J396" s="72" t="str">
        <f t="array" ref="J396">XLOOKUP(C396,'Master Data'!C:C,'Master Data'!H:H)</f>
        <v>#N/A</v>
      </c>
      <c r="K396" s="73"/>
      <c r="L396" s="149"/>
      <c r="M396" s="73"/>
      <c r="N396" s="73"/>
      <c r="O396" s="73"/>
      <c r="P396" s="73"/>
      <c r="Q396" s="73"/>
      <c r="R396" s="109"/>
      <c r="S396" s="4"/>
      <c r="T396" s="4"/>
      <c r="U396" s="4"/>
      <c r="V396" s="4"/>
      <c r="W396" s="4"/>
      <c r="X396" s="4"/>
      <c r="Y396" s="4"/>
      <c r="Z396" s="4"/>
      <c r="AA396" s="4"/>
      <c r="AB396" s="4"/>
      <c r="AC396" s="4"/>
      <c r="AD396" s="4"/>
      <c r="AE396" s="4"/>
      <c r="AF396" s="4"/>
    </row>
    <row r="397">
      <c r="A397" s="73"/>
      <c r="B397" s="73"/>
      <c r="C397" s="147"/>
      <c r="D397" s="103" t="str">
        <f t="array" ref="D397">XLOOKUP(C397,'Master Data'!C:C,'Master Data'!D:D)</f>
        <v>#N/A</v>
      </c>
      <c r="E397" s="104"/>
      <c r="F397" s="105" t="str">
        <f t="array" ref="F397">XLOOKUP(C397,'Master Data'!C:C,'Master Data'!D:D)</f>
        <v>#N/A</v>
      </c>
      <c r="G397" s="90" t="str">
        <f t="array" ref="G397">XLOOKUP(C397,'Master Data'!C:C,'Master Data'!E:E)</f>
        <v>#N/A</v>
      </c>
      <c r="H397" s="88" t="str">
        <f t="array" ref="H397">XLOOKUP(C397,'Master Data'!C:C,'Master Data'!F:F)</f>
        <v>#N/A</v>
      </c>
      <c r="I397" s="72" t="str">
        <f t="array" ref="I397">XLOOKUP(C397,'Master Data'!C:C,'Master Data'!G:G)</f>
        <v>#N/A</v>
      </c>
      <c r="J397" s="72" t="str">
        <f t="array" ref="J397">XLOOKUP(C397,'Master Data'!C:C,'Master Data'!H:H)</f>
        <v>#N/A</v>
      </c>
      <c r="K397" s="73"/>
      <c r="L397" s="149"/>
      <c r="M397" s="73"/>
      <c r="N397" s="73"/>
      <c r="O397" s="73"/>
      <c r="P397" s="73"/>
      <c r="Q397" s="73"/>
      <c r="R397" s="109"/>
      <c r="S397" s="4"/>
      <c r="T397" s="4"/>
      <c r="U397" s="4"/>
      <c r="V397" s="4"/>
      <c r="W397" s="4"/>
      <c r="X397" s="4"/>
      <c r="Y397" s="4"/>
      <c r="Z397" s="4"/>
      <c r="AA397" s="4"/>
      <c r="AB397" s="4"/>
      <c r="AC397" s="4"/>
      <c r="AD397" s="4"/>
      <c r="AE397" s="4"/>
      <c r="AF397" s="4"/>
    </row>
    <row r="398">
      <c r="A398" s="73"/>
      <c r="B398" s="73"/>
      <c r="C398" s="147"/>
      <c r="D398" s="103" t="str">
        <f t="array" ref="D398">XLOOKUP(C398,'Master Data'!C:C,'Master Data'!D:D)</f>
        <v>#N/A</v>
      </c>
      <c r="E398" s="104"/>
      <c r="F398" s="105" t="str">
        <f t="array" ref="F398">XLOOKUP(C398,'Master Data'!C:C,'Master Data'!D:D)</f>
        <v>#N/A</v>
      </c>
      <c r="G398" s="90" t="str">
        <f t="array" ref="G398">XLOOKUP(C398,'Master Data'!C:C,'Master Data'!E:E)</f>
        <v>#N/A</v>
      </c>
      <c r="H398" s="88" t="str">
        <f t="array" ref="H398">XLOOKUP(C398,'Master Data'!C:C,'Master Data'!F:F)</f>
        <v>#N/A</v>
      </c>
      <c r="I398" s="72" t="str">
        <f t="array" ref="I398">XLOOKUP(C398,'Master Data'!C:C,'Master Data'!G:G)</f>
        <v>#N/A</v>
      </c>
      <c r="J398" s="72" t="str">
        <f t="array" ref="J398">XLOOKUP(C398,'Master Data'!C:C,'Master Data'!H:H)</f>
        <v>#N/A</v>
      </c>
      <c r="K398" s="73"/>
      <c r="L398" s="149"/>
      <c r="M398" s="73"/>
      <c r="N398" s="73"/>
      <c r="O398" s="73"/>
      <c r="P398" s="73"/>
      <c r="Q398" s="73"/>
      <c r="R398" s="109"/>
      <c r="S398" s="4"/>
      <c r="T398" s="4"/>
      <c r="U398" s="4"/>
      <c r="V398" s="4"/>
      <c r="W398" s="4"/>
      <c r="X398" s="4"/>
      <c r="Y398" s="4"/>
      <c r="Z398" s="4"/>
      <c r="AA398" s="4"/>
      <c r="AB398" s="4"/>
      <c r="AC398" s="4"/>
      <c r="AD398" s="4"/>
      <c r="AE398" s="4"/>
      <c r="AF398" s="4"/>
    </row>
    <row r="399">
      <c r="A399" s="73"/>
      <c r="B399" s="73"/>
      <c r="C399" s="147"/>
      <c r="D399" s="103" t="str">
        <f t="array" ref="D399">XLOOKUP(C399,'Master Data'!C:C,'Master Data'!D:D)</f>
        <v>#N/A</v>
      </c>
      <c r="E399" s="104"/>
      <c r="F399" s="105" t="str">
        <f t="array" ref="F399">XLOOKUP(C399,'Master Data'!C:C,'Master Data'!D:D)</f>
        <v>#N/A</v>
      </c>
      <c r="G399" s="90" t="str">
        <f t="array" ref="G399">XLOOKUP(C399,'Master Data'!C:C,'Master Data'!E:E)</f>
        <v>#N/A</v>
      </c>
      <c r="H399" s="88" t="str">
        <f t="array" ref="H399">XLOOKUP(C399,'Master Data'!C:C,'Master Data'!F:F)</f>
        <v>#N/A</v>
      </c>
      <c r="I399" s="72" t="str">
        <f t="array" ref="I399">XLOOKUP(C399,'Master Data'!C:C,'Master Data'!G:G)</f>
        <v>#N/A</v>
      </c>
      <c r="J399" s="72" t="str">
        <f t="array" ref="J399">XLOOKUP(C399,'Master Data'!C:C,'Master Data'!H:H)</f>
        <v>#N/A</v>
      </c>
      <c r="K399" s="73"/>
      <c r="L399" s="149"/>
      <c r="M399" s="73"/>
      <c r="N399" s="73"/>
      <c r="O399" s="73"/>
      <c r="P399" s="73"/>
      <c r="Q399" s="73"/>
      <c r="R399" s="109"/>
      <c r="S399" s="4"/>
      <c r="T399" s="4"/>
      <c r="U399" s="4"/>
      <c r="V399" s="4"/>
      <c r="W399" s="4"/>
      <c r="X399" s="4"/>
      <c r="Y399" s="4"/>
      <c r="Z399" s="4"/>
      <c r="AA399" s="4"/>
      <c r="AB399" s="4"/>
      <c r="AC399" s="4"/>
      <c r="AD399" s="4"/>
      <c r="AE399" s="4"/>
      <c r="AF399" s="4"/>
    </row>
    <row r="400">
      <c r="A400" s="73"/>
      <c r="B400" s="73"/>
      <c r="C400" s="147"/>
      <c r="D400" s="103" t="str">
        <f t="array" ref="D400">XLOOKUP(C400,'Master Data'!C:C,'Master Data'!D:D)</f>
        <v>#N/A</v>
      </c>
      <c r="E400" s="104"/>
      <c r="F400" s="105" t="str">
        <f t="array" ref="F400">XLOOKUP(C400,'Master Data'!C:C,'Master Data'!D:D)</f>
        <v>#N/A</v>
      </c>
      <c r="G400" s="90" t="str">
        <f t="array" ref="G400">XLOOKUP(C400,'Master Data'!C:C,'Master Data'!E:E)</f>
        <v>#N/A</v>
      </c>
      <c r="H400" s="88" t="str">
        <f t="array" ref="H400">XLOOKUP(C400,'Master Data'!C:C,'Master Data'!F:F)</f>
        <v>#N/A</v>
      </c>
      <c r="I400" s="72" t="str">
        <f t="array" ref="I400">XLOOKUP(C400,'Master Data'!C:C,'Master Data'!G:G)</f>
        <v>#N/A</v>
      </c>
      <c r="J400" s="72" t="str">
        <f t="array" ref="J400">XLOOKUP(C400,'Master Data'!C:C,'Master Data'!H:H)</f>
        <v>#N/A</v>
      </c>
      <c r="K400" s="73"/>
      <c r="L400" s="149"/>
      <c r="M400" s="73"/>
      <c r="N400" s="73"/>
      <c r="O400" s="73"/>
      <c r="P400" s="73"/>
      <c r="Q400" s="73"/>
      <c r="R400" s="109"/>
      <c r="S400" s="4"/>
      <c r="T400" s="4"/>
      <c r="U400" s="4"/>
      <c r="V400" s="4"/>
      <c r="W400" s="4"/>
      <c r="X400" s="4"/>
      <c r="Y400" s="4"/>
      <c r="Z400" s="4"/>
      <c r="AA400" s="4"/>
      <c r="AB400" s="4"/>
      <c r="AC400" s="4"/>
      <c r="AD400" s="4"/>
      <c r="AE400" s="4"/>
      <c r="AF400" s="4"/>
    </row>
    <row r="401">
      <c r="A401" s="73"/>
      <c r="B401" s="73"/>
      <c r="C401" s="147"/>
      <c r="D401" s="103" t="str">
        <f t="array" ref="D401">XLOOKUP(C401,'Master Data'!C:C,'Master Data'!D:D)</f>
        <v>#N/A</v>
      </c>
      <c r="E401" s="104"/>
      <c r="F401" s="105" t="str">
        <f t="array" ref="F401">XLOOKUP(C401,'Master Data'!C:C,'Master Data'!D:D)</f>
        <v>#N/A</v>
      </c>
      <c r="G401" s="90" t="str">
        <f t="array" ref="G401">XLOOKUP(C401,'Master Data'!C:C,'Master Data'!E:E)</f>
        <v>#N/A</v>
      </c>
      <c r="H401" s="88" t="str">
        <f t="array" ref="H401">XLOOKUP(C401,'Master Data'!C:C,'Master Data'!F:F)</f>
        <v>#N/A</v>
      </c>
      <c r="I401" s="72" t="str">
        <f t="array" ref="I401">XLOOKUP(C401,'Master Data'!C:C,'Master Data'!G:G)</f>
        <v>#N/A</v>
      </c>
      <c r="J401" s="72" t="str">
        <f t="array" ref="J401">XLOOKUP(C401,'Master Data'!C:C,'Master Data'!H:H)</f>
        <v>#N/A</v>
      </c>
      <c r="K401" s="73"/>
      <c r="L401" s="149"/>
      <c r="M401" s="73"/>
      <c r="N401" s="73"/>
      <c r="O401" s="73"/>
      <c r="P401" s="73"/>
      <c r="Q401" s="73"/>
      <c r="R401" s="109"/>
      <c r="S401" s="4"/>
      <c r="T401" s="4"/>
      <c r="U401" s="4"/>
      <c r="V401" s="4"/>
      <c r="W401" s="4"/>
      <c r="X401" s="4"/>
      <c r="Y401" s="4"/>
      <c r="Z401" s="4"/>
      <c r="AA401" s="4"/>
      <c r="AB401" s="4"/>
      <c r="AC401" s="4"/>
      <c r="AD401" s="4"/>
      <c r="AE401" s="4"/>
      <c r="AF401" s="4"/>
    </row>
    <row r="402">
      <c r="A402" s="73"/>
      <c r="B402" s="73"/>
      <c r="C402" s="147"/>
      <c r="D402" s="103" t="str">
        <f t="array" ref="D402">XLOOKUP(C402,'Master Data'!C:C,'Master Data'!D:D)</f>
        <v>#N/A</v>
      </c>
      <c r="E402" s="104"/>
      <c r="F402" s="105" t="str">
        <f t="array" ref="F402">XLOOKUP(C402,'Master Data'!C:C,'Master Data'!D:D)</f>
        <v>#N/A</v>
      </c>
      <c r="G402" s="90" t="str">
        <f t="array" ref="G402">XLOOKUP(C402,'Master Data'!C:C,'Master Data'!E:E)</f>
        <v>#N/A</v>
      </c>
      <c r="H402" s="88" t="str">
        <f t="array" ref="H402">XLOOKUP(C402,'Master Data'!C:C,'Master Data'!F:F)</f>
        <v>#N/A</v>
      </c>
      <c r="I402" s="72" t="str">
        <f t="array" ref="I402">XLOOKUP(C402,'Master Data'!C:C,'Master Data'!G:G)</f>
        <v>#N/A</v>
      </c>
      <c r="J402" s="72" t="str">
        <f t="array" ref="J402">XLOOKUP(C402,'Master Data'!C:C,'Master Data'!H:H)</f>
        <v>#N/A</v>
      </c>
      <c r="K402" s="73"/>
      <c r="L402" s="149"/>
      <c r="M402" s="73"/>
      <c r="N402" s="73"/>
      <c r="O402" s="73"/>
      <c r="P402" s="73"/>
      <c r="Q402" s="73"/>
      <c r="R402" s="109"/>
      <c r="S402" s="4"/>
      <c r="T402" s="4"/>
      <c r="U402" s="4"/>
      <c r="V402" s="4"/>
      <c r="W402" s="4"/>
      <c r="X402" s="4"/>
      <c r="Y402" s="4"/>
      <c r="Z402" s="4"/>
      <c r="AA402" s="4"/>
      <c r="AB402" s="4"/>
      <c r="AC402" s="4"/>
      <c r="AD402" s="4"/>
      <c r="AE402" s="4"/>
      <c r="AF402" s="4"/>
    </row>
    <row r="403">
      <c r="A403" s="73"/>
      <c r="B403" s="73"/>
      <c r="C403" s="147"/>
      <c r="D403" s="103" t="str">
        <f t="array" ref="D403">XLOOKUP(C403,'Master Data'!C:C,'Master Data'!D:D)</f>
        <v>#N/A</v>
      </c>
      <c r="E403" s="104"/>
      <c r="F403" s="105" t="str">
        <f t="array" ref="F403">XLOOKUP(C403,'Master Data'!C:C,'Master Data'!D:D)</f>
        <v>#N/A</v>
      </c>
      <c r="G403" s="90" t="str">
        <f t="array" ref="G403">XLOOKUP(C403,'Master Data'!C:C,'Master Data'!E:E)</f>
        <v>#N/A</v>
      </c>
      <c r="H403" s="88" t="str">
        <f t="array" ref="H403">XLOOKUP(C403,'Master Data'!C:C,'Master Data'!F:F)</f>
        <v>#N/A</v>
      </c>
      <c r="I403" s="72" t="str">
        <f t="array" ref="I403">XLOOKUP(C403,'Master Data'!C:C,'Master Data'!G:G)</f>
        <v>#N/A</v>
      </c>
      <c r="J403" s="72" t="str">
        <f t="array" ref="J403">XLOOKUP(C403,'Master Data'!C:C,'Master Data'!H:H)</f>
        <v>#N/A</v>
      </c>
      <c r="K403" s="73"/>
      <c r="L403" s="149"/>
      <c r="M403" s="73"/>
      <c r="N403" s="73"/>
      <c r="O403" s="73"/>
      <c r="P403" s="73"/>
      <c r="Q403" s="73"/>
      <c r="R403" s="109"/>
      <c r="S403" s="4"/>
      <c r="T403" s="4"/>
      <c r="U403" s="4"/>
      <c r="V403" s="4"/>
      <c r="W403" s="4"/>
      <c r="X403" s="4"/>
      <c r="Y403" s="4"/>
      <c r="Z403" s="4"/>
      <c r="AA403" s="4"/>
      <c r="AB403" s="4"/>
      <c r="AC403" s="4"/>
      <c r="AD403" s="4"/>
      <c r="AE403" s="4"/>
      <c r="AF403" s="4"/>
    </row>
    <row r="404">
      <c r="A404" s="73"/>
      <c r="B404" s="73"/>
      <c r="C404" s="147"/>
      <c r="D404" s="103" t="str">
        <f t="array" ref="D404">XLOOKUP(C404,'Master Data'!C:C,'Master Data'!D:D)</f>
        <v>#N/A</v>
      </c>
      <c r="E404" s="104"/>
      <c r="F404" s="105" t="str">
        <f t="array" ref="F404">XLOOKUP(C404,'Master Data'!C:C,'Master Data'!D:D)</f>
        <v>#N/A</v>
      </c>
      <c r="G404" s="90" t="str">
        <f t="array" ref="G404">XLOOKUP(C404,'Master Data'!C:C,'Master Data'!E:E)</f>
        <v>#N/A</v>
      </c>
      <c r="H404" s="88" t="str">
        <f t="array" ref="H404">XLOOKUP(C404,'Master Data'!C:C,'Master Data'!F:F)</f>
        <v>#N/A</v>
      </c>
      <c r="I404" s="72" t="str">
        <f t="array" ref="I404">XLOOKUP(C404,'Master Data'!C:C,'Master Data'!G:G)</f>
        <v>#N/A</v>
      </c>
      <c r="J404" s="72" t="str">
        <f t="array" ref="J404">XLOOKUP(C404,'Master Data'!C:C,'Master Data'!H:H)</f>
        <v>#N/A</v>
      </c>
      <c r="K404" s="73"/>
      <c r="L404" s="149"/>
      <c r="M404" s="73"/>
      <c r="N404" s="73"/>
      <c r="O404" s="73"/>
      <c r="P404" s="73"/>
      <c r="Q404" s="73"/>
      <c r="R404" s="109"/>
      <c r="S404" s="4"/>
      <c r="T404" s="4"/>
      <c r="U404" s="4"/>
      <c r="V404" s="4"/>
      <c r="W404" s="4"/>
      <c r="X404" s="4"/>
      <c r="Y404" s="4"/>
      <c r="Z404" s="4"/>
      <c r="AA404" s="4"/>
      <c r="AB404" s="4"/>
      <c r="AC404" s="4"/>
      <c r="AD404" s="4"/>
      <c r="AE404" s="4"/>
      <c r="AF404" s="4"/>
    </row>
    <row r="405">
      <c r="A405" s="73"/>
      <c r="B405" s="73"/>
      <c r="C405" s="147"/>
      <c r="D405" s="103" t="str">
        <f t="array" ref="D405">XLOOKUP(C405,'Master Data'!C:C,'Master Data'!D:D)</f>
        <v>#N/A</v>
      </c>
      <c r="E405" s="104"/>
      <c r="F405" s="105" t="str">
        <f t="array" ref="F405">XLOOKUP(C405,'Master Data'!C:C,'Master Data'!D:D)</f>
        <v>#N/A</v>
      </c>
      <c r="G405" s="90" t="str">
        <f t="array" ref="G405">XLOOKUP(C405,'Master Data'!C:C,'Master Data'!E:E)</f>
        <v>#N/A</v>
      </c>
      <c r="H405" s="88" t="str">
        <f t="array" ref="H405">XLOOKUP(C405,'Master Data'!C:C,'Master Data'!F:F)</f>
        <v>#N/A</v>
      </c>
      <c r="I405" s="72" t="str">
        <f t="array" ref="I405">XLOOKUP(C405,'Master Data'!C:C,'Master Data'!G:G)</f>
        <v>#N/A</v>
      </c>
      <c r="J405" s="72" t="str">
        <f t="array" ref="J405">XLOOKUP(C405,'Master Data'!C:C,'Master Data'!H:H)</f>
        <v>#N/A</v>
      </c>
      <c r="K405" s="73"/>
      <c r="L405" s="149"/>
      <c r="M405" s="73"/>
      <c r="N405" s="73"/>
      <c r="O405" s="73"/>
      <c r="P405" s="73"/>
      <c r="Q405" s="73"/>
      <c r="R405" s="109"/>
      <c r="S405" s="4"/>
      <c r="T405" s="4"/>
      <c r="U405" s="4"/>
      <c r="V405" s="4"/>
      <c r="W405" s="4"/>
      <c r="X405" s="4"/>
      <c r="Y405" s="4"/>
      <c r="Z405" s="4"/>
      <c r="AA405" s="4"/>
      <c r="AB405" s="4"/>
      <c r="AC405" s="4"/>
      <c r="AD405" s="4"/>
      <c r="AE405" s="4"/>
      <c r="AF405" s="4"/>
    </row>
    <row r="406">
      <c r="A406" s="73"/>
      <c r="B406" s="73"/>
      <c r="C406" s="147"/>
      <c r="D406" s="103" t="str">
        <f t="array" ref="D406">XLOOKUP(C406,'Master Data'!C:C,'Master Data'!D:D)</f>
        <v>#N/A</v>
      </c>
      <c r="E406" s="104"/>
      <c r="F406" s="105" t="str">
        <f t="array" ref="F406">XLOOKUP(C406,'Master Data'!C:C,'Master Data'!D:D)</f>
        <v>#N/A</v>
      </c>
      <c r="G406" s="90" t="str">
        <f t="array" ref="G406">XLOOKUP(C406,'Master Data'!C:C,'Master Data'!E:E)</f>
        <v>#N/A</v>
      </c>
      <c r="H406" s="88" t="str">
        <f t="array" ref="H406">XLOOKUP(C406,'Master Data'!C:C,'Master Data'!F:F)</f>
        <v>#N/A</v>
      </c>
      <c r="I406" s="72" t="str">
        <f t="array" ref="I406">XLOOKUP(C406,'Master Data'!C:C,'Master Data'!G:G)</f>
        <v>#N/A</v>
      </c>
      <c r="J406" s="72" t="str">
        <f t="array" ref="J406">XLOOKUP(C406,'Master Data'!C:C,'Master Data'!H:H)</f>
        <v>#N/A</v>
      </c>
      <c r="K406" s="73"/>
      <c r="L406" s="149"/>
      <c r="M406" s="73"/>
      <c r="N406" s="73"/>
      <c r="O406" s="73"/>
      <c r="P406" s="73"/>
      <c r="Q406" s="73"/>
      <c r="R406" s="109"/>
      <c r="S406" s="4"/>
      <c r="T406" s="4"/>
      <c r="U406" s="4"/>
      <c r="V406" s="4"/>
      <c r="W406" s="4"/>
      <c r="X406" s="4"/>
      <c r="Y406" s="4"/>
      <c r="Z406" s="4"/>
      <c r="AA406" s="4"/>
      <c r="AB406" s="4"/>
      <c r="AC406" s="4"/>
      <c r="AD406" s="4"/>
      <c r="AE406" s="4"/>
      <c r="AF406" s="4"/>
    </row>
    <row r="407">
      <c r="A407" s="73"/>
      <c r="B407" s="73"/>
      <c r="C407" s="147"/>
      <c r="D407" s="103" t="str">
        <f t="array" ref="D407">XLOOKUP(C407,'Master Data'!C:C,'Master Data'!D:D)</f>
        <v>#N/A</v>
      </c>
      <c r="E407" s="104"/>
      <c r="F407" s="105" t="str">
        <f t="array" ref="F407">XLOOKUP(C407,'Master Data'!C:C,'Master Data'!D:D)</f>
        <v>#N/A</v>
      </c>
      <c r="G407" s="90" t="str">
        <f t="array" ref="G407">XLOOKUP(C407,'Master Data'!C:C,'Master Data'!E:E)</f>
        <v>#N/A</v>
      </c>
      <c r="H407" s="88" t="str">
        <f t="array" ref="H407">XLOOKUP(C407,'Master Data'!C:C,'Master Data'!F:F)</f>
        <v>#N/A</v>
      </c>
      <c r="I407" s="72" t="str">
        <f t="array" ref="I407">XLOOKUP(C407,'Master Data'!C:C,'Master Data'!G:G)</f>
        <v>#N/A</v>
      </c>
      <c r="J407" s="72" t="str">
        <f t="array" ref="J407">XLOOKUP(C407,'Master Data'!C:C,'Master Data'!H:H)</f>
        <v>#N/A</v>
      </c>
      <c r="K407" s="73"/>
      <c r="L407" s="149"/>
      <c r="M407" s="73"/>
      <c r="N407" s="73"/>
      <c r="O407" s="73"/>
      <c r="P407" s="73"/>
      <c r="Q407" s="73"/>
      <c r="R407" s="109"/>
      <c r="S407" s="4"/>
      <c r="T407" s="4"/>
      <c r="U407" s="4"/>
      <c r="V407" s="4"/>
      <c r="W407" s="4"/>
      <c r="X407" s="4"/>
      <c r="Y407" s="4"/>
      <c r="Z407" s="4"/>
      <c r="AA407" s="4"/>
      <c r="AB407" s="4"/>
      <c r="AC407" s="4"/>
      <c r="AD407" s="4"/>
      <c r="AE407" s="4"/>
      <c r="AF407" s="4"/>
    </row>
    <row r="408">
      <c r="A408" s="73"/>
      <c r="B408" s="73"/>
      <c r="C408" s="147"/>
      <c r="D408" s="103" t="str">
        <f t="array" ref="D408">XLOOKUP(C408,'Master Data'!C:C,'Master Data'!D:D)</f>
        <v>#N/A</v>
      </c>
      <c r="E408" s="104"/>
      <c r="F408" s="105" t="str">
        <f t="array" ref="F408">XLOOKUP(C408,'Master Data'!C:C,'Master Data'!D:D)</f>
        <v>#N/A</v>
      </c>
      <c r="G408" s="90" t="str">
        <f t="array" ref="G408">XLOOKUP(C408,'Master Data'!C:C,'Master Data'!E:E)</f>
        <v>#N/A</v>
      </c>
      <c r="H408" s="88" t="str">
        <f t="array" ref="H408">XLOOKUP(C408,'Master Data'!C:C,'Master Data'!F:F)</f>
        <v>#N/A</v>
      </c>
      <c r="I408" s="72" t="str">
        <f t="array" ref="I408">XLOOKUP(C408,'Master Data'!C:C,'Master Data'!G:G)</f>
        <v>#N/A</v>
      </c>
      <c r="J408" s="72" t="str">
        <f t="array" ref="J408">XLOOKUP(C408,'Master Data'!C:C,'Master Data'!H:H)</f>
        <v>#N/A</v>
      </c>
      <c r="K408" s="73"/>
      <c r="L408" s="149"/>
      <c r="M408" s="73"/>
      <c r="N408" s="73"/>
      <c r="O408" s="73"/>
      <c r="P408" s="73"/>
      <c r="Q408" s="73"/>
      <c r="R408" s="109"/>
      <c r="S408" s="4"/>
      <c r="T408" s="4"/>
      <c r="U408" s="4"/>
      <c r="V408" s="4"/>
      <c r="W408" s="4"/>
      <c r="X408" s="4"/>
      <c r="Y408" s="4"/>
      <c r="Z408" s="4"/>
      <c r="AA408" s="4"/>
      <c r="AB408" s="4"/>
      <c r="AC408" s="4"/>
      <c r="AD408" s="4"/>
      <c r="AE408" s="4"/>
      <c r="AF408" s="4"/>
    </row>
    <row r="409">
      <c r="A409" s="73"/>
      <c r="B409" s="73"/>
      <c r="C409" s="147"/>
      <c r="D409" s="103" t="str">
        <f t="array" ref="D409">XLOOKUP(C409,'Master Data'!C:C,'Master Data'!D:D)</f>
        <v>#N/A</v>
      </c>
      <c r="E409" s="104"/>
      <c r="F409" s="105" t="str">
        <f t="array" ref="F409">XLOOKUP(C409,'Master Data'!C:C,'Master Data'!D:D)</f>
        <v>#N/A</v>
      </c>
      <c r="G409" s="90" t="str">
        <f t="array" ref="G409">XLOOKUP(C409,'Master Data'!C:C,'Master Data'!E:E)</f>
        <v>#N/A</v>
      </c>
      <c r="H409" s="88" t="str">
        <f t="array" ref="H409">XLOOKUP(C409,'Master Data'!C:C,'Master Data'!F:F)</f>
        <v>#N/A</v>
      </c>
      <c r="I409" s="72" t="str">
        <f t="array" ref="I409">XLOOKUP(C409,'Master Data'!C:C,'Master Data'!G:G)</f>
        <v>#N/A</v>
      </c>
      <c r="J409" s="72" t="str">
        <f t="array" ref="J409">XLOOKUP(C409,'Master Data'!C:C,'Master Data'!H:H)</f>
        <v>#N/A</v>
      </c>
      <c r="K409" s="73"/>
      <c r="L409" s="149"/>
      <c r="M409" s="73"/>
      <c r="N409" s="73"/>
      <c r="O409" s="73"/>
      <c r="P409" s="73"/>
      <c r="Q409" s="73"/>
      <c r="R409" s="109"/>
      <c r="S409" s="4"/>
      <c r="T409" s="4"/>
      <c r="U409" s="4"/>
      <c r="V409" s="4"/>
      <c r="W409" s="4"/>
      <c r="X409" s="4"/>
      <c r="Y409" s="4"/>
      <c r="Z409" s="4"/>
      <c r="AA409" s="4"/>
      <c r="AB409" s="4"/>
      <c r="AC409" s="4"/>
      <c r="AD409" s="4"/>
      <c r="AE409" s="4"/>
      <c r="AF409" s="4"/>
    </row>
    <row r="410">
      <c r="A410" s="73"/>
      <c r="B410" s="73"/>
      <c r="C410" s="147"/>
      <c r="D410" s="103" t="str">
        <f t="array" ref="D410">XLOOKUP(C410,'Master Data'!C:C,'Master Data'!D:D)</f>
        <v>#N/A</v>
      </c>
      <c r="E410" s="104"/>
      <c r="F410" s="105" t="str">
        <f t="array" ref="F410">XLOOKUP(C410,'Master Data'!C:C,'Master Data'!D:D)</f>
        <v>#N/A</v>
      </c>
      <c r="G410" s="90" t="str">
        <f t="array" ref="G410">XLOOKUP(C410,'Master Data'!C:C,'Master Data'!E:E)</f>
        <v>#N/A</v>
      </c>
      <c r="H410" s="88" t="str">
        <f t="array" ref="H410">XLOOKUP(C410,'Master Data'!C:C,'Master Data'!F:F)</f>
        <v>#N/A</v>
      </c>
      <c r="I410" s="72" t="str">
        <f t="array" ref="I410">XLOOKUP(C410,'Master Data'!C:C,'Master Data'!G:G)</f>
        <v>#N/A</v>
      </c>
      <c r="J410" s="72" t="str">
        <f t="array" ref="J410">XLOOKUP(C410,'Master Data'!C:C,'Master Data'!H:H)</f>
        <v>#N/A</v>
      </c>
      <c r="K410" s="73"/>
      <c r="L410" s="149"/>
      <c r="M410" s="73"/>
      <c r="N410" s="73"/>
      <c r="O410" s="73"/>
      <c r="P410" s="73"/>
      <c r="Q410" s="73"/>
      <c r="R410" s="109"/>
      <c r="S410" s="4"/>
      <c r="T410" s="4"/>
      <c r="U410" s="4"/>
      <c r="V410" s="4"/>
      <c r="W410" s="4"/>
      <c r="X410" s="4"/>
      <c r="Y410" s="4"/>
      <c r="Z410" s="4"/>
      <c r="AA410" s="4"/>
      <c r="AB410" s="4"/>
      <c r="AC410" s="4"/>
      <c r="AD410" s="4"/>
      <c r="AE410" s="4"/>
      <c r="AF410" s="4"/>
    </row>
    <row r="411">
      <c r="A411" s="73"/>
      <c r="B411" s="73"/>
      <c r="C411" s="147"/>
      <c r="D411" s="103" t="str">
        <f t="array" ref="D411">XLOOKUP(C411,'Master Data'!C:C,'Master Data'!D:D)</f>
        <v>#N/A</v>
      </c>
      <c r="E411" s="104"/>
      <c r="F411" s="105" t="str">
        <f t="array" ref="F411">XLOOKUP(C411,'Master Data'!C:C,'Master Data'!D:D)</f>
        <v>#N/A</v>
      </c>
      <c r="G411" s="90" t="str">
        <f t="array" ref="G411">XLOOKUP(C411,'Master Data'!C:C,'Master Data'!E:E)</f>
        <v>#N/A</v>
      </c>
      <c r="H411" s="88" t="str">
        <f t="array" ref="H411">XLOOKUP(C411,'Master Data'!C:C,'Master Data'!F:F)</f>
        <v>#N/A</v>
      </c>
      <c r="I411" s="72" t="str">
        <f t="array" ref="I411">XLOOKUP(C411,'Master Data'!C:C,'Master Data'!G:G)</f>
        <v>#N/A</v>
      </c>
      <c r="J411" s="72" t="str">
        <f t="array" ref="J411">XLOOKUP(C411,'Master Data'!C:C,'Master Data'!H:H)</f>
        <v>#N/A</v>
      </c>
      <c r="K411" s="73"/>
      <c r="L411" s="149"/>
      <c r="M411" s="73"/>
      <c r="N411" s="73"/>
      <c r="O411" s="73"/>
      <c r="P411" s="73"/>
      <c r="Q411" s="73"/>
      <c r="R411" s="109"/>
      <c r="S411" s="4"/>
      <c r="T411" s="4"/>
      <c r="U411" s="4"/>
      <c r="V411" s="4"/>
      <c r="W411" s="4"/>
      <c r="X411" s="4"/>
      <c r="Y411" s="4"/>
      <c r="Z411" s="4"/>
      <c r="AA411" s="4"/>
      <c r="AB411" s="4"/>
      <c r="AC411" s="4"/>
      <c r="AD411" s="4"/>
      <c r="AE411" s="4"/>
      <c r="AF411" s="4"/>
    </row>
    <row r="412">
      <c r="A412" s="73"/>
      <c r="B412" s="73"/>
      <c r="C412" s="147"/>
      <c r="D412" s="103" t="str">
        <f t="array" ref="D412">XLOOKUP(C412,'Master Data'!C:C,'Master Data'!D:D)</f>
        <v>#N/A</v>
      </c>
      <c r="E412" s="104"/>
      <c r="F412" s="105" t="str">
        <f t="array" ref="F412">XLOOKUP(C412,'Master Data'!C:C,'Master Data'!D:D)</f>
        <v>#N/A</v>
      </c>
      <c r="G412" s="90" t="str">
        <f t="array" ref="G412">XLOOKUP(C412,'Master Data'!C:C,'Master Data'!E:E)</f>
        <v>#N/A</v>
      </c>
      <c r="H412" s="88" t="str">
        <f t="array" ref="H412">XLOOKUP(C412,'Master Data'!C:C,'Master Data'!F:F)</f>
        <v>#N/A</v>
      </c>
      <c r="I412" s="72" t="str">
        <f t="array" ref="I412">XLOOKUP(C412,'Master Data'!C:C,'Master Data'!G:G)</f>
        <v>#N/A</v>
      </c>
      <c r="J412" s="72" t="str">
        <f t="array" ref="J412">XLOOKUP(C412,'Master Data'!C:C,'Master Data'!H:H)</f>
        <v>#N/A</v>
      </c>
      <c r="K412" s="73"/>
      <c r="L412" s="149"/>
      <c r="M412" s="73"/>
      <c r="N412" s="73"/>
      <c r="O412" s="73"/>
      <c r="P412" s="73"/>
      <c r="Q412" s="73"/>
      <c r="R412" s="109"/>
      <c r="S412" s="4"/>
      <c r="T412" s="4"/>
      <c r="U412" s="4"/>
      <c r="V412" s="4"/>
      <c r="W412" s="4"/>
      <c r="X412" s="4"/>
      <c r="Y412" s="4"/>
      <c r="Z412" s="4"/>
      <c r="AA412" s="4"/>
      <c r="AB412" s="4"/>
      <c r="AC412" s="4"/>
      <c r="AD412" s="4"/>
      <c r="AE412" s="4"/>
      <c r="AF412" s="4"/>
    </row>
    <row r="413">
      <c r="A413" s="73"/>
      <c r="B413" s="73"/>
      <c r="C413" s="147"/>
      <c r="D413" s="103" t="str">
        <f t="array" ref="D413">XLOOKUP(C413,'Master Data'!C:C,'Master Data'!D:D)</f>
        <v>#N/A</v>
      </c>
      <c r="E413" s="104"/>
      <c r="F413" s="105" t="str">
        <f t="array" ref="F413">XLOOKUP(C413,'Master Data'!C:C,'Master Data'!D:D)</f>
        <v>#N/A</v>
      </c>
      <c r="G413" s="90" t="str">
        <f t="array" ref="G413">XLOOKUP(C413,'Master Data'!C:C,'Master Data'!E:E)</f>
        <v>#N/A</v>
      </c>
      <c r="H413" s="88" t="str">
        <f t="array" ref="H413">XLOOKUP(C413,'Master Data'!C:C,'Master Data'!F:F)</f>
        <v>#N/A</v>
      </c>
      <c r="I413" s="72" t="str">
        <f t="array" ref="I413">XLOOKUP(C413,'Master Data'!C:C,'Master Data'!G:G)</f>
        <v>#N/A</v>
      </c>
      <c r="J413" s="72" t="str">
        <f t="array" ref="J413">XLOOKUP(C413,'Master Data'!C:C,'Master Data'!H:H)</f>
        <v>#N/A</v>
      </c>
      <c r="K413" s="73"/>
      <c r="L413" s="149"/>
      <c r="M413" s="73"/>
      <c r="N413" s="73"/>
      <c r="O413" s="73"/>
      <c r="P413" s="73"/>
      <c r="Q413" s="73"/>
      <c r="R413" s="109"/>
      <c r="S413" s="4"/>
      <c r="T413" s="4"/>
      <c r="U413" s="4"/>
      <c r="V413" s="4"/>
      <c r="W413" s="4"/>
      <c r="X413" s="4"/>
      <c r="Y413" s="4"/>
      <c r="Z413" s="4"/>
      <c r="AA413" s="4"/>
      <c r="AB413" s="4"/>
      <c r="AC413" s="4"/>
      <c r="AD413" s="4"/>
      <c r="AE413" s="4"/>
      <c r="AF413" s="4"/>
    </row>
    <row r="414">
      <c r="A414" s="73"/>
      <c r="B414" s="73"/>
      <c r="C414" s="147"/>
      <c r="D414" s="103" t="str">
        <f t="array" ref="D414">XLOOKUP(C414,'Master Data'!C:C,'Master Data'!D:D)</f>
        <v>#N/A</v>
      </c>
      <c r="E414" s="104"/>
      <c r="F414" s="105" t="str">
        <f t="array" ref="F414">XLOOKUP(C414,'Master Data'!C:C,'Master Data'!D:D)</f>
        <v>#N/A</v>
      </c>
      <c r="G414" s="90" t="str">
        <f t="array" ref="G414">XLOOKUP(C414,'Master Data'!C:C,'Master Data'!E:E)</f>
        <v>#N/A</v>
      </c>
      <c r="H414" s="88" t="str">
        <f t="array" ref="H414">XLOOKUP(C414,'Master Data'!C:C,'Master Data'!F:F)</f>
        <v>#N/A</v>
      </c>
      <c r="I414" s="72" t="str">
        <f t="array" ref="I414">XLOOKUP(C414,'Master Data'!C:C,'Master Data'!G:G)</f>
        <v>#N/A</v>
      </c>
      <c r="J414" s="72" t="str">
        <f t="array" ref="J414">XLOOKUP(C414,'Master Data'!C:C,'Master Data'!H:H)</f>
        <v>#N/A</v>
      </c>
      <c r="K414" s="73"/>
      <c r="L414" s="149"/>
      <c r="M414" s="73"/>
      <c r="N414" s="73"/>
      <c r="O414" s="73"/>
      <c r="P414" s="73"/>
      <c r="Q414" s="73"/>
      <c r="R414" s="109"/>
      <c r="S414" s="4"/>
      <c r="T414" s="4"/>
      <c r="U414" s="4"/>
      <c r="V414" s="4"/>
      <c r="W414" s="4"/>
      <c r="X414" s="4"/>
      <c r="Y414" s="4"/>
      <c r="Z414" s="4"/>
      <c r="AA414" s="4"/>
      <c r="AB414" s="4"/>
      <c r="AC414" s="4"/>
      <c r="AD414" s="4"/>
      <c r="AE414" s="4"/>
      <c r="AF414" s="4"/>
    </row>
    <row r="415">
      <c r="A415" s="73"/>
      <c r="B415" s="73"/>
      <c r="C415" s="147"/>
      <c r="D415" s="103" t="str">
        <f t="array" ref="D415">XLOOKUP(C415,'Master Data'!C:C,'Master Data'!D:D)</f>
        <v>#N/A</v>
      </c>
      <c r="E415" s="104"/>
      <c r="F415" s="105" t="str">
        <f t="array" ref="F415">XLOOKUP(C415,'Master Data'!C:C,'Master Data'!D:D)</f>
        <v>#N/A</v>
      </c>
      <c r="G415" s="90" t="str">
        <f t="array" ref="G415">XLOOKUP(C415,'Master Data'!C:C,'Master Data'!E:E)</f>
        <v>#N/A</v>
      </c>
      <c r="H415" s="88" t="str">
        <f t="array" ref="H415">XLOOKUP(C415,'Master Data'!C:C,'Master Data'!F:F)</f>
        <v>#N/A</v>
      </c>
      <c r="I415" s="72" t="str">
        <f t="array" ref="I415">XLOOKUP(C415,'Master Data'!C:C,'Master Data'!G:G)</f>
        <v>#N/A</v>
      </c>
      <c r="J415" s="72" t="str">
        <f t="array" ref="J415">XLOOKUP(C415,'Master Data'!C:C,'Master Data'!H:H)</f>
        <v>#N/A</v>
      </c>
      <c r="K415" s="73"/>
      <c r="L415" s="149"/>
      <c r="M415" s="73"/>
      <c r="N415" s="73"/>
      <c r="O415" s="73"/>
      <c r="P415" s="73"/>
      <c r="Q415" s="73"/>
      <c r="R415" s="109"/>
      <c r="S415" s="4"/>
      <c r="T415" s="4"/>
      <c r="U415" s="4"/>
      <c r="V415" s="4"/>
      <c r="W415" s="4"/>
      <c r="X415" s="4"/>
      <c r="Y415" s="4"/>
      <c r="Z415" s="4"/>
      <c r="AA415" s="4"/>
      <c r="AB415" s="4"/>
      <c r="AC415" s="4"/>
      <c r="AD415" s="4"/>
      <c r="AE415" s="4"/>
      <c r="AF415" s="4"/>
    </row>
    <row r="416">
      <c r="A416" s="73"/>
      <c r="B416" s="73"/>
      <c r="C416" s="147"/>
      <c r="D416" s="103" t="str">
        <f t="array" ref="D416">XLOOKUP(C416,'Master Data'!C:C,'Master Data'!D:D)</f>
        <v>#N/A</v>
      </c>
      <c r="E416" s="104"/>
      <c r="F416" s="105" t="str">
        <f t="array" ref="F416">XLOOKUP(C416,'Master Data'!C:C,'Master Data'!D:D)</f>
        <v>#N/A</v>
      </c>
      <c r="G416" s="90" t="str">
        <f t="array" ref="G416">XLOOKUP(C416,'Master Data'!C:C,'Master Data'!E:E)</f>
        <v>#N/A</v>
      </c>
      <c r="H416" s="88" t="str">
        <f t="array" ref="H416">XLOOKUP(C416,'Master Data'!C:C,'Master Data'!F:F)</f>
        <v>#N/A</v>
      </c>
      <c r="I416" s="72" t="str">
        <f t="array" ref="I416">XLOOKUP(C416,'Master Data'!C:C,'Master Data'!G:G)</f>
        <v>#N/A</v>
      </c>
      <c r="J416" s="72" t="str">
        <f t="array" ref="J416">XLOOKUP(C416,'Master Data'!C:C,'Master Data'!H:H)</f>
        <v>#N/A</v>
      </c>
      <c r="K416" s="73"/>
      <c r="L416" s="149"/>
      <c r="M416" s="73"/>
      <c r="N416" s="73"/>
      <c r="O416" s="73"/>
      <c r="P416" s="73"/>
      <c r="Q416" s="73"/>
      <c r="R416" s="109"/>
      <c r="S416" s="4"/>
      <c r="T416" s="4"/>
      <c r="U416" s="4"/>
      <c r="V416" s="4"/>
      <c r="W416" s="4"/>
      <c r="X416" s="4"/>
      <c r="Y416" s="4"/>
      <c r="Z416" s="4"/>
      <c r="AA416" s="4"/>
      <c r="AB416" s="4"/>
      <c r="AC416" s="4"/>
      <c r="AD416" s="4"/>
      <c r="AE416" s="4"/>
      <c r="AF416" s="4"/>
    </row>
    <row r="417">
      <c r="A417" s="73"/>
      <c r="B417" s="73"/>
      <c r="C417" s="147"/>
      <c r="D417" s="103" t="str">
        <f t="array" ref="D417">XLOOKUP(C417,'Master Data'!C:C,'Master Data'!D:D)</f>
        <v>#N/A</v>
      </c>
      <c r="E417" s="104"/>
      <c r="F417" s="105" t="str">
        <f t="array" ref="F417">XLOOKUP(C417,'Master Data'!C:C,'Master Data'!D:D)</f>
        <v>#N/A</v>
      </c>
      <c r="G417" s="90" t="str">
        <f t="array" ref="G417">XLOOKUP(C417,'Master Data'!C:C,'Master Data'!E:E)</f>
        <v>#N/A</v>
      </c>
      <c r="H417" s="88" t="str">
        <f t="array" ref="H417">XLOOKUP(C417,'Master Data'!C:C,'Master Data'!F:F)</f>
        <v>#N/A</v>
      </c>
      <c r="I417" s="72" t="str">
        <f t="array" ref="I417">XLOOKUP(C417,'Master Data'!C:C,'Master Data'!G:G)</f>
        <v>#N/A</v>
      </c>
      <c r="J417" s="72" t="str">
        <f t="array" ref="J417">XLOOKUP(C417,'Master Data'!C:C,'Master Data'!H:H)</f>
        <v>#N/A</v>
      </c>
      <c r="K417" s="73"/>
      <c r="L417" s="149"/>
      <c r="M417" s="73"/>
      <c r="N417" s="73"/>
      <c r="O417" s="73"/>
      <c r="P417" s="73"/>
      <c r="Q417" s="73"/>
      <c r="R417" s="109"/>
      <c r="S417" s="4"/>
      <c r="T417" s="4"/>
      <c r="U417" s="4"/>
      <c r="V417" s="4"/>
      <c r="W417" s="4"/>
      <c r="X417" s="4"/>
      <c r="Y417" s="4"/>
      <c r="Z417" s="4"/>
      <c r="AA417" s="4"/>
      <c r="AB417" s="4"/>
      <c r="AC417" s="4"/>
      <c r="AD417" s="4"/>
      <c r="AE417" s="4"/>
      <c r="AF417" s="4"/>
    </row>
    <row r="418">
      <c r="A418" s="73"/>
      <c r="B418" s="73"/>
      <c r="C418" s="147"/>
      <c r="D418" s="103" t="str">
        <f t="array" ref="D418">XLOOKUP(C418,'Master Data'!C:C,'Master Data'!D:D)</f>
        <v>#N/A</v>
      </c>
      <c r="E418" s="104"/>
      <c r="F418" s="105" t="str">
        <f t="array" ref="F418">XLOOKUP(C418,'Master Data'!C:C,'Master Data'!D:D)</f>
        <v>#N/A</v>
      </c>
      <c r="G418" s="90" t="str">
        <f t="array" ref="G418">XLOOKUP(C418,'Master Data'!C:C,'Master Data'!E:E)</f>
        <v>#N/A</v>
      </c>
      <c r="H418" s="88" t="str">
        <f t="array" ref="H418">XLOOKUP(C418,'Master Data'!C:C,'Master Data'!F:F)</f>
        <v>#N/A</v>
      </c>
      <c r="I418" s="72" t="str">
        <f t="array" ref="I418">XLOOKUP(C418,'Master Data'!C:C,'Master Data'!G:G)</f>
        <v>#N/A</v>
      </c>
      <c r="J418" s="72" t="str">
        <f t="array" ref="J418">XLOOKUP(C418,'Master Data'!C:C,'Master Data'!H:H)</f>
        <v>#N/A</v>
      </c>
      <c r="K418" s="73"/>
      <c r="L418" s="149"/>
      <c r="M418" s="73"/>
      <c r="N418" s="73"/>
      <c r="O418" s="73"/>
      <c r="P418" s="73"/>
      <c r="Q418" s="73"/>
      <c r="R418" s="109"/>
      <c r="S418" s="4"/>
      <c r="T418" s="4"/>
      <c r="U418" s="4"/>
      <c r="V418" s="4"/>
      <c r="W418" s="4"/>
      <c r="X418" s="4"/>
      <c r="Y418" s="4"/>
      <c r="Z418" s="4"/>
      <c r="AA418" s="4"/>
      <c r="AB418" s="4"/>
      <c r="AC418" s="4"/>
      <c r="AD418" s="4"/>
      <c r="AE418" s="4"/>
      <c r="AF418" s="4"/>
    </row>
    <row r="419">
      <c r="A419" s="73"/>
      <c r="B419" s="73"/>
      <c r="C419" s="147"/>
      <c r="D419" s="103" t="str">
        <f t="array" ref="D419">XLOOKUP(C419,'Master Data'!C:C,'Master Data'!D:D)</f>
        <v>#N/A</v>
      </c>
      <c r="E419" s="104"/>
      <c r="F419" s="105" t="str">
        <f t="array" ref="F419">XLOOKUP(C419,'Master Data'!C:C,'Master Data'!D:D)</f>
        <v>#N/A</v>
      </c>
      <c r="G419" s="90" t="str">
        <f t="array" ref="G419">XLOOKUP(C419,'Master Data'!C:C,'Master Data'!E:E)</f>
        <v>#N/A</v>
      </c>
      <c r="H419" s="88" t="str">
        <f t="array" ref="H419">XLOOKUP(C419,'Master Data'!C:C,'Master Data'!F:F)</f>
        <v>#N/A</v>
      </c>
      <c r="I419" s="72" t="str">
        <f t="array" ref="I419">XLOOKUP(C419,'Master Data'!C:C,'Master Data'!G:G)</f>
        <v>#N/A</v>
      </c>
      <c r="J419" s="72" t="str">
        <f t="array" ref="J419">XLOOKUP(C419,'Master Data'!C:C,'Master Data'!H:H)</f>
        <v>#N/A</v>
      </c>
      <c r="K419" s="73"/>
      <c r="L419" s="149"/>
      <c r="M419" s="73"/>
      <c r="N419" s="73"/>
      <c r="O419" s="73"/>
      <c r="P419" s="73"/>
      <c r="Q419" s="73"/>
      <c r="R419" s="109"/>
      <c r="S419" s="4"/>
      <c r="T419" s="4"/>
      <c r="U419" s="4"/>
      <c r="V419" s="4"/>
      <c r="W419" s="4"/>
      <c r="X419" s="4"/>
      <c r="Y419" s="4"/>
      <c r="Z419" s="4"/>
      <c r="AA419" s="4"/>
      <c r="AB419" s="4"/>
      <c r="AC419" s="4"/>
      <c r="AD419" s="4"/>
      <c r="AE419" s="4"/>
      <c r="AF419" s="4"/>
    </row>
    <row r="420">
      <c r="A420" s="73"/>
      <c r="B420" s="73"/>
      <c r="C420" s="147"/>
      <c r="D420" s="103" t="str">
        <f t="array" ref="D420">XLOOKUP(C420,'Master Data'!C:C,'Master Data'!D:D)</f>
        <v>#N/A</v>
      </c>
      <c r="E420" s="104"/>
      <c r="F420" s="105" t="str">
        <f t="array" ref="F420">XLOOKUP(C420,'Master Data'!C:C,'Master Data'!D:D)</f>
        <v>#N/A</v>
      </c>
      <c r="G420" s="90" t="str">
        <f t="array" ref="G420">XLOOKUP(C420,'Master Data'!C:C,'Master Data'!E:E)</f>
        <v>#N/A</v>
      </c>
      <c r="H420" s="88" t="str">
        <f t="array" ref="H420">XLOOKUP(C420,'Master Data'!C:C,'Master Data'!F:F)</f>
        <v>#N/A</v>
      </c>
      <c r="I420" s="72" t="str">
        <f t="array" ref="I420">XLOOKUP(C420,'Master Data'!C:C,'Master Data'!G:G)</f>
        <v>#N/A</v>
      </c>
      <c r="J420" s="72" t="str">
        <f t="array" ref="J420">XLOOKUP(C420,'Master Data'!C:C,'Master Data'!H:H)</f>
        <v>#N/A</v>
      </c>
      <c r="K420" s="73"/>
      <c r="L420" s="149"/>
      <c r="M420" s="73"/>
      <c r="N420" s="73"/>
      <c r="O420" s="73"/>
      <c r="P420" s="73"/>
      <c r="Q420" s="73"/>
      <c r="R420" s="109"/>
      <c r="S420" s="4"/>
      <c r="T420" s="4"/>
      <c r="U420" s="4"/>
      <c r="V420" s="4"/>
      <c r="W420" s="4"/>
      <c r="X420" s="4"/>
      <c r="Y420" s="4"/>
      <c r="Z420" s="4"/>
      <c r="AA420" s="4"/>
      <c r="AB420" s="4"/>
      <c r="AC420" s="4"/>
      <c r="AD420" s="4"/>
      <c r="AE420" s="4"/>
      <c r="AF420" s="4"/>
    </row>
    <row r="421">
      <c r="A421" s="73"/>
      <c r="B421" s="73"/>
      <c r="C421" s="147"/>
      <c r="D421" s="103" t="str">
        <f t="array" ref="D421">XLOOKUP(C421,'Master Data'!C:C,'Master Data'!D:D)</f>
        <v>#N/A</v>
      </c>
      <c r="E421" s="104"/>
      <c r="F421" s="105" t="str">
        <f t="array" ref="F421">XLOOKUP(C421,'Master Data'!C:C,'Master Data'!D:D)</f>
        <v>#N/A</v>
      </c>
      <c r="G421" s="90" t="str">
        <f t="array" ref="G421">XLOOKUP(C421,'Master Data'!C:C,'Master Data'!E:E)</f>
        <v>#N/A</v>
      </c>
      <c r="H421" s="88" t="str">
        <f t="array" ref="H421">XLOOKUP(C421,'Master Data'!C:C,'Master Data'!F:F)</f>
        <v>#N/A</v>
      </c>
      <c r="I421" s="72" t="str">
        <f t="array" ref="I421">XLOOKUP(C421,'Master Data'!C:C,'Master Data'!G:G)</f>
        <v>#N/A</v>
      </c>
      <c r="J421" s="72" t="str">
        <f t="array" ref="J421">XLOOKUP(C421,'Master Data'!C:C,'Master Data'!H:H)</f>
        <v>#N/A</v>
      </c>
      <c r="K421" s="73"/>
      <c r="L421" s="149"/>
      <c r="M421" s="73"/>
      <c r="N421" s="73"/>
      <c r="O421" s="73"/>
      <c r="P421" s="73"/>
      <c r="Q421" s="73"/>
      <c r="R421" s="109"/>
      <c r="S421" s="4"/>
      <c r="T421" s="4"/>
      <c r="U421" s="4"/>
      <c r="V421" s="4"/>
      <c r="W421" s="4"/>
      <c r="X421" s="4"/>
      <c r="Y421" s="4"/>
      <c r="Z421" s="4"/>
      <c r="AA421" s="4"/>
      <c r="AB421" s="4"/>
      <c r="AC421" s="4"/>
      <c r="AD421" s="4"/>
      <c r="AE421" s="4"/>
      <c r="AF421" s="4"/>
    </row>
    <row r="422">
      <c r="A422" s="73"/>
      <c r="B422" s="73"/>
      <c r="C422" s="147"/>
      <c r="D422" s="103" t="str">
        <f t="array" ref="D422">XLOOKUP(C422,'Master Data'!C:C,'Master Data'!D:D)</f>
        <v>#N/A</v>
      </c>
      <c r="E422" s="104"/>
      <c r="F422" s="105" t="str">
        <f t="array" ref="F422">XLOOKUP(C422,'Master Data'!C:C,'Master Data'!D:D)</f>
        <v>#N/A</v>
      </c>
      <c r="G422" s="90" t="str">
        <f t="array" ref="G422">XLOOKUP(C422,'Master Data'!C:C,'Master Data'!E:E)</f>
        <v>#N/A</v>
      </c>
      <c r="H422" s="88" t="str">
        <f t="array" ref="H422">XLOOKUP(C422,'Master Data'!C:C,'Master Data'!F:F)</f>
        <v>#N/A</v>
      </c>
      <c r="I422" s="72" t="str">
        <f t="array" ref="I422">XLOOKUP(C422,'Master Data'!C:C,'Master Data'!G:G)</f>
        <v>#N/A</v>
      </c>
      <c r="J422" s="72" t="str">
        <f t="array" ref="J422">XLOOKUP(C422,'Master Data'!C:C,'Master Data'!H:H)</f>
        <v>#N/A</v>
      </c>
      <c r="K422" s="73"/>
      <c r="L422" s="149"/>
      <c r="M422" s="73"/>
      <c r="N422" s="73"/>
      <c r="O422" s="73"/>
      <c r="P422" s="73"/>
      <c r="Q422" s="73"/>
      <c r="R422" s="109"/>
      <c r="S422" s="4"/>
      <c r="T422" s="4"/>
      <c r="U422" s="4"/>
      <c r="V422" s="4"/>
      <c r="W422" s="4"/>
      <c r="X422" s="4"/>
      <c r="Y422" s="4"/>
      <c r="Z422" s="4"/>
      <c r="AA422" s="4"/>
      <c r="AB422" s="4"/>
      <c r="AC422" s="4"/>
      <c r="AD422" s="4"/>
      <c r="AE422" s="4"/>
      <c r="AF422" s="4"/>
    </row>
    <row r="423">
      <c r="A423" s="73"/>
      <c r="B423" s="73"/>
      <c r="C423" s="147"/>
      <c r="D423" s="103" t="str">
        <f t="array" ref="D423">XLOOKUP(C423,'Master Data'!C:C,'Master Data'!D:D)</f>
        <v>#N/A</v>
      </c>
      <c r="E423" s="104"/>
      <c r="F423" s="105" t="str">
        <f t="array" ref="F423">XLOOKUP(C423,'Master Data'!C:C,'Master Data'!D:D)</f>
        <v>#N/A</v>
      </c>
      <c r="G423" s="90" t="str">
        <f t="array" ref="G423">XLOOKUP(C423,'Master Data'!C:C,'Master Data'!E:E)</f>
        <v>#N/A</v>
      </c>
      <c r="H423" s="88" t="str">
        <f t="array" ref="H423">XLOOKUP(C423,'Master Data'!C:C,'Master Data'!F:F)</f>
        <v>#N/A</v>
      </c>
      <c r="I423" s="72" t="str">
        <f t="array" ref="I423">XLOOKUP(C423,'Master Data'!C:C,'Master Data'!G:G)</f>
        <v>#N/A</v>
      </c>
      <c r="J423" s="72" t="str">
        <f t="array" ref="J423">XLOOKUP(C423,'Master Data'!C:C,'Master Data'!H:H)</f>
        <v>#N/A</v>
      </c>
      <c r="K423" s="73"/>
      <c r="L423" s="149"/>
      <c r="M423" s="73"/>
      <c r="N423" s="73"/>
      <c r="O423" s="73"/>
      <c r="P423" s="73"/>
      <c r="Q423" s="73"/>
      <c r="R423" s="109"/>
      <c r="S423" s="4"/>
      <c r="T423" s="4"/>
      <c r="U423" s="4"/>
      <c r="V423" s="4"/>
      <c r="W423" s="4"/>
      <c r="X423" s="4"/>
      <c r="Y423" s="4"/>
      <c r="Z423" s="4"/>
      <c r="AA423" s="4"/>
      <c r="AB423" s="4"/>
      <c r="AC423" s="4"/>
      <c r="AD423" s="4"/>
      <c r="AE423" s="4"/>
      <c r="AF423" s="4"/>
    </row>
    <row r="424">
      <c r="A424" s="73"/>
      <c r="B424" s="73"/>
      <c r="C424" s="147"/>
      <c r="D424" s="103" t="str">
        <f t="array" ref="D424">XLOOKUP(C424,'Master Data'!C:C,'Master Data'!D:D)</f>
        <v>#N/A</v>
      </c>
      <c r="E424" s="104"/>
      <c r="F424" s="105" t="str">
        <f t="array" ref="F424">XLOOKUP(C424,'Master Data'!C:C,'Master Data'!D:D)</f>
        <v>#N/A</v>
      </c>
      <c r="G424" s="90" t="str">
        <f t="array" ref="G424">XLOOKUP(C424,'Master Data'!C:C,'Master Data'!E:E)</f>
        <v>#N/A</v>
      </c>
      <c r="H424" s="88" t="str">
        <f t="array" ref="H424">XLOOKUP(C424,'Master Data'!C:C,'Master Data'!F:F)</f>
        <v>#N/A</v>
      </c>
      <c r="I424" s="72" t="str">
        <f t="array" ref="I424">XLOOKUP(C424,'Master Data'!C:C,'Master Data'!G:G)</f>
        <v>#N/A</v>
      </c>
      <c r="J424" s="72" t="str">
        <f t="array" ref="J424">XLOOKUP(C424,'Master Data'!C:C,'Master Data'!H:H)</f>
        <v>#N/A</v>
      </c>
      <c r="K424" s="73"/>
      <c r="L424" s="149"/>
      <c r="M424" s="73"/>
      <c r="N424" s="73"/>
      <c r="O424" s="73"/>
      <c r="P424" s="73"/>
      <c r="Q424" s="73"/>
      <c r="R424" s="109"/>
      <c r="S424" s="4"/>
      <c r="T424" s="4"/>
      <c r="U424" s="4"/>
      <c r="V424" s="4"/>
      <c r="W424" s="4"/>
      <c r="X424" s="4"/>
      <c r="Y424" s="4"/>
      <c r="Z424" s="4"/>
      <c r="AA424" s="4"/>
      <c r="AB424" s="4"/>
      <c r="AC424" s="4"/>
      <c r="AD424" s="4"/>
      <c r="AE424" s="4"/>
      <c r="AF424" s="4"/>
    </row>
    <row r="425">
      <c r="A425" s="73"/>
      <c r="B425" s="73"/>
      <c r="C425" s="147"/>
      <c r="D425" s="103" t="str">
        <f t="array" ref="D425">XLOOKUP(C425,'Master Data'!C:C,'Master Data'!D:D)</f>
        <v>#N/A</v>
      </c>
      <c r="E425" s="104"/>
      <c r="F425" s="105" t="str">
        <f t="array" ref="F425">XLOOKUP(C425,'Master Data'!C:C,'Master Data'!D:D)</f>
        <v>#N/A</v>
      </c>
      <c r="G425" s="90" t="str">
        <f t="array" ref="G425">XLOOKUP(C425,'Master Data'!C:C,'Master Data'!E:E)</f>
        <v>#N/A</v>
      </c>
      <c r="H425" s="88" t="str">
        <f t="array" ref="H425">XLOOKUP(C425,'Master Data'!C:C,'Master Data'!F:F)</f>
        <v>#N/A</v>
      </c>
      <c r="I425" s="72" t="str">
        <f t="array" ref="I425">XLOOKUP(C425,'Master Data'!C:C,'Master Data'!G:G)</f>
        <v>#N/A</v>
      </c>
      <c r="J425" s="72" t="str">
        <f t="array" ref="J425">XLOOKUP(C425,'Master Data'!C:C,'Master Data'!H:H)</f>
        <v>#N/A</v>
      </c>
      <c r="K425" s="73"/>
      <c r="L425" s="149"/>
      <c r="M425" s="73"/>
      <c r="N425" s="73"/>
      <c r="O425" s="73"/>
      <c r="P425" s="73"/>
      <c r="Q425" s="73"/>
      <c r="R425" s="109"/>
      <c r="S425" s="4"/>
      <c r="T425" s="4"/>
      <c r="U425" s="4"/>
      <c r="V425" s="4"/>
      <c r="W425" s="4"/>
      <c r="X425" s="4"/>
      <c r="Y425" s="4"/>
      <c r="Z425" s="4"/>
      <c r="AA425" s="4"/>
      <c r="AB425" s="4"/>
      <c r="AC425" s="4"/>
      <c r="AD425" s="4"/>
      <c r="AE425" s="4"/>
      <c r="AF425" s="4"/>
    </row>
    <row r="426">
      <c r="A426" s="73"/>
      <c r="B426" s="73"/>
      <c r="C426" s="147"/>
      <c r="D426" s="103" t="str">
        <f t="array" ref="D426">XLOOKUP(C426,'Master Data'!C:C,'Master Data'!D:D)</f>
        <v>#N/A</v>
      </c>
      <c r="E426" s="104"/>
      <c r="F426" s="105" t="str">
        <f t="array" ref="F426">XLOOKUP(C426,'Master Data'!C:C,'Master Data'!D:D)</f>
        <v>#N/A</v>
      </c>
      <c r="G426" s="90" t="str">
        <f t="array" ref="G426">XLOOKUP(C426,'Master Data'!C:C,'Master Data'!E:E)</f>
        <v>#N/A</v>
      </c>
      <c r="H426" s="88" t="str">
        <f t="array" ref="H426">XLOOKUP(C426,'Master Data'!C:C,'Master Data'!F:F)</f>
        <v>#N/A</v>
      </c>
      <c r="I426" s="72" t="str">
        <f t="array" ref="I426">XLOOKUP(C426,'Master Data'!C:C,'Master Data'!G:G)</f>
        <v>#N/A</v>
      </c>
      <c r="J426" s="72" t="str">
        <f t="array" ref="J426">XLOOKUP(C426,'Master Data'!C:C,'Master Data'!H:H)</f>
        <v>#N/A</v>
      </c>
      <c r="K426" s="73"/>
      <c r="L426" s="149"/>
      <c r="M426" s="73"/>
      <c r="N426" s="73"/>
      <c r="O426" s="73"/>
      <c r="P426" s="73"/>
      <c r="Q426" s="73"/>
      <c r="R426" s="109"/>
      <c r="S426" s="4"/>
      <c r="T426" s="4"/>
      <c r="U426" s="4"/>
      <c r="V426" s="4"/>
      <c r="W426" s="4"/>
      <c r="X426" s="4"/>
      <c r="Y426" s="4"/>
      <c r="Z426" s="4"/>
      <c r="AA426" s="4"/>
      <c r="AB426" s="4"/>
      <c r="AC426" s="4"/>
      <c r="AD426" s="4"/>
      <c r="AE426" s="4"/>
      <c r="AF426" s="4"/>
    </row>
    <row r="427">
      <c r="A427" s="73"/>
      <c r="B427" s="73"/>
      <c r="C427" s="147"/>
      <c r="D427" s="103" t="str">
        <f t="array" ref="D427">XLOOKUP(C427,'Master Data'!C:C,'Master Data'!D:D)</f>
        <v>#N/A</v>
      </c>
      <c r="E427" s="104"/>
      <c r="F427" s="105" t="str">
        <f t="array" ref="F427">XLOOKUP(C427,'Master Data'!C:C,'Master Data'!D:D)</f>
        <v>#N/A</v>
      </c>
      <c r="G427" s="90" t="str">
        <f t="array" ref="G427">XLOOKUP(C427,'Master Data'!C:C,'Master Data'!E:E)</f>
        <v>#N/A</v>
      </c>
      <c r="H427" s="88" t="str">
        <f t="array" ref="H427">XLOOKUP(C427,'Master Data'!C:C,'Master Data'!F:F)</f>
        <v>#N/A</v>
      </c>
      <c r="I427" s="72" t="str">
        <f t="array" ref="I427">XLOOKUP(C427,'Master Data'!C:C,'Master Data'!G:G)</f>
        <v>#N/A</v>
      </c>
      <c r="J427" s="72" t="str">
        <f t="array" ref="J427">XLOOKUP(C427,'Master Data'!C:C,'Master Data'!H:H)</f>
        <v>#N/A</v>
      </c>
      <c r="K427" s="73"/>
      <c r="L427" s="149"/>
      <c r="M427" s="73"/>
      <c r="N427" s="73"/>
      <c r="O427" s="73"/>
      <c r="P427" s="73"/>
      <c r="Q427" s="73"/>
      <c r="R427" s="109"/>
      <c r="S427" s="4"/>
      <c r="T427" s="4"/>
      <c r="U427" s="4"/>
      <c r="V427" s="4"/>
      <c r="W427" s="4"/>
      <c r="X427" s="4"/>
      <c r="Y427" s="4"/>
      <c r="Z427" s="4"/>
      <c r="AA427" s="4"/>
      <c r="AB427" s="4"/>
      <c r="AC427" s="4"/>
      <c r="AD427" s="4"/>
      <c r="AE427" s="4"/>
      <c r="AF427" s="4"/>
    </row>
    <row r="428">
      <c r="A428" s="73"/>
      <c r="B428" s="73"/>
      <c r="C428" s="147"/>
      <c r="D428" s="103" t="str">
        <f t="array" ref="D428">XLOOKUP(C428,'Master Data'!C:C,'Master Data'!D:D)</f>
        <v>#N/A</v>
      </c>
      <c r="E428" s="104"/>
      <c r="F428" s="105" t="str">
        <f t="array" ref="F428">XLOOKUP(C428,'Master Data'!C:C,'Master Data'!D:D)</f>
        <v>#N/A</v>
      </c>
      <c r="G428" s="90" t="str">
        <f t="array" ref="G428">XLOOKUP(C428,'Master Data'!C:C,'Master Data'!E:E)</f>
        <v>#N/A</v>
      </c>
      <c r="H428" s="88" t="str">
        <f t="array" ref="H428">XLOOKUP(C428,'Master Data'!C:C,'Master Data'!F:F)</f>
        <v>#N/A</v>
      </c>
      <c r="I428" s="72" t="str">
        <f t="array" ref="I428">XLOOKUP(C428,'Master Data'!C:C,'Master Data'!G:G)</f>
        <v>#N/A</v>
      </c>
      <c r="J428" s="72" t="str">
        <f t="array" ref="J428">XLOOKUP(C428,'Master Data'!C:C,'Master Data'!H:H)</f>
        <v>#N/A</v>
      </c>
      <c r="K428" s="73"/>
      <c r="L428" s="149"/>
      <c r="M428" s="73"/>
      <c r="N428" s="73"/>
      <c r="O428" s="73"/>
      <c r="P428" s="73"/>
      <c r="Q428" s="73"/>
      <c r="R428" s="109"/>
      <c r="S428" s="4"/>
      <c r="T428" s="4"/>
      <c r="U428" s="4"/>
      <c r="V428" s="4"/>
      <c r="W428" s="4"/>
      <c r="X428" s="4"/>
      <c r="Y428" s="4"/>
      <c r="Z428" s="4"/>
      <c r="AA428" s="4"/>
      <c r="AB428" s="4"/>
      <c r="AC428" s="4"/>
      <c r="AD428" s="4"/>
      <c r="AE428" s="4"/>
      <c r="AF428" s="4"/>
    </row>
    <row r="429">
      <c r="A429" s="73"/>
      <c r="B429" s="73"/>
      <c r="C429" s="147"/>
      <c r="D429" s="103" t="str">
        <f t="array" ref="D429">XLOOKUP(C429,'Master Data'!C:C,'Master Data'!D:D)</f>
        <v>#N/A</v>
      </c>
      <c r="E429" s="104"/>
      <c r="F429" s="105" t="str">
        <f t="array" ref="F429">XLOOKUP(C429,'Master Data'!C:C,'Master Data'!D:D)</f>
        <v>#N/A</v>
      </c>
      <c r="G429" s="90" t="str">
        <f t="array" ref="G429">XLOOKUP(C429,'Master Data'!C:C,'Master Data'!E:E)</f>
        <v>#N/A</v>
      </c>
      <c r="H429" s="88" t="str">
        <f t="array" ref="H429">XLOOKUP(C429,'Master Data'!C:C,'Master Data'!F:F)</f>
        <v>#N/A</v>
      </c>
      <c r="I429" s="72" t="str">
        <f t="array" ref="I429">XLOOKUP(C429,'Master Data'!C:C,'Master Data'!G:G)</f>
        <v>#N/A</v>
      </c>
      <c r="J429" s="72" t="str">
        <f t="array" ref="J429">XLOOKUP(C429,'Master Data'!C:C,'Master Data'!H:H)</f>
        <v>#N/A</v>
      </c>
      <c r="K429" s="73"/>
      <c r="L429" s="149"/>
      <c r="M429" s="73"/>
      <c r="N429" s="73"/>
      <c r="O429" s="73"/>
      <c r="P429" s="73"/>
      <c r="Q429" s="73"/>
      <c r="R429" s="109"/>
      <c r="S429" s="4"/>
      <c r="T429" s="4"/>
      <c r="U429" s="4"/>
      <c r="V429" s="4"/>
      <c r="W429" s="4"/>
      <c r="X429" s="4"/>
      <c r="Y429" s="4"/>
      <c r="Z429" s="4"/>
      <c r="AA429" s="4"/>
      <c r="AB429" s="4"/>
      <c r="AC429" s="4"/>
      <c r="AD429" s="4"/>
      <c r="AE429" s="4"/>
      <c r="AF429" s="4"/>
    </row>
    <row r="430">
      <c r="A430" s="73"/>
      <c r="B430" s="73"/>
      <c r="C430" s="147"/>
      <c r="D430" s="103" t="str">
        <f t="array" ref="D430">XLOOKUP(C430,'Master Data'!C:C,'Master Data'!D:D)</f>
        <v>#N/A</v>
      </c>
      <c r="E430" s="104"/>
      <c r="F430" s="105" t="str">
        <f t="array" ref="F430">XLOOKUP(C430,'Master Data'!C:C,'Master Data'!D:D)</f>
        <v>#N/A</v>
      </c>
      <c r="G430" s="90" t="str">
        <f t="array" ref="G430">XLOOKUP(C430,'Master Data'!C:C,'Master Data'!E:E)</f>
        <v>#N/A</v>
      </c>
      <c r="H430" s="88" t="str">
        <f t="array" ref="H430">XLOOKUP(C430,'Master Data'!C:C,'Master Data'!F:F)</f>
        <v>#N/A</v>
      </c>
      <c r="I430" s="72" t="str">
        <f t="array" ref="I430">XLOOKUP(C430,'Master Data'!C:C,'Master Data'!G:G)</f>
        <v>#N/A</v>
      </c>
      <c r="J430" s="72" t="str">
        <f t="array" ref="J430">XLOOKUP(C430,'Master Data'!C:C,'Master Data'!H:H)</f>
        <v>#N/A</v>
      </c>
      <c r="K430" s="73"/>
      <c r="L430" s="149"/>
      <c r="M430" s="73"/>
      <c r="N430" s="73"/>
      <c r="O430" s="73"/>
      <c r="P430" s="73"/>
      <c r="Q430" s="73"/>
      <c r="R430" s="109"/>
      <c r="S430" s="4"/>
      <c r="T430" s="4"/>
      <c r="U430" s="4"/>
      <c r="V430" s="4"/>
      <c r="W430" s="4"/>
      <c r="X430" s="4"/>
      <c r="Y430" s="4"/>
      <c r="Z430" s="4"/>
      <c r="AA430" s="4"/>
      <c r="AB430" s="4"/>
      <c r="AC430" s="4"/>
      <c r="AD430" s="4"/>
      <c r="AE430" s="4"/>
      <c r="AF430" s="4"/>
    </row>
    <row r="431">
      <c r="A431" s="73"/>
      <c r="B431" s="73"/>
      <c r="C431" s="147"/>
      <c r="D431" s="103" t="str">
        <f t="array" ref="D431">XLOOKUP(C431,'Master Data'!C:C,'Master Data'!D:D)</f>
        <v>#N/A</v>
      </c>
      <c r="E431" s="104"/>
      <c r="F431" s="105" t="str">
        <f t="array" ref="F431">XLOOKUP(C431,'Master Data'!C:C,'Master Data'!D:D)</f>
        <v>#N/A</v>
      </c>
      <c r="G431" s="90" t="str">
        <f t="array" ref="G431">XLOOKUP(C431,'Master Data'!C:C,'Master Data'!E:E)</f>
        <v>#N/A</v>
      </c>
      <c r="H431" s="88" t="str">
        <f t="array" ref="H431">XLOOKUP(C431,'Master Data'!C:C,'Master Data'!F:F)</f>
        <v>#N/A</v>
      </c>
      <c r="I431" s="72" t="str">
        <f t="array" ref="I431">XLOOKUP(C431,'Master Data'!C:C,'Master Data'!G:G)</f>
        <v>#N/A</v>
      </c>
      <c r="J431" s="72" t="str">
        <f t="array" ref="J431">XLOOKUP(C431,'Master Data'!C:C,'Master Data'!H:H)</f>
        <v>#N/A</v>
      </c>
      <c r="K431" s="73"/>
      <c r="L431" s="149"/>
      <c r="M431" s="73"/>
      <c r="N431" s="73"/>
      <c r="O431" s="73"/>
      <c r="P431" s="73"/>
      <c r="Q431" s="73"/>
      <c r="R431" s="109"/>
      <c r="S431" s="4"/>
      <c r="T431" s="4"/>
      <c r="U431" s="4"/>
      <c r="V431" s="4"/>
      <c r="W431" s="4"/>
      <c r="X431" s="4"/>
      <c r="Y431" s="4"/>
      <c r="Z431" s="4"/>
      <c r="AA431" s="4"/>
      <c r="AB431" s="4"/>
      <c r="AC431" s="4"/>
      <c r="AD431" s="4"/>
      <c r="AE431" s="4"/>
      <c r="AF431" s="4"/>
    </row>
    <row r="432">
      <c r="A432" s="73"/>
      <c r="B432" s="73"/>
      <c r="C432" s="147"/>
      <c r="D432" s="103" t="str">
        <f t="array" ref="D432">XLOOKUP(C432,'Master Data'!C:C,'Master Data'!D:D)</f>
        <v>#N/A</v>
      </c>
      <c r="E432" s="104"/>
      <c r="F432" s="105" t="str">
        <f t="array" ref="F432">XLOOKUP(C432,'Master Data'!C:C,'Master Data'!D:D)</f>
        <v>#N/A</v>
      </c>
      <c r="G432" s="90" t="str">
        <f t="array" ref="G432">XLOOKUP(C432,'Master Data'!C:C,'Master Data'!E:E)</f>
        <v>#N/A</v>
      </c>
      <c r="H432" s="88" t="str">
        <f t="array" ref="H432">XLOOKUP(C432,'Master Data'!C:C,'Master Data'!F:F)</f>
        <v>#N/A</v>
      </c>
      <c r="I432" s="72" t="str">
        <f t="array" ref="I432">XLOOKUP(C432,'Master Data'!C:C,'Master Data'!G:G)</f>
        <v>#N/A</v>
      </c>
      <c r="J432" s="72" t="str">
        <f t="array" ref="J432">XLOOKUP(C432,'Master Data'!C:C,'Master Data'!H:H)</f>
        <v>#N/A</v>
      </c>
      <c r="K432" s="73"/>
      <c r="L432" s="149"/>
      <c r="M432" s="73"/>
      <c r="N432" s="73"/>
      <c r="O432" s="73"/>
      <c r="P432" s="73"/>
      <c r="Q432" s="73"/>
      <c r="R432" s="109"/>
      <c r="S432" s="4"/>
      <c r="T432" s="4"/>
      <c r="U432" s="4"/>
      <c r="V432" s="4"/>
      <c r="W432" s="4"/>
      <c r="X432" s="4"/>
      <c r="Y432" s="4"/>
      <c r="Z432" s="4"/>
      <c r="AA432" s="4"/>
      <c r="AB432" s="4"/>
      <c r="AC432" s="4"/>
      <c r="AD432" s="4"/>
      <c r="AE432" s="4"/>
      <c r="AF432" s="4"/>
    </row>
    <row r="433">
      <c r="A433" s="73"/>
      <c r="B433" s="73"/>
      <c r="C433" s="147"/>
      <c r="D433" s="103" t="str">
        <f t="array" ref="D433">XLOOKUP(C433,'Master Data'!C:C,'Master Data'!D:D)</f>
        <v>#N/A</v>
      </c>
      <c r="E433" s="104"/>
      <c r="F433" s="105" t="str">
        <f t="array" ref="F433">XLOOKUP(C433,'Master Data'!C:C,'Master Data'!D:D)</f>
        <v>#N/A</v>
      </c>
      <c r="G433" s="90" t="str">
        <f t="array" ref="G433">XLOOKUP(C433,'Master Data'!C:C,'Master Data'!E:E)</f>
        <v>#N/A</v>
      </c>
      <c r="H433" s="88" t="str">
        <f t="array" ref="H433">XLOOKUP(C433,'Master Data'!C:C,'Master Data'!F:F)</f>
        <v>#N/A</v>
      </c>
      <c r="I433" s="72" t="str">
        <f t="array" ref="I433">XLOOKUP(C433,'Master Data'!C:C,'Master Data'!G:G)</f>
        <v>#N/A</v>
      </c>
      <c r="J433" s="72" t="str">
        <f t="array" ref="J433">XLOOKUP(C433,'Master Data'!C:C,'Master Data'!H:H)</f>
        <v>#N/A</v>
      </c>
      <c r="K433" s="73"/>
      <c r="L433" s="149"/>
      <c r="M433" s="73"/>
      <c r="N433" s="73"/>
      <c r="O433" s="73"/>
      <c r="P433" s="73"/>
      <c r="Q433" s="73"/>
      <c r="R433" s="109"/>
      <c r="S433" s="4"/>
      <c r="T433" s="4"/>
      <c r="U433" s="4"/>
      <c r="V433" s="4"/>
      <c r="W433" s="4"/>
      <c r="X433" s="4"/>
      <c r="Y433" s="4"/>
      <c r="Z433" s="4"/>
      <c r="AA433" s="4"/>
      <c r="AB433" s="4"/>
      <c r="AC433" s="4"/>
      <c r="AD433" s="4"/>
      <c r="AE433" s="4"/>
      <c r="AF433" s="4"/>
    </row>
    <row r="434">
      <c r="A434" s="73"/>
      <c r="B434" s="73"/>
      <c r="C434" s="147"/>
      <c r="D434" s="103" t="str">
        <f t="array" ref="D434">XLOOKUP(C434,'Master Data'!C:C,'Master Data'!D:D)</f>
        <v>#N/A</v>
      </c>
      <c r="E434" s="104"/>
      <c r="F434" s="105" t="str">
        <f t="array" ref="F434">XLOOKUP(C434,'Master Data'!C:C,'Master Data'!D:D)</f>
        <v>#N/A</v>
      </c>
      <c r="G434" s="90" t="str">
        <f t="array" ref="G434">XLOOKUP(C434,'Master Data'!C:C,'Master Data'!E:E)</f>
        <v>#N/A</v>
      </c>
      <c r="H434" s="88" t="str">
        <f t="array" ref="H434">XLOOKUP(C434,'Master Data'!C:C,'Master Data'!F:F)</f>
        <v>#N/A</v>
      </c>
      <c r="I434" s="72" t="str">
        <f t="array" ref="I434">XLOOKUP(C434,'Master Data'!C:C,'Master Data'!G:G)</f>
        <v>#N/A</v>
      </c>
      <c r="J434" s="72" t="str">
        <f t="array" ref="J434">XLOOKUP(C434,'Master Data'!C:C,'Master Data'!H:H)</f>
        <v>#N/A</v>
      </c>
      <c r="K434" s="73"/>
      <c r="L434" s="149"/>
      <c r="M434" s="73"/>
      <c r="N434" s="73"/>
      <c r="O434" s="73"/>
      <c r="P434" s="73"/>
      <c r="Q434" s="73"/>
      <c r="R434" s="109"/>
      <c r="S434" s="4"/>
      <c r="T434" s="4"/>
      <c r="U434" s="4"/>
      <c r="V434" s="4"/>
      <c r="W434" s="4"/>
      <c r="X434" s="4"/>
      <c r="Y434" s="4"/>
      <c r="Z434" s="4"/>
      <c r="AA434" s="4"/>
      <c r="AB434" s="4"/>
      <c r="AC434" s="4"/>
      <c r="AD434" s="4"/>
      <c r="AE434" s="4"/>
      <c r="AF434" s="4"/>
    </row>
    <row r="435">
      <c r="A435" s="73"/>
      <c r="B435" s="73"/>
      <c r="C435" s="147"/>
      <c r="D435" s="103" t="str">
        <f t="array" ref="D435">XLOOKUP(C435,'Master Data'!C:C,'Master Data'!D:D)</f>
        <v>#N/A</v>
      </c>
      <c r="E435" s="104"/>
      <c r="F435" s="105" t="str">
        <f t="array" ref="F435">XLOOKUP(C435,'Master Data'!C:C,'Master Data'!D:D)</f>
        <v>#N/A</v>
      </c>
      <c r="G435" s="90" t="str">
        <f t="array" ref="G435">XLOOKUP(C435,'Master Data'!C:C,'Master Data'!E:E)</f>
        <v>#N/A</v>
      </c>
      <c r="H435" s="88" t="str">
        <f t="array" ref="H435">XLOOKUP(C435,'Master Data'!C:C,'Master Data'!F:F)</f>
        <v>#N/A</v>
      </c>
      <c r="I435" s="72" t="str">
        <f t="array" ref="I435">XLOOKUP(C435,'Master Data'!C:C,'Master Data'!G:G)</f>
        <v>#N/A</v>
      </c>
      <c r="J435" s="72" t="str">
        <f t="array" ref="J435">XLOOKUP(C435,'Master Data'!C:C,'Master Data'!H:H)</f>
        <v>#N/A</v>
      </c>
      <c r="K435" s="73"/>
      <c r="L435" s="149"/>
      <c r="M435" s="73"/>
      <c r="N435" s="73"/>
      <c r="O435" s="73"/>
      <c r="P435" s="73"/>
      <c r="Q435" s="73"/>
      <c r="R435" s="109"/>
      <c r="S435" s="4"/>
      <c r="T435" s="4"/>
      <c r="U435" s="4"/>
      <c r="V435" s="4"/>
      <c r="W435" s="4"/>
      <c r="X435" s="4"/>
      <c r="Y435" s="4"/>
      <c r="Z435" s="4"/>
      <c r="AA435" s="4"/>
      <c r="AB435" s="4"/>
      <c r="AC435" s="4"/>
      <c r="AD435" s="4"/>
      <c r="AE435" s="4"/>
      <c r="AF435" s="4"/>
    </row>
    <row r="436">
      <c r="A436" s="73"/>
      <c r="B436" s="73"/>
      <c r="C436" s="147"/>
      <c r="D436" s="103" t="str">
        <f t="array" ref="D436">XLOOKUP(C436,'Master Data'!C:C,'Master Data'!D:D)</f>
        <v>#N/A</v>
      </c>
      <c r="E436" s="104"/>
      <c r="F436" s="105" t="str">
        <f t="array" ref="F436">XLOOKUP(C436,'Master Data'!C:C,'Master Data'!D:D)</f>
        <v>#N/A</v>
      </c>
      <c r="G436" s="90" t="str">
        <f t="array" ref="G436">XLOOKUP(C436,'Master Data'!C:C,'Master Data'!E:E)</f>
        <v>#N/A</v>
      </c>
      <c r="H436" s="88" t="str">
        <f t="array" ref="H436">XLOOKUP(C436,'Master Data'!C:C,'Master Data'!F:F)</f>
        <v>#N/A</v>
      </c>
      <c r="I436" s="72" t="str">
        <f t="array" ref="I436">XLOOKUP(C436,'Master Data'!C:C,'Master Data'!G:G)</f>
        <v>#N/A</v>
      </c>
      <c r="J436" s="72" t="str">
        <f t="array" ref="J436">XLOOKUP(C436,'Master Data'!C:C,'Master Data'!H:H)</f>
        <v>#N/A</v>
      </c>
      <c r="K436" s="73"/>
      <c r="L436" s="149"/>
      <c r="M436" s="73"/>
      <c r="N436" s="73"/>
      <c r="O436" s="73"/>
      <c r="P436" s="73"/>
      <c r="Q436" s="73"/>
      <c r="R436" s="109"/>
      <c r="S436" s="4"/>
      <c r="T436" s="4"/>
      <c r="U436" s="4"/>
      <c r="V436" s="4"/>
      <c r="W436" s="4"/>
      <c r="X436" s="4"/>
      <c r="Y436" s="4"/>
      <c r="Z436" s="4"/>
      <c r="AA436" s="4"/>
      <c r="AB436" s="4"/>
      <c r="AC436" s="4"/>
      <c r="AD436" s="4"/>
      <c r="AE436" s="4"/>
      <c r="AF436" s="4"/>
    </row>
    <row r="437">
      <c r="A437" s="73"/>
      <c r="B437" s="73"/>
      <c r="C437" s="147"/>
      <c r="D437" s="103" t="str">
        <f t="array" ref="D437">XLOOKUP(C437,'Master Data'!C:C,'Master Data'!D:D)</f>
        <v>#N/A</v>
      </c>
      <c r="E437" s="104"/>
      <c r="F437" s="105" t="str">
        <f t="array" ref="F437">XLOOKUP(C437,'Master Data'!C:C,'Master Data'!D:D)</f>
        <v>#N/A</v>
      </c>
      <c r="G437" s="90" t="str">
        <f t="array" ref="G437">XLOOKUP(C437,'Master Data'!C:C,'Master Data'!E:E)</f>
        <v>#N/A</v>
      </c>
      <c r="H437" s="88" t="str">
        <f t="array" ref="H437">XLOOKUP(C437,'Master Data'!C:C,'Master Data'!F:F)</f>
        <v>#N/A</v>
      </c>
      <c r="I437" s="72" t="str">
        <f t="array" ref="I437">XLOOKUP(C437,'Master Data'!C:C,'Master Data'!G:G)</f>
        <v>#N/A</v>
      </c>
      <c r="J437" s="72" t="str">
        <f t="array" ref="J437">XLOOKUP(C437,'Master Data'!C:C,'Master Data'!H:H)</f>
        <v>#N/A</v>
      </c>
      <c r="K437" s="73"/>
      <c r="L437" s="149"/>
      <c r="M437" s="73"/>
      <c r="N437" s="73"/>
      <c r="O437" s="73"/>
      <c r="P437" s="73"/>
      <c r="Q437" s="73"/>
      <c r="R437" s="109"/>
      <c r="S437" s="4"/>
      <c r="T437" s="4"/>
      <c r="U437" s="4"/>
      <c r="V437" s="4"/>
      <c r="W437" s="4"/>
      <c r="X437" s="4"/>
      <c r="Y437" s="4"/>
      <c r="Z437" s="4"/>
      <c r="AA437" s="4"/>
      <c r="AB437" s="4"/>
      <c r="AC437" s="4"/>
      <c r="AD437" s="4"/>
      <c r="AE437" s="4"/>
      <c r="AF437" s="4"/>
    </row>
    <row r="438">
      <c r="A438" s="73"/>
      <c r="B438" s="73"/>
      <c r="C438" s="147"/>
      <c r="D438" s="103" t="str">
        <f t="array" ref="D438">XLOOKUP(C438,'Master Data'!C:C,'Master Data'!D:D)</f>
        <v>#N/A</v>
      </c>
      <c r="E438" s="104"/>
      <c r="F438" s="105" t="str">
        <f t="array" ref="F438">XLOOKUP(C438,'Master Data'!C:C,'Master Data'!D:D)</f>
        <v>#N/A</v>
      </c>
      <c r="G438" s="90" t="str">
        <f t="array" ref="G438">XLOOKUP(C438,'Master Data'!C:C,'Master Data'!E:E)</f>
        <v>#N/A</v>
      </c>
      <c r="H438" s="88" t="str">
        <f t="array" ref="H438">XLOOKUP(C438,'Master Data'!C:C,'Master Data'!F:F)</f>
        <v>#N/A</v>
      </c>
      <c r="I438" s="72" t="str">
        <f t="array" ref="I438">XLOOKUP(C438,'Master Data'!C:C,'Master Data'!G:G)</f>
        <v>#N/A</v>
      </c>
      <c r="J438" s="72" t="str">
        <f t="array" ref="J438">XLOOKUP(C438,'Master Data'!C:C,'Master Data'!H:H)</f>
        <v>#N/A</v>
      </c>
      <c r="K438" s="73"/>
      <c r="L438" s="149"/>
      <c r="M438" s="73"/>
      <c r="N438" s="73"/>
      <c r="O438" s="73"/>
      <c r="P438" s="73"/>
      <c r="Q438" s="73"/>
      <c r="R438" s="109"/>
      <c r="S438" s="4"/>
      <c r="T438" s="4"/>
      <c r="U438" s="4"/>
      <c r="V438" s="4"/>
      <c r="W438" s="4"/>
      <c r="X438" s="4"/>
      <c r="Y438" s="4"/>
      <c r="Z438" s="4"/>
      <c r="AA438" s="4"/>
      <c r="AB438" s="4"/>
      <c r="AC438" s="4"/>
      <c r="AD438" s="4"/>
      <c r="AE438" s="4"/>
      <c r="AF438" s="4"/>
    </row>
    <row r="439">
      <c r="A439" s="73"/>
      <c r="B439" s="73"/>
      <c r="C439" s="147"/>
      <c r="D439" s="103" t="str">
        <f t="array" ref="D439">XLOOKUP(C439,'Master Data'!C:C,'Master Data'!D:D)</f>
        <v>#N/A</v>
      </c>
      <c r="E439" s="104"/>
      <c r="F439" s="105" t="str">
        <f t="array" ref="F439">XLOOKUP(C439,'Master Data'!C:C,'Master Data'!D:D)</f>
        <v>#N/A</v>
      </c>
      <c r="G439" s="90" t="str">
        <f t="array" ref="G439">XLOOKUP(C439,'Master Data'!C:C,'Master Data'!E:E)</f>
        <v>#N/A</v>
      </c>
      <c r="H439" s="88" t="str">
        <f t="array" ref="H439">XLOOKUP(C439,'Master Data'!C:C,'Master Data'!F:F)</f>
        <v>#N/A</v>
      </c>
      <c r="I439" s="72" t="str">
        <f t="array" ref="I439">XLOOKUP(C439,'Master Data'!C:C,'Master Data'!G:G)</f>
        <v>#N/A</v>
      </c>
      <c r="J439" s="72" t="str">
        <f t="array" ref="J439">XLOOKUP(C439,'Master Data'!C:C,'Master Data'!H:H)</f>
        <v>#N/A</v>
      </c>
      <c r="K439" s="73"/>
      <c r="L439" s="149"/>
      <c r="M439" s="73"/>
      <c r="N439" s="73"/>
      <c r="O439" s="73"/>
      <c r="P439" s="73"/>
      <c r="Q439" s="73"/>
      <c r="R439" s="109"/>
      <c r="S439" s="4"/>
      <c r="T439" s="4"/>
      <c r="U439" s="4"/>
      <c r="V439" s="4"/>
      <c r="W439" s="4"/>
      <c r="X439" s="4"/>
      <c r="Y439" s="4"/>
      <c r="Z439" s="4"/>
      <c r="AA439" s="4"/>
      <c r="AB439" s="4"/>
      <c r="AC439" s="4"/>
      <c r="AD439" s="4"/>
      <c r="AE439" s="4"/>
      <c r="AF439" s="4"/>
    </row>
    <row r="440">
      <c r="A440" s="73"/>
      <c r="B440" s="73"/>
      <c r="C440" s="147"/>
      <c r="D440" s="103" t="str">
        <f t="array" ref="D440">XLOOKUP(C440,'Master Data'!C:C,'Master Data'!D:D)</f>
        <v>#N/A</v>
      </c>
      <c r="E440" s="104"/>
      <c r="F440" s="105" t="str">
        <f t="array" ref="F440">XLOOKUP(C440,'Master Data'!C:C,'Master Data'!D:D)</f>
        <v>#N/A</v>
      </c>
      <c r="G440" s="90" t="str">
        <f t="array" ref="G440">XLOOKUP(C440,'Master Data'!C:C,'Master Data'!E:E)</f>
        <v>#N/A</v>
      </c>
      <c r="H440" s="88" t="str">
        <f t="array" ref="H440">XLOOKUP(C440,'Master Data'!C:C,'Master Data'!F:F)</f>
        <v>#N/A</v>
      </c>
      <c r="I440" s="72" t="str">
        <f t="array" ref="I440">XLOOKUP(C440,'Master Data'!C:C,'Master Data'!G:G)</f>
        <v>#N/A</v>
      </c>
      <c r="J440" s="72" t="str">
        <f t="array" ref="J440">XLOOKUP(C440,'Master Data'!C:C,'Master Data'!H:H)</f>
        <v>#N/A</v>
      </c>
      <c r="K440" s="73"/>
      <c r="L440" s="149"/>
      <c r="M440" s="73"/>
      <c r="N440" s="73"/>
      <c r="O440" s="73"/>
      <c r="P440" s="73"/>
      <c r="Q440" s="73"/>
      <c r="R440" s="109"/>
      <c r="S440" s="4"/>
      <c r="T440" s="4"/>
      <c r="U440" s="4"/>
      <c r="V440" s="4"/>
      <c r="W440" s="4"/>
      <c r="X440" s="4"/>
      <c r="Y440" s="4"/>
      <c r="Z440" s="4"/>
      <c r="AA440" s="4"/>
      <c r="AB440" s="4"/>
      <c r="AC440" s="4"/>
      <c r="AD440" s="4"/>
      <c r="AE440" s="4"/>
      <c r="AF440" s="4"/>
    </row>
    <row r="441">
      <c r="A441" s="73"/>
      <c r="B441" s="73"/>
      <c r="C441" s="147"/>
      <c r="D441" s="103" t="str">
        <f t="array" ref="D441">XLOOKUP(C441,'Master Data'!C:C,'Master Data'!D:D)</f>
        <v>#N/A</v>
      </c>
      <c r="E441" s="104"/>
      <c r="F441" s="105" t="str">
        <f t="array" ref="F441">XLOOKUP(C441,'Master Data'!C:C,'Master Data'!D:D)</f>
        <v>#N/A</v>
      </c>
      <c r="G441" s="90" t="str">
        <f t="array" ref="G441">XLOOKUP(C441,'Master Data'!C:C,'Master Data'!E:E)</f>
        <v>#N/A</v>
      </c>
      <c r="H441" s="88" t="str">
        <f t="array" ref="H441">XLOOKUP(C441,'Master Data'!C:C,'Master Data'!F:F)</f>
        <v>#N/A</v>
      </c>
      <c r="I441" s="72" t="str">
        <f t="array" ref="I441">XLOOKUP(C441,'Master Data'!C:C,'Master Data'!G:G)</f>
        <v>#N/A</v>
      </c>
      <c r="J441" s="72" t="str">
        <f t="array" ref="J441">XLOOKUP(C441,'Master Data'!C:C,'Master Data'!H:H)</f>
        <v>#N/A</v>
      </c>
      <c r="K441" s="73"/>
      <c r="L441" s="149"/>
      <c r="M441" s="73"/>
      <c r="N441" s="73"/>
      <c r="O441" s="73"/>
      <c r="P441" s="73"/>
      <c r="Q441" s="73"/>
      <c r="R441" s="109"/>
      <c r="S441" s="4"/>
      <c r="T441" s="4"/>
      <c r="U441" s="4"/>
      <c r="V441" s="4"/>
      <c r="W441" s="4"/>
      <c r="X441" s="4"/>
      <c r="Y441" s="4"/>
      <c r="Z441" s="4"/>
      <c r="AA441" s="4"/>
      <c r="AB441" s="4"/>
      <c r="AC441" s="4"/>
      <c r="AD441" s="4"/>
      <c r="AE441" s="4"/>
      <c r="AF441" s="4"/>
    </row>
    <row r="442">
      <c r="A442" s="73"/>
      <c r="B442" s="73"/>
      <c r="C442" s="147"/>
      <c r="D442" s="103" t="str">
        <f t="array" ref="D442">XLOOKUP(C442,'Master Data'!C:C,'Master Data'!D:D)</f>
        <v>#N/A</v>
      </c>
      <c r="E442" s="104"/>
      <c r="F442" s="105" t="str">
        <f t="array" ref="F442">XLOOKUP(C442,'Master Data'!C:C,'Master Data'!D:D)</f>
        <v>#N/A</v>
      </c>
      <c r="G442" s="90" t="str">
        <f t="array" ref="G442">XLOOKUP(C442,'Master Data'!C:C,'Master Data'!E:E)</f>
        <v>#N/A</v>
      </c>
      <c r="H442" s="88" t="str">
        <f t="array" ref="H442">XLOOKUP(C442,'Master Data'!C:C,'Master Data'!F:F)</f>
        <v>#N/A</v>
      </c>
      <c r="I442" s="72" t="str">
        <f t="array" ref="I442">XLOOKUP(C442,'Master Data'!C:C,'Master Data'!G:G)</f>
        <v>#N/A</v>
      </c>
      <c r="J442" s="72" t="str">
        <f t="array" ref="J442">XLOOKUP(C442,'Master Data'!C:C,'Master Data'!H:H)</f>
        <v>#N/A</v>
      </c>
      <c r="K442" s="73"/>
      <c r="L442" s="149"/>
      <c r="M442" s="73"/>
      <c r="N442" s="73"/>
      <c r="O442" s="73"/>
      <c r="P442" s="73"/>
      <c r="Q442" s="73"/>
      <c r="R442" s="109"/>
      <c r="S442" s="4"/>
      <c r="T442" s="4"/>
      <c r="U442" s="4"/>
      <c r="V442" s="4"/>
      <c r="W442" s="4"/>
      <c r="X442" s="4"/>
      <c r="Y442" s="4"/>
      <c r="Z442" s="4"/>
      <c r="AA442" s="4"/>
      <c r="AB442" s="4"/>
      <c r="AC442" s="4"/>
      <c r="AD442" s="4"/>
      <c r="AE442" s="4"/>
      <c r="AF442" s="4"/>
    </row>
    <row r="443">
      <c r="A443" s="73"/>
      <c r="B443" s="73"/>
      <c r="C443" s="147"/>
      <c r="D443" s="103" t="str">
        <f t="array" ref="D443">XLOOKUP(C443,'Master Data'!C:C,'Master Data'!D:D)</f>
        <v>#N/A</v>
      </c>
      <c r="E443" s="104"/>
      <c r="F443" s="105" t="str">
        <f t="array" ref="F443">XLOOKUP(C443,'Master Data'!C:C,'Master Data'!D:D)</f>
        <v>#N/A</v>
      </c>
      <c r="G443" s="90" t="str">
        <f t="array" ref="G443">XLOOKUP(C443,'Master Data'!C:C,'Master Data'!E:E)</f>
        <v>#N/A</v>
      </c>
      <c r="H443" s="88" t="str">
        <f t="array" ref="H443">XLOOKUP(C443,'Master Data'!C:C,'Master Data'!F:F)</f>
        <v>#N/A</v>
      </c>
      <c r="I443" s="72" t="str">
        <f t="array" ref="I443">XLOOKUP(C443,'Master Data'!C:C,'Master Data'!G:G)</f>
        <v>#N/A</v>
      </c>
      <c r="J443" s="72" t="str">
        <f t="array" ref="J443">XLOOKUP(C443,'Master Data'!C:C,'Master Data'!H:H)</f>
        <v>#N/A</v>
      </c>
      <c r="K443" s="73"/>
      <c r="L443" s="149"/>
      <c r="M443" s="73"/>
      <c r="N443" s="73"/>
      <c r="O443" s="73"/>
      <c r="P443" s="73"/>
      <c r="Q443" s="73"/>
      <c r="R443" s="109"/>
      <c r="S443" s="4"/>
      <c r="T443" s="4"/>
      <c r="U443" s="4"/>
      <c r="V443" s="4"/>
      <c r="W443" s="4"/>
      <c r="X443" s="4"/>
      <c r="Y443" s="4"/>
      <c r="Z443" s="4"/>
      <c r="AA443" s="4"/>
      <c r="AB443" s="4"/>
      <c r="AC443" s="4"/>
      <c r="AD443" s="4"/>
      <c r="AE443" s="4"/>
      <c r="AF443" s="4"/>
    </row>
    <row r="444">
      <c r="A444" s="73"/>
      <c r="B444" s="73"/>
      <c r="C444" s="147"/>
      <c r="D444" s="103" t="str">
        <f t="array" ref="D444">XLOOKUP(C444,'Master Data'!C:C,'Master Data'!D:D)</f>
        <v>#N/A</v>
      </c>
      <c r="E444" s="104"/>
      <c r="F444" s="105" t="str">
        <f t="array" ref="F444">XLOOKUP(C444,'Master Data'!C:C,'Master Data'!D:D)</f>
        <v>#N/A</v>
      </c>
      <c r="G444" s="90" t="str">
        <f t="array" ref="G444">XLOOKUP(C444,'Master Data'!C:C,'Master Data'!E:E)</f>
        <v>#N/A</v>
      </c>
      <c r="H444" s="88" t="str">
        <f t="array" ref="H444">XLOOKUP(C444,'Master Data'!C:C,'Master Data'!F:F)</f>
        <v>#N/A</v>
      </c>
      <c r="I444" s="72" t="str">
        <f t="array" ref="I444">XLOOKUP(C444,'Master Data'!C:C,'Master Data'!G:G)</f>
        <v>#N/A</v>
      </c>
      <c r="J444" s="72" t="str">
        <f t="array" ref="J444">XLOOKUP(C444,'Master Data'!C:C,'Master Data'!H:H)</f>
        <v>#N/A</v>
      </c>
      <c r="K444" s="73"/>
      <c r="L444" s="149"/>
      <c r="M444" s="73"/>
      <c r="N444" s="73"/>
      <c r="O444" s="73"/>
      <c r="P444" s="73"/>
      <c r="Q444" s="73"/>
      <c r="R444" s="109"/>
      <c r="S444" s="4"/>
      <c r="T444" s="4"/>
      <c r="U444" s="4"/>
      <c r="V444" s="4"/>
      <c r="W444" s="4"/>
      <c r="X444" s="4"/>
      <c r="Y444" s="4"/>
      <c r="Z444" s="4"/>
      <c r="AA444" s="4"/>
      <c r="AB444" s="4"/>
      <c r="AC444" s="4"/>
      <c r="AD444" s="4"/>
      <c r="AE444" s="4"/>
      <c r="AF444" s="4"/>
    </row>
    <row r="445">
      <c r="A445" s="73"/>
      <c r="B445" s="73"/>
      <c r="C445" s="147"/>
      <c r="D445" s="103" t="str">
        <f t="array" ref="D445">XLOOKUP(C445,'Master Data'!C:C,'Master Data'!D:D)</f>
        <v>#N/A</v>
      </c>
      <c r="E445" s="104"/>
      <c r="F445" s="105" t="str">
        <f t="array" ref="F445">XLOOKUP(C445,'Master Data'!C:C,'Master Data'!D:D)</f>
        <v>#N/A</v>
      </c>
      <c r="G445" s="90" t="str">
        <f t="array" ref="G445">XLOOKUP(C445,'Master Data'!C:C,'Master Data'!E:E)</f>
        <v>#N/A</v>
      </c>
      <c r="H445" s="88" t="str">
        <f t="array" ref="H445">XLOOKUP(C445,'Master Data'!C:C,'Master Data'!F:F)</f>
        <v>#N/A</v>
      </c>
      <c r="I445" s="72" t="str">
        <f t="array" ref="I445">XLOOKUP(C445,'Master Data'!C:C,'Master Data'!G:G)</f>
        <v>#N/A</v>
      </c>
      <c r="J445" s="72" t="str">
        <f t="array" ref="J445">XLOOKUP(C445,'Master Data'!C:C,'Master Data'!H:H)</f>
        <v>#N/A</v>
      </c>
      <c r="K445" s="73"/>
      <c r="L445" s="149"/>
      <c r="M445" s="73"/>
      <c r="N445" s="73"/>
      <c r="O445" s="73"/>
      <c r="P445" s="73"/>
      <c r="Q445" s="73"/>
      <c r="R445" s="109"/>
      <c r="S445" s="4"/>
      <c r="T445" s="4"/>
      <c r="U445" s="4"/>
      <c r="V445" s="4"/>
      <c r="W445" s="4"/>
      <c r="X445" s="4"/>
      <c r="Y445" s="4"/>
      <c r="Z445" s="4"/>
      <c r="AA445" s="4"/>
      <c r="AB445" s="4"/>
      <c r="AC445" s="4"/>
      <c r="AD445" s="4"/>
      <c r="AE445" s="4"/>
      <c r="AF445" s="4"/>
    </row>
    <row r="446">
      <c r="A446" s="73"/>
      <c r="B446" s="73"/>
      <c r="C446" s="147"/>
      <c r="D446" s="103" t="str">
        <f t="array" ref="D446">XLOOKUP(C446,'Master Data'!C:C,'Master Data'!D:D)</f>
        <v>#N/A</v>
      </c>
      <c r="E446" s="104"/>
      <c r="F446" s="105" t="str">
        <f t="array" ref="F446">XLOOKUP(C446,'Master Data'!C:C,'Master Data'!D:D)</f>
        <v>#N/A</v>
      </c>
      <c r="G446" s="90" t="str">
        <f t="array" ref="G446">XLOOKUP(C446,'Master Data'!C:C,'Master Data'!E:E)</f>
        <v>#N/A</v>
      </c>
      <c r="H446" s="88" t="str">
        <f t="array" ref="H446">XLOOKUP(C446,'Master Data'!C:C,'Master Data'!F:F)</f>
        <v>#N/A</v>
      </c>
      <c r="I446" s="72" t="str">
        <f t="array" ref="I446">XLOOKUP(C446,'Master Data'!C:C,'Master Data'!G:G)</f>
        <v>#N/A</v>
      </c>
      <c r="J446" s="72" t="str">
        <f t="array" ref="J446">XLOOKUP(C446,'Master Data'!C:C,'Master Data'!H:H)</f>
        <v>#N/A</v>
      </c>
      <c r="K446" s="73"/>
      <c r="L446" s="149"/>
      <c r="M446" s="73"/>
      <c r="N446" s="73"/>
      <c r="O446" s="73"/>
      <c r="P446" s="73"/>
      <c r="Q446" s="73"/>
      <c r="R446" s="109"/>
      <c r="S446" s="4"/>
      <c r="T446" s="4"/>
      <c r="U446" s="4"/>
      <c r="V446" s="4"/>
      <c r="W446" s="4"/>
      <c r="X446" s="4"/>
      <c r="Y446" s="4"/>
      <c r="Z446" s="4"/>
      <c r="AA446" s="4"/>
      <c r="AB446" s="4"/>
      <c r="AC446" s="4"/>
      <c r="AD446" s="4"/>
      <c r="AE446" s="4"/>
      <c r="AF446" s="4"/>
    </row>
    <row r="447">
      <c r="A447" s="73"/>
      <c r="B447" s="73"/>
      <c r="C447" s="147"/>
      <c r="D447" s="103" t="str">
        <f t="array" ref="D447">XLOOKUP(C447,'Master Data'!C:C,'Master Data'!D:D)</f>
        <v>#N/A</v>
      </c>
      <c r="E447" s="104"/>
      <c r="F447" s="105" t="str">
        <f t="array" ref="F447">XLOOKUP(C447,'Master Data'!C:C,'Master Data'!D:D)</f>
        <v>#N/A</v>
      </c>
      <c r="G447" s="90" t="str">
        <f t="array" ref="G447">XLOOKUP(C447,'Master Data'!C:C,'Master Data'!E:E)</f>
        <v>#N/A</v>
      </c>
      <c r="H447" s="88" t="str">
        <f t="array" ref="H447">XLOOKUP(C447,'Master Data'!C:C,'Master Data'!F:F)</f>
        <v>#N/A</v>
      </c>
      <c r="I447" s="72" t="str">
        <f t="array" ref="I447">XLOOKUP(C447,'Master Data'!C:C,'Master Data'!G:G)</f>
        <v>#N/A</v>
      </c>
      <c r="J447" s="72" t="str">
        <f t="array" ref="J447">XLOOKUP(C447,'Master Data'!C:C,'Master Data'!H:H)</f>
        <v>#N/A</v>
      </c>
      <c r="K447" s="73"/>
      <c r="L447" s="149"/>
      <c r="M447" s="73"/>
      <c r="N447" s="73"/>
      <c r="O447" s="73"/>
      <c r="P447" s="73"/>
      <c r="Q447" s="73"/>
      <c r="R447" s="109"/>
      <c r="S447" s="4"/>
      <c r="T447" s="4"/>
      <c r="U447" s="4"/>
      <c r="V447" s="4"/>
      <c r="W447" s="4"/>
      <c r="X447" s="4"/>
      <c r="Y447" s="4"/>
      <c r="Z447" s="4"/>
      <c r="AA447" s="4"/>
      <c r="AB447" s="4"/>
      <c r="AC447" s="4"/>
      <c r="AD447" s="4"/>
      <c r="AE447" s="4"/>
      <c r="AF447" s="4"/>
    </row>
    <row r="448">
      <c r="A448" s="73"/>
      <c r="B448" s="73"/>
      <c r="C448" s="147"/>
      <c r="D448" s="103" t="str">
        <f t="array" ref="D448">XLOOKUP(C448,'Master Data'!C:C,'Master Data'!D:D)</f>
        <v>#N/A</v>
      </c>
      <c r="E448" s="104"/>
      <c r="F448" s="105" t="str">
        <f t="array" ref="F448">XLOOKUP(C448,'Master Data'!C:C,'Master Data'!D:D)</f>
        <v>#N/A</v>
      </c>
      <c r="G448" s="90" t="str">
        <f t="array" ref="G448">XLOOKUP(C448,'Master Data'!C:C,'Master Data'!E:E)</f>
        <v>#N/A</v>
      </c>
      <c r="H448" s="88" t="str">
        <f t="array" ref="H448">XLOOKUP(C448,'Master Data'!C:C,'Master Data'!F:F)</f>
        <v>#N/A</v>
      </c>
      <c r="I448" s="72" t="str">
        <f t="array" ref="I448">XLOOKUP(C448,'Master Data'!C:C,'Master Data'!G:G)</f>
        <v>#N/A</v>
      </c>
      <c r="J448" s="72" t="str">
        <f t="array" ref="J448">XLOOKUP(C448,'Master Data'!C:C,'Master Data'!H:H)</f>
        <v>#N/A</v>
      </c>
      <c r="K448" s="73"/>
      <c r="L448" s="149"/>
      <c r="M448" s="73"/>
      <c r="N448" s="73"/>
      <c r="O448" s="73"/>
      <c r="P448" s="73"/>
      <c r="Q448" s="73"/>
      <c r="R448" s="109"/>
      <c r="S448" s="4"/>
      <c r="T448" s="4"/>
      <c r="U448" s="4"/>
      <c r="V448" s="4"/>
      <c r="W448" s="4"/>
      <c r="X448" s="4"/>
      <c r="Y448" s="4"/>
      <c r="Z448" s="4"/>
      <c r="AA448" s="4"/>
      <c r="AB448" s="4"/>
      <c r="AC448" s="4"/>
      <c r="AD448" s="4"/>
      <c r="AE448" s="4"/>
      <c r="AF448" s="4"/>
    </row>
    <row r="449">
      <c r="A449" s="73"/>
      <c r="B449" s="73"/>
      <c r="C449" s="147"/>
      <c r="D449" s="103" t="str">
        <f t="array" ref="D449">XLOOKUP(C449,'Master Data'!C:C,'Master Data'!D:D)</f>
        <v>#N/A</v>
      </c>
      <c r="E449" s="104"/>
      <c r="F449" s="105" t="str">
        <f t="array" ref="F449">XLOOKUP(C449,'Master Data'!C:C,'Master Data'!D:D)</f>
        <v>#N/A</v>
      </c>
      <c r="G449" s="90" t="str">
        <f t="array" ref="G449">XLOOKUP(C449,'Master Data'!C:C,'Master Data'!E:E)</f>
        <v>#N/A</v>
      </c>
      <c r="H449" s="88" t="str">
        <f t="array" ref="H449">XLOOKUP(C449,'Master Data'!C:C,'Master Data'!F:F)</f>
        <v>#N/A</v>
      </c>
      <c r="I449" s="72" t="str">
        <f t="array" ref="I449">XLOOKUP(C449,'Master Data'!C:C,'Master Data'!G:G)</f>
        <v>#N/A</v>
      </c>
      <c r="J449" s="72" t="str">
        <f t="array" ref="J449">XLOOKUP(C449,'Master Data'!C:C,'Master Data'!H:H)</f>
        <v>#N/A</v>
      </c>
      <c r="K449" s="73"/>
      <c r="L449" s="149"/>
      <c r="M449" s="73"/>
      <c r="N449" s="73"/>
      <c r="O449" s="73"/>
      <c r="P449" s="73"/>
      <c r="Q449" s="73"/>
      <c r="R449" s="109"/>
      <c r="S449" s="4"/>
      <c r="T449" s="4"/>
      <c r="U449" s="4"/>
      <c r="V449" s="4"/>
      <c r="W449" s="4"/>
      <c r="X449" s="4"/>
      <c r="Y449" s="4"/>
      <c r="Z449" s="4"/>
      <c r="AA449" s="4"/>
      <c r="AB449" s="4"/>
      <c r="AC449" s="4"/>
      <c r="AD449" s="4"/>
      <c r="AE449" s="4"/>
      <c r="AF449" s="4"/>
    </row>
    <row r="450">
      <c r="A450" s="73"/>
      <c r="B450" s="73"/>
      <c r="C450" s="147"/>
      <c r="D450" s="103" t="str">
        <f t="array" ref="D450">XLOOKUP(C450,'Master Data'!C:C,'Master Data'!D:D)</f>
        <v>#N/A</v>
      </c>
      <c r="E450" s="104"/>
      <c r="F450" s="105" t="str">
        <f t="array" ref="F450">XLOOKUP(C450,'Master Data'!C:C,'Master Data'!D:D)</f>
        <v>#N/A</v>
      </c>
      <c r="G450" s="90" t="str">
        <f t="array" ref="G450">XLOOKUP(C450,'Master Data'!C:C,'Master Data'!E:E)</f>
        <v>#N/A</v>
      </c>
      <c r="H450" s="88" t="str">
        <f t="array" ref="H450">XLOOKUP(C450,'Master Data'!C:C,'Master Data'!F:F)</f>
        <v>#N/A</v>
      </c>
      <c r="I450" s="72" t="str">
        <f t="array" ref="I450">XLOOKUP(C450,'Master Data'!C:C,'Master Data'!G:G)</f>
        <v>#N/A</v>
      </c>
      <c r="J450" s="72" t="str">
        <f t="array" ref="J450">XLOOKUP(C450,'Master Data'!C:C,'Master Data'!H:H)</f>
        <v>#N/A</v>
      </c>
      <c r="K450" s="73"/>
      <c r="L450" s="149"/>
      <c r="M450" s="73"/>
      <c r="N450" s="73"/>
      <c r="O450" s="73"/>
      <c r="P450" s="73"/>
      <c r="Q450" s="73"/>
      <c r="R450" s="109"/>
      <c r="S450" s="4"/>
      <c r="T450" s="4"/>
      <c r="U450" s="4"/>
      <c r="V450" s="4"/>
      <c r="W450" s="4"/>
      <c r="X450" s="4"/>
      <c r="Y450" s="4"/>
      <c r="Z450" s="4"/>
      <c r="AA450" s="4"/>
      <c r="AB450" s="4"/>
      <c r="AC450" s="4"/>
      <c r="AD450" s="4"/>
      <c r="AE450" s="4"/>
      <c r="AF450" s="4"/>
    </row>
    <row r="451">
      <c r="A451" s="73"/>
      <c r="B451" s="73"/>
      <c r="C451" s="147"/>
      <c r="D451" s="103" t="str">
        <f t="array" ref="D451">XLOOKUP(C451,'Master Data'!C:C,'Master Data'!D:D)</f>
        <v>#N/A</v>
      </c>
      <c r="E451" s="104"/>
      <c r="F451" s="105" t="str">
        <f t="array" ref="F451">XLOOKUP(C451,'Master Data'!C:C,'Master Data'!D:D)</f>
        <v>#N/A</v>
      </c>
      <c r="G451" s="90" t="str">
        <f t="array" ref="G451">XLOOKUP(C451,'Master Data'!C:C,'Master Data'!E:E)</f>
        <v>#N/A</v>
      </c>
      <c r="H451" s="88" t="str">
        <f t="array" ref="H451">XLOOKUP(C451,'Master Data'!C:C,'Master Data'!F:F)</f>
        <v>#N/A</v>
      </c>
      <c r="I451" s="72" t="str">
        <f t="array" ref="I451">XLOOKUP(C451,'Master Data'!C:C,'Master Data'!G:G)</f>
        <v>#N/A</v>
      </c>
      <c r="J451" s="72" t="str">
        <f t="array" ref="J451">XLOOKUP(C451,'Master Data'!C:C,'Master Data'!H:H)</f>
        <v>#N/A</v>
      </c>
      <c r="K451" s="73"/>
      <c r="L451" s="149"/>
      <c r="M451" s="73"/>
      <c r="N451" s="73"/>
      <c r="O451" s="73"/>
      <c r="P451" s="73"/>
      <c r="Q451" s="73"/>
      <c r="R451" s="109"/>
      <c r="S451" s="4"/>
      <c r="T451" s="4"/>
      <c r="U451" s="4"/>
      <c r="V451" s="4"/>
      <c r="W451" s="4"/>
      <c r="X451" s="4"/>
      <c r="Y451" s="4"/>
      <c r="Z451" s="4"/>
      <c r="AA451" s="4"/>
      <c r="AB451" s="4"/>
      <c r="AC451" s="4"/>
      <c r="AD451" s="4"/>
      <c r="AE451" s="4"/>
      <c r="AF451" s="4"/>
    </row>
    <row r="452">
      <c r="A452" s="73"/>
      <c r="B452" s="73"/>
      <c r="C452" s="147"/>
      <c r="D452" s="103" t="str">
        <f t="array" ref="D452">XLOOKUP(C452,'Master Data'!C:C,'Master Data'!D:D)</f>
        <v>#N/A</v>
      </c>
      <c r="E452" s="104"/>
      <c r="F452" s="105" t="str">
        <f t="array" ref="F452">XLOOKUP(C452,'Master Data'!C:C,'Master Data'!D:D)</f>
        <v>#N/A</v>
      </c>
      <c r="G452" s="90" t="str">
        <f t="array" ref="G452">XLOOKUP(C452,'Master Data'!C:C,'Master Data'!E:E)</f>
        <v>#N/A</v>
      </c>
      <c r="H452" s="88" t="str">
        <f t="array" ref="H452">XLOOKUP(C452,'Master Data'!C:C,'Master Data'!F:F)</f>
        <v>#N/A</v>
      </c>
      <c r="I452" s="72" t="str">
        <f t="array" ref="I452">XLOOKUP(C452,'Master Data'!C:C,'Master Data'!G:G)</f>
        <v>#N/A</v>
      </c>
      <c r="J452" s="72" t="str">
        <f t="array" ref="J452">XLOOKUP(C452,'Master Data'!C:C,'Master Data'!H:H)</f>
        <v>#N/A</v>
      </c>
      <c r="K452" s="73"/>
      <c r="L452" s="149"/>
      <c r="M452" s="73"/>
      <c r="N452" s="73"/>
      <c r="O452" s="73"/>
      <c r="P452" s="73"/>
      <c r="Q452" s="73"/>
      <c r="R452" s="109"/>
      <c r="S452" s="4"/>
      <c r="T452" s="4"/>
      <c r="U452" s="4"/>
      <c r="V452" s="4"/>
      <c r="W452" s="4"/>
      <c r="X452" s="4"/>
      <c r="Y452" s="4"/>
      <c r="Z452" s="4"/>
      <c r="AA452" s="4"/>
      <c r="AB452" s="4"/>
      <c r="AC452" s="4"/>
      <c r="AD452" s="4"/>
      <c r="AE452" s="4"/>
      <c r="AF452" s="4"/>
    </row>
    <row r="453">
      <c r="A453" s="73"/>
      <c r="B453" s="73"/>
      <c r="C453" s="147"/>
      <c r="D453" s="103" t="str">
        <f t="array" ref="D453">XLOOKUP(C453,'Master Data'!C:C,'Master Data'!D:D)</f>
        <v>#N/A</v>
      </c>
      <c r="E453" s="104"/>
      <c r="F453" s="105" t="str">
        <f t="array" ref="F453">XLOOKUP(C453,'Master Data'!C:C,'Master Data'!D:D)</f>
        <v>#N/A</v>
      </c>
      <c r="G453" s="90" t="str">
        <f t="array" ref="G453">XLOOKUP(C453,'Master Data'!C:C,'Master Data'!E:E)</f>
        <v>#N/A</v>
      </c>
      <c r="H453" s="88" t="str">
        <f t="array" ref="H453">XLOOKUP(C453,'Master Data'!C:C,'Master Data'!F:F)</f>
        <v>#N/A</v>
      </c>
      <c r="I453" s="72" t="str">
        <f t="array" ref="I453">XLOOKUP(C453,'Master Data'!C:C,'Master Data'!G:G)</f>
        <v>#N/A</v>
      </c>
      <c r="J453" s="72" t="str">
        <f t="array" ref="J453">XLOOKUP(C453,'Master Data'!C:C,'Master Data'!H:H)</f>
        <v>#N/A</v>
      </c>
      <c r="K453" s="73"/>
      <c r="L453" s="149"/>
      <c r="M453" s="73"/>
      <c r="N453" s="73"/>
      <c r="O453" s="73"/>
      <c r="P453" s="73"/>
      <c r="Q453" s="73"/>
      <c r="R453" s="109"/>
      <c r="S453" s="4"/>
      <c r="T453" s="4"/>
      <c r="U453" s="4"/>
      <c r="V453" s="4"/>
      <c r="W453" s="4"/>
      <c r="X453" s="4"/>
      <c r="Y453" s="4"/>
      <c r="Z453" s="4"/>
      <c r="AA453" s="4"/>
      <c r="AB453" s="4"/>
      <c r="AC453" s="4"/>
      <c r="AD453" s="4"/>
      <c r="AE453" s="4"/>
      <c r="AF453" s="4"/>
    </row>
    <row r="454">
      <c r="A454" s="73"/>
      <c r="B454" s="73"/>
      <c r="C454" s="147"/>
      <c r="D454" s="103" t="str">
        <f t="array" ref="D454">XLOOKUP(C454,'Master Data'!C:C,'Master Data'!D:D)</f>
        <v>#N/A</v>
      </c>
      <c r="E454" s="104"/>
      <c r="F454" s="105" t="str">
        <f t="array" ref="F454">XLOOKUP(C454,'Master Data'!C:C,'Master Data'!D:D)</f>
        <v>#N/A</v>
      </c>
      <c r="G454" s="90" t="str">
        <f t="array" ref="G454">XLOOKUP(C454,'Master Data'!C:C,'Master Data'!E:E)</f>
        <v>#N/A</v>
      </c>
      <c r="H454" s="88" t="str">
        <f t="array" ref="H454">XLOOKUP(C454,'Master Data'!C:C,'Master Data'!F:F)</f>
        <v>#N/A</v>
      </c>
      <c r="I454" s="72" t="str">
        <f t="array" ref="I454">XLOOKUP(C454,'Master Data'!C:C,'Master Data'!G:G)</f>
        <v>#N/A</v>
      </c>
      <c r="J454" s="72" t="str">
        <f t="array" ref="J454">XLOOKUP(C454,'Master Data'!C:C,'Master Data'!H:H)</f>
        <v>#N/A</v>
      </c>
      <c r="K454" s="73"/>
      <c r="L454" s="149"/>
      <c r="M454" s="73"/>
      <c r="N454" s="73"/>
      <c r="O454" s="73"/>
      <c r="P454" s="73"/>
      <c r="Q454" s="73"/>
      <c r="R454" s="109"/>
      <c r="S454" s="4"/>
      <c r="T454" s="4"/>
      <c r="U454" s="4"/>
      <c r="V454" s="4"/>
      <c r="W454" s="4"/>
      <c r="X454" s="4"/>
      <c r="Y454" s="4"/>
      <c r="Z454" s="4"/>
      <c r="AA454" s="4"/>
      <c r="AB454" s="4"/>
      <c r="AC454" s="4"/>
      <c r="AD454" s="4"/>
      <c r="AE454" s="4"/>
      <c r="AF454" s="4"/>
    </row>
    <row r="455">
      <c r="A455" s="73"/>
      <c r="B455" s="73"/>
      <c r="C455" s="147"/>
      <c r="D455" s="103" t="str">
        <f t="array" ref="D455">XLOOKUP(C455,'Master Data'!C:C,'Master Data'!D:D)</f>
        <v>#N/A</v>
      </c>
      <c r="E455" s="104"/>
      <c r="F455" s="105" t="str">
        <f t="array" ref="F455">XLOOKUP(C455,'Master Data'!C:C,'Master Data'!D:D)</f>
        <v>#N/A</v>
      </c>
      <c r="G455" s="90" t="str">
        <f t="array" ref="G455">XLOOKUP(C455,'Master Data'!C:C,'Master Data'!E:E)</f>
        <v>#N/A</v>
      </c>
      <c r="H455" s="88" t="str">
        <f t="array" ref="H455">XLOOKUP(C455,'Master Data'!C:C,'Master Data'!F:F)</f>
        <v>#N/A</v>
      </c>
      <c r="I455" s="72" t="str">
        <f t="array" ref="I455">XLOOKUP(C455,'Master Data'!C:C,'Master Data'!G:G)</f>
        <v>#N/A</v>
      </c>
      <c r="J455" s="72" t="str">
        <f t="array" ref="J455">XLOOKUP(C455,'Master Data'!C:C,'Master Data'!H:H)</f>
        <v>#N/A</v>
      </c>
      <c r="K455" s="73"/>
      <c r="L455" s="149"/>
      <c r="M455" s="73"/>
      <c r="N455" s="73"/>
      <c r="O455" s="73"/>
      <c r="P455" s="73"/>
      <c r="Q455" s="73"/>
      <c r="R455" s="109"/>
      <c r="S455" s="4"/>
      <c r="T455" s="4"/>
      <c r="U455" s="4"/>
      <c r="V455" s="4"/>
      <c r="W455" s="4"/>
      <c r="X455" s="4"/>
      <c r="Y455" s="4"/>
      <c r="Z455" s="4"/>
      <c r="AA455" s="4"/>
      <c r="AB455" s="4"/>
      <c r="AC455" s="4"/>
      <c r="AD455" s="4"/>
      <c r="AE455" s="4"/>
      <c r="AF455" s="4"/>
    </row>
    <row r="456">
      <c r="A456" s="73"/>
      <c r="B456" s="73"/>
      <c r="C456" s="147"/>
      <c r="D456" s="103" t="str">
        <f t="array" ref="D456">XLOOKUP(C456,'Master Data'!C:C,'Master Data'!D:D)</f>
        <v>#N/A</v>
      </c>
      <c r="E456" s="104"/>
      <c r="F456" s="105" t="str">
        <f t="array" ref="F456">XLOOKUP(C456,'Master Data'!C:C,'Master Data'!D:D)</f>
        <v>#N/A</v>
      </c>
      <c r="G456" s="90" t="str">
        <f t="array" ref="G456">XLOOKUP(C456,'Master Data'!C:C,'Master Data'!E:E)</f>
        <v>#N/A</v>
      </c>
      <c r="H456" s="88" t="str">
        <f t="array" ref="H456">XLOOKUP(C456,'Master Data'!C:C,'Master Data'!F:F)</f>
        <v>#N/A</v>
      </c>
      <c r="I456" s="72" t="str">
        <f t="array" ref="I456">XLOOKUP(C456,'Master Data'!C:C,'Master Data'!G:G)</f>
        <v>#N/A</v>
      </c>
      <c r="J456" s="72" t="str">
        <f t="array" ref="J456">XLOOKUP(C456,'Master Data'!C:C,'Master Data'!H:H)</f>
        <v>#N/A</v>
      </c>
      <c r="K456" s="73"/>
      <c r="L456" s="149"/>
      <c r="M456" s="73"/>
      <c r="N456" s="73"/>
      <c r="O456" s="73"/>
      <c r="P456" s="73"/>
      <c r="Q456" s="73"/>
      <c r="R456" s="109"/>
      <c r="S456" s="4"/>
      <c r="T456" s="4"/>
      <c r="U456" s="4"/>
      <c r="V456" s="4"/>
      <c r="W456" s="4"/>
      <c r="X456" s="4"/>
      <c r="Y456" s="4"/>
      <c r="Z456" s="4"/>
      <c r="AA456" s="4"/>
      <c r="AB456" s="4"/>
      <c r="AC456" s="4"/>
      <c r="AD456" s="4"/>
      <c r="AE456" s="4"/>
      <c r="AF456" s="4"/>
    </row>
    <row r="457">
      <c r="A457" s="73"/>
      <c r="B457" s="73"/>
      <c r="C457" s="147"/>
      <c r="D457" s="103" t="str">
        <f t="array" ref="D457">XLOOKUP(C457,'Master Data'!C:C,'Master Data'!D:D)</f>
        <v>#N/A</v>
      </c>
      <c r="E457" s="104"/>
      <c r="F457" s="105" t="str">
        <f t="array" ref="F457">XLOOKUP(C457,'Master Data'!C:C,'Master Data'!D:D)</f>
        <v>#N/A</v>
      </c>
      <c r="G457" s="90" t="str">
        <f t="array" ref="G457">XLOOKUP(C457,'Master Data'!C:C,'Master Data'!E:E)</f>
        <v>#N/A</v>
      </c>
      <c r="H457" s="88" t="str">
        <f t="array" ref="H457">XLOOKUP(C457,'Master Data'!C:C,'Master Data'!F:F)</f>
        <v>#N/A</v>
      </c>
      <c r="I457" s="72" t="str">
        <f t="array" ref="I457">XLOOKUP(C457,'Master Data'!C:C,'Master Data'!G:G)</f>
        <v>#N/A</v>
      </c>
      <c r="J457" s="72" t="str">
        <f t="array" ref="J457">XLOOKUP(C457,'Master Data'!C:C,'Master Data'!H:H)</f>
        <v>#N/A</v>
      </c>
      <c r="K457" s="73"/>
      <c r="L457" s="149"/>
      <c r="M457" s="73"/>
      <c r="N457" s="73"/>
      <c r="O457" s="73"/>
      <c r="P457" s="73"/>
      <c r="Q457" s="73"/>
      <c r="R457" s="109"/>
      <c r="S457" s="4"/>
      <c r="T457" s="4"/>
      <c r="U457" s="4"/>
      <c r="V457" s="4"/>
      <c r="W457" s="4"/>
      <c r="X457" s="4"/>
      <c r="Y457" s="4"/>
      <c r="Z457" s="4"/>
      <c r="AA457" s="4"/>
      <c r="AB457" s="4"/>
      <c r="AC457" s="4"/>
      <c r="AD457" s="4"/>
      <c r="AE457" s="4"/>
      <c r="AF457" s="4"/>
    </row>
    <row r="458">
      <c r="A458" s="73"/>
      <c r="B458" s="73"/>
      <c r="C458" s="147"/>
      <c r="D458" s="103" t="str">
        <f t="array" ref="D458">XLOOKUP(C458,'Master Data'!C:C,'Master Data'!D:D)</f>
        <v>#N/A</v>
      </c>
      <c r="E458" s="104"/>
      <c r="F458" s="105" t="str">
        <f t="array" ref="F458">XLOOKUP(C458,'Master Data'!C:C,'Master Data'!D:D)</f>
        <v>#N/A</v>
      </c>
      <c r="G458" s="90" t="str">
        <f t="array" ref="G458">XLOOKUP(C458,'Master Data'!C:C,'Master Data'!E:E)</f>
        <v>#N/A</v>
      </c>
      <c r="H458" s="88" t="str">
        <f t="array" ref="H458">XLOOKUP(C458,'Master Data'!C:C,'Master Data'!F:F)</f>
        <v>#N/A</v>
      </c>
      <c r="I458" s="72" t="str">
        <f t="array" ref="I458">XLOOKUP(C458,'Master Data'!C:C,'Master Data'!G:G)</f>
        <v>#N/A</v>
      </c>
      <c r="J458" s="72" t="str">
        <f t="array" ref="J458">XLOOKUP(C458,'Master Data'!C:C,'Master Data'!H:H)</f>
        <v>#N/A</v>
      </c>
      <c r="K458" s="73"/>
      <c r="L458" s="149"/>
      <c r="M458" s="73"/>
      <c r="N458" s="73"/>
      <c r="O458" s="73"/>
      <c r="P458" s="73"/>
      <c r="Q458" s="73"/>
      <c r="R458" s="109"/>
      <c r="S458" s="4"/>
      <c r="T458" s="4"/>
      <c r="U458" s="4"/>
      <c r="V458" s="4"/>
      <c r="W458" s="4"/>
      <c r="X458" s="4"/>
      <c r="Y458" s="4"/>
      <c r="Z458" s="4"/>
      <c r="AA458" s="4"/>
      <c r="AB458" s="4"/>
      <c r="AC458" s="4"/>
      <c r="AD458" s="4"/>
      <c r="AE458" s="4"/>
      <c r="AF458" s="4"/>
    </row>
    <row r="459">
      <c r="A459" s="73"/>
      <c r="B459" s="73"/>
      <c r="C459" s="147"/>
      <c r="D459" s="103" t="str">
        <f t="array" ref="D459">XLOOKUP(C459,'Master Data'!C:C,'Master Data'!D:D)</f>
        <v>#N/A</v>
      </c>
      <c r="E459" s="104"/>
      <c r="F459" s="105" t="str">
        <f t="array" ref="F459">XLOOKUP(C459,'Master Data'!C:C,'Master Data'!D:D)</f>
        <v>#N/A</v>
      </c>
      <c r="G459" s="90" t="str">
        <f t="array" ref="G459">XLOOKUP(C459,'Master Data'!C:C,'Master Data'!E:E)</f>
        <v>#N/A</v>
      </c>
      <c r="H459" s="88" t="str">
        <f t="array" ref="H459">XLOOKUP(C459,'Master Data'!C:C,'Master Data'!F:F)</f>
        <v>#N/A</v>
      </c>
      <c r="I459" s="72" t="str">
        <f t="array" ref="I459">XLOOKUP(C459,'Master Data'!C:C,'Master Data'!G:G)</f>
        <v>#N/A</v>
      </c>
      <c r="J459" s="72" t="str">
        <f t="array" ref="J459">XLOOKUP(C459,'Master Data'!C:C,'Master Data'!H:H)</f>
        <v>#N/A</v>
      </c>
      <c r="K459" s="73"/>
      <c r="L459" s="149"/>
      <c r="M459" s="73"/>
      <c r="N459" s="73"/>
      <c r="O459" s="73"/>
      <c r="P459" s="73"/>
      <c r="Q459" s="73"/>
      <c r="R459" s="109"/>
      <c r="S459" s="4"/>
      <c r="T459" s="4"/>
      <c r="U459" s="4"/>
      <c r="V459" s="4"/>
      <c r="W459" s="4"/>
      <c r="X459" s="4"/>
      <c r="Y459" s="4"/>
      <c r="Z459" s="4"/>
      <c r="AA459" s="4"/>
      <c r="AB459" s="4"/>
      <c r="AC459" s="4"/>
      <c r="AD459" s="4"/>
      <c r="AE459" s="4"/>
      <c r="AF459" s="4"/>
    </row>
    <row r="460">
      <c r="A460" s="73"/>
      <c r="B460" s="73"/>
      <c r="C460" s="147"/>
      <c r="D460" s="103" t="str">
        <f t="array" ref="D460">XLOOKUP(C460,'Master Data'!C:C,'Master Data'!D:D)</f>
        <v>#N/A</v>
      </c>
      <c r="E460" s="104"/>
      <c r="F460" s="105" t="str">
        <f t="array" ref="F460">XLOOKUP(C460,'Master Data'!C:C,'Master Data'!D:D)</f>
        <v>#N/A</v>
      </c>
      <c r="G460" s="90" t="str">
        <f t="array" ref="G460">XLOOKUP(C460,'Master Data'!C:C,'Master Data'!E:E)</f>
        <v>#N/A</v>
      </c>
      <c r="H460" s="88" t="str">
        <f t="array" ref="H460">XLOOKUP(C460,'Master Data'!C:C,'Master Data'!F:F)</f>
        <v>#N/A</v>
      </c>
      <c r="I460" s="72" t="str">
        <f t="array" ref="I460">XLOOKUP(C460,'Master Data'!C:C,'Master Data'!G:G)</f>
        <v>#N/A</v>
      </c>
      <c r="J460" s="72" t="str">
        <f t="array" ref="J460">XLOOKUP(C460,'Master Data'!C:C,'Master Data'!H:H)</f>
        <v>#N/A</v>
      </c>
      <c r="K460" s="73"/>
      <c r="L460" s="149"/>
      <c r="M460" s="73"/>
      <c r="N460" s="73"/>
      <c r="O460" s="73"/>
      <c r="P460" s="73"/>
      <c r="Q460" s="73"/>
      <c r="R460" s="109"/>
      <c r="S460" s="4"/>
      <c r="T460" s="4"/>
      <c r="U460" s="4"/>
      <c r="V460" s="4"/>
      <c r="W460" s="4"/>
      <c r="X460" s="4"/>
      <c r="Y460" s="4"/>
      <c r="Z460" s="4"/>
      <c r="AA460" s="4"/>
      <c r="AB460" s="4"/>
      <c r="AC460" s="4"/>
      <c r="AD460" s="4"/>
      <c r="AE460" s="4"/>
      <c r="AF460" s="4"/>
    </row>
    <row r="461">
      <c r="A461" s="73"/>
      <c r="B461" s="73"/>
      <c r="C461" s="147"/>
      <c r="D461" s="103" t="str">
        <f t="array" ref="D461">XLOOKUP(C461,'Master Data'!C:C,'Master Data'!D:D)</f>
        <v>#N/A</v>
      </c>
      <c r="E461" s="104"/>
      <c r="F461" s="105" t="str">
        <f t="array" ref="F461">XLOOKUP(C461,'Master Data'!C:C,'Master Data'!D:D)</f>
        <v>#N/A</v>
      </c>
      <c r="G461" s="90" t="str">
        <f t="array" ref="G461">XLOOKUP(C461,'Master Data'!C:C,'Master Data'!E:E)</f>
        <v>#N/A</v>
      </c>
      <c r="H461" s="88" t="str">
        <f t="array" ref="H461">XLOOKUP(C461,'Master Data'!C:C,'Master Data'!F:F)</f>
        <v>#N/A</v>
      </c>
      <c r="I461" s="72" t="str">
        <f t="array" ref="I461">XLOOKUP(C461,'Master Data'!C:C,'Master Data'!G:G)</f>
        <v>#N/A</v>
      </c>
      <c r="J461" s="72" t="str">
        <f t="array" ref="J461">XLOOKUP(C461,'Master Data'!C:C,'Master Data'!H:H)</f>
        <v>#N/A</v>
      </c>
      <c r="K461" s="73"/>
      <c r="L461" s="149"/>
      <c r="M461" s="73"/>
      <c r="N461" s="73"/>
      <c r="O461" s="73"/>
      <c r="P461" s="73"/>
      <c r="Q461" s="73"/>
      <c r="R461" s="109"/>
      <c r="S461" s="4"/>
      <c r="T461" s="4"/>
      <c r="U461" s="4"/>
      <c r="V461" s="4"/>
      <c r="W461" s="4"/>
      <c r="X461" s="4"/>
      <c r="Y461" s="4"/>
      <c r="Z461" s="4"/>
      <c r="AA461" s="4"/>
      <c r="AB461" s="4"/>
      <c r="AC461" s="4"/>
      <c r="AD461" s="4"/>
      <c r="AE461" s="4"/>
      <c r="AF461" s="4"/>
    </row>
    <row r="462">
      <c r="A462" s="73"/>
      <c r="B462" s="73"/>
      <c r="C462" s="147"/>
      <c r="D462" s="103" t="str">
        <f t="array" ref="D462">XLOOKUP(C462,'Master Data'!C:C,'Master Data'!D:D)</f>
        <v>#N/A</v>
      </c>
      <c r="E462" s="104"/>
      <c r="F462" s="105" t="str">
        <f t="array" ref="F462">XLOOKUP(C462,'Master Data'!C:C,'Master Data'!D:D)</f>
        <v>#N/A</v>
      </c>
      <c r="G462" s="90" t="str">
        <f t="array" ref="G462">XLOOKUP(C462,'Master Data'!C:C,'Master Data'!E:E)</f>
        <v>#N/A</v>
      </c>
      <c r="H462" s="88" t="str">
        <f t="array" ref="H462">XLOOKUP(C462,'Master Data'!C:C,'Master Data'!F:F)</f>
        <v>#N/A</v>
      </c>
      <c r="I462" s="72" t="str">
        <f t="array" ref="I462">XLOOKUP(C462,'Master Data'!C:C,'Master Data'!G:G)</f>
        <v>#N/A</v>
      </c>
      <c r="J462" s="72" t="str">
        <f t="array" ref="J462">XLOOKUP(C462,'Master Data'!C:C,'Master Data'!H:H)</f>
        <v>#N/A</v>
      </c>
      <c r="K462" s="73"/>
      <c r="L462" s="149"/>
      <c r="M462" s="73"/>
      <c r="N462" s="73"/>
      <c r="O462" s="73"/>
      <c r="P462" s="73"/>
      <c r="Q462" s="73"/>
      <c r="R462" s="109"/>
      <c r="S462" s="4"/>
      <c r="T462" s="4"/>
      <c r="U462" s="4"/>
      <c r="V462" s="4"/>
      <c r="W462" s="4"/>
      <c r="X462" s="4"/>
      <c r="Y462" s="4"/>
      <c r="Z462" s="4"/>
      <c r="AA462" s="4"/>
      <c r="AB462" s="4"/>
      <c r="AC462" s="4"/>
      <c r="AD462" s="4"/>
      <c r="AE462" s="4"/>
      <c r="AF462" s="4"/>
    </row>
    <row r="463">
      <c r="A463" s="73"/>
      <c r="B463" s="73"/>
      <c r="C463" s="147"/>
      <c r="D463" s="103" t="str">
        <f t="array" ref="D463">XLOOKUP(C463,'Master Data'!C:C,'Master Data'!D:D)</f>
        <v>#N/A</v>
      </c>
      <c r="E463" s="104"/>
      <c r="F463" s="105" t="str">
        <f t="array" ref="F463">XLOOKUP(C463,'Master Data'!C:C,'Master Data'!D:D)</f>
        <v>#N/A</v>
      </c>
      <c r="G463" s="90" t="str">
        <f t="array" ref="G463">XLOOKUP(C463,'Master Data'!C:C,'Master Data'!E:E)</f>
        <v>#N/A</v>
      </c>
      <c r="H463" s="88" t="str">
        <f t="array" ref="H463">XLOOKUP(C463,'Master Data'!C:C,'Master Data'!F:F)</f>
        <v>#N/A</v>
      </c>
      <c r="I463" s="72" t="str">
        <f t="array" ref="I463">XLOOKUP(C463,'Master Data'!C:C,'Master Data'!G:G)</f>
        <v>#N/A</v>
      </c>
      <c r="J463" s="72" t="str">
        <f t="array" ref="J463">XLOOKUP(C463,'Master Data'!C:C,'Master Data'!H:H)</f>
        <v>#N/A</v>
      </c>
      <c r="K463" s="73"/>
      <c r="L463" s="149"/>
      <c r="M463" s="73"/>
      <c r="N463" s="73"/>
      <c r="O463" s="73"/>
      <c r="P463" s="73"/>
      <c r="Q463" s="73"/>
      <c r="R463" s="109"/>
      <c r="S463" s="4"/>
      <c r="T463" s="4"/>
      <c r="U463" s="4"/>
      <c r="V463" s="4"/>
      <c r="W463" s="4"/>
      <c r="X463" s="4"/>
      <c r="Y463" s="4"/>
      <c r="Z463" s="4"/>
      <c r="AA463" s="4"/>
      <c r="AB463" s="4"/>
      <c r="AC463" s="4"/>
      <c r="AD463" s="4"/>
      <c r="AE463" s="4"/>
      <c r="AF463" s="4"/>
    </row>
    <row r="464">
      <c r="A464" s="73"/>
      <c r="B464" s="73"/>
      <c r="C464" s="147"/>
      <c r="D464" s="103" t="str">
        <f t="array" ref="D464">XLOOKUP(C464,'Master Data'!C:C,'Master Data'!D:D)</f>
        <v>#N/A</v>
      </c>
      <c r="E464" s="104"/>
      <c r="F464" s="105" t="str">
        <f t="array" ref="F464">XLOOKUP(C464,'Master Data'!C:C,'Master Data'!D:D)</f>
        <v>#N/A</v>
      </c>
      <c r="G464" s="90" t="str">
        <f t="array" ref="G464">XLOOKUP(C464,'Master Data'!C:C,'Master Data'!E:E)</f>
        <v>#N/A</v>
      </c>
      <c r="H464" s="88" t="str">
        <f t="array" ref="H464">XLOOKUP(C464,'Master Data'!C:C,'Master Data'!F:F)</f>
        <v>#N/A</v>
      </c>
      <c r="I464" s="72" t="str">
        <f t="array" ref="I464">XLOOKUP(C464,'Master Data'!C:C,'Master Data'!G:G)</f>
        <v>#N/A</v>
      </c>
      <c r="J464" s="72" t="str">
        <f t="array" ref="J464">XLOOKUP(C464,'Master Data'!C:C,'Master Data'!H:H)</f>
        <v>#N/A</v>
      </c>
      <c r="K464" s="73"/>
      <c r="L464" s="149"/>
      <c r="M464" s="73"/>
      <c r="N464" s="73"/>
      <c r="O464" s="73"/>
      <c r="P464" s="73"/>
      <c r="Q464" s="73"/>
      <c r="R464" s="109"/>
      <c r="S464" s="4"/>
      <c r="T464" s="4"/>
      <c r="U464" s="4"/>
      <c r="V464" s="4"/>
      <c r="W464" s="4"/>
      <c r="X464" s="4"/>
      <c r="Y464" s="4"/>
      <c r="Z464" s="4"/>
      <c r="AA464" s="4"/>
      <c r="AB464" s="4"/>
      <c r="AC464" s="4"/>
      <c r="AD464" s="4"/>
      <c r="AE464" s="4"/>
      <c r="AF464" s="4"/>
    </row>
    <row r="465">
      <c r="A465" s="73"/>
      <c r="B465" s="73"/>
      <c r="C465" s="147"/>
      <c r="D465" s="103" t="str">
        <f t="array" ref="D465">XLOOKUP(C465,'Master Data'!C:C,'Master Data'!D:D)</f>
        <v>#N/A</v>
      </c>
      <c r="E465" s="104"/>
      <c r="F465" s="105" t="str">
        <f t="array" ref="F465">XLOOKUP(C465,'Master Data'!C:C,'Master Data'!D:D)</f>
        <v>#N/A</v>
      </c>
      <c r="G465" s="90" t="str">
        <f t="array" ref="G465">XLOOKUP(C465,'Master Data'!C:C,'Master Data'!E:E)</f>
        <v>#N/A</v>
      </c>
      <c r="H465" s="88" t="str">
        <f t="array" ref="H465">XLOOKUP(C465,'Master Data'!C:C,'Master Data'!F:F)</f>
        <v>#N/A</v>
      </c>
      <c r="I465" s="72" t="str">
        <f t="array" ref="I465">XLOOKUP(C465,'Master Data'!C:C,'Master Data'!G:G)</f>
        <v>#N/A</v>
      </c>
      <c r="J465" s="72" t="str">
        <f t="array" ref="J465">XLOOKUP(C465,'Master Data'!C:C,'Master Data'!H:H)</f>
        <v>#N/A</v>
      </c>
      <c r="K465" s="73"/>
      <c r="L465" s="149"/>
      <c r="M465" s="73"/>
      <c r="N465" s="73"/>
      <c r="O465" s="73"/>
      <c r="P465" s="73"/>
      <c r="Q465" s="73"/>
      <c r="R465" s="109"/>
      <c r="S465" s="4"/>
      <c r="T465" s="4"/>
      <c r="U465" s="4"/>
      <c r="V465" s="4"/>
      <c r="W465" s="4"/>
      <c r="X465" s="4"/>
      <c r="Y465" s="4"/>
      <c r="Z465" s="4"/>
      <c r="AA465" s="4"/>
      <c r="AB465" s="4"/>
      <c r="AC465" s="4"/>
      <c r="AD465" s="4"/>
      <c r="AE465" s="4"/>
      <c r="AF465" s="4"/>
    </row>
    <row r="466">
      <c r="A466" s="73"/>
      <c r="B466" s="73"/>
      <c r="C466" s="147"/>
      <c r="D466" s="103" t="str">
        <f t="array" ref="D466">XLOOKUP(C466,'Master Data'!C:C,'Master Data'!D:D)</f>
        <v>#N/A</v>
      </c>
      <c r="E466" s="104"/>
      <c r="F466" s="105" t="str">
        <f t="array" ref="F466">XLOOKUP(C466,'Master Data'!C:C,'Master Data'!D:D)</f>
        <v>#N/A</v>
      </c>
      <c r="G466" s="90" t="str">
        <f t="array" ref="G466">XLOOKUP(C466,'Master Data'!C:C,'Master Data'!E:E)</f>
        <v>#N/A</v>
      </c>
      <c r="H466" s="88" t="str">
        <f t="array" ref="H466">XLOOKUP(C466,'Master Data'!C:C,'Master Data'!F:F)</f>
        <v>#N/A</v>
      </c>
      <c r="I466" s="72" t="str">
        <f t="array" ref="I466">XLOOKUP(C466,'Master Data'!C:C,'Master Data'!G:G)</f>
        <v>#N/A</v>
      </c>
      <c r="J466" s="72" t="str">
        <f t="array" ref="J466">XLOOKUP(C466,'Master Data'!C:C,'Master Data'!H:H)</f>
        <v>#N/A</v>
      </c>
      <c r="K466" s="73"/>
      <c r="L466" s="149"/>
      <c r="M466" s="73"/>
      <c r="N466" s="73"/>
      <c r="O466" s="73"/>
      <c r="P466" s="73"/>
      <c r="Q466" s="73"/>
      <c r="R466" s="109"/>
      <c r="S466" s="4"/>
      <c r="T466" s="4"/>
      <c r="U466" s="4"/>
      <c r="V466" s="4"/>
      <c r="W466" s="4"/>
      <c r="X466" s="4"/>
      <c r="Y466" s="4"/>
      <c r="Z466" s="4"/>
      <c r="AA466" s="4"/>
      <c r="AB466" s="4"/>
      <c r="AC466" s="4"/>
      <c r="AD466" s="4"/>
      <c r="AE466" s="4"/>
      <c r="AF466" s="4"/>
    </row>
    <row r="467">
      <c r="A467" s="73"/>
      <c r="B467" s="73"/>
      <c r="C467" s="147"/>
      <c r="D467" s="103" t="str">
        <f t="array" ref="D467">XLOOKUP(C467,'Master Data'!C:C,'Master Data'!D:D)</f>
        <v>#N/A</v>
      </c>
      <c r="E467" s="104"/>
      <c r="F467" s="105" t="str">
        <f t="array" ref="F467">XLOOKUP(C467,'Master Data'!C:C,'Master Data'!D:D)</f>
        <v>#N/A</v>
      </c>
      <c r="G467" s="90" t="str">
        <f t="array" ref="G467">XLOOKUP(C467,'Master Data'!C:C,'Master Data'!E:E)</f>
        <v>#N/A</v>
      </c>
      <c r="H467" s="88" t="str">
        <f t="array" ref="H467">XLOOKUP(C467,'Master Data'!C:C,'Master Data'!F:F)</f>
        <v>#N/A</v>
      </c>
      <c r="I467" s="72" t="str">
        <f t="array" ref="I467">XLOOKUP(C467,'Master Data'!C:C,'Master Data'!G:G)</f>
        <v>#N/A</v>
      </c>
      <c r="J467" s="72" t="str">
        <f t="array" ref="J467">XLOOKUP(C467,'Master Data'!C:C,'Master Data'!H:H)</f>
        <v>#N/A</v>
      </c>
      <c r="K467" s="73"/>
      <c r="L467" s="149"/>
      <c r="M467" s="73"/>
      <c r="N467" s="73"/>
      <c r="O467" s="73"/>
      <c r="P467" s="73"/>
      <c r="Q467" s="73"/>
      <c r="R467" s="109"/>
      <c r="S467" s="4"/>
      <c r="T467" s="4"/>
      <c r="U467" s="4"/>
      <c r="V467" s="4"/>
      <c r="W467" s="4"/>
      <c r="X467" s="4"/>
      <c r="Y467" s="4"/>
      <c r="Z467" s="4"/>
      <c r="AA467" s="4"/>
      <c r="AB467" s="4"/>
      <c r="AC467" s="4"/>
      <c r="AD467" s="4"/>
      <c r="AE467" s="4"/>
      <c r="AF467" s="4"/>
    </row>
    <row r="468">
      <c r="A468" s="73"/>
      <c r="B468" s="73"/>
      <c r="C468" s="147"/>
      <c r="D468" s="103" t="str">
        <f t="array" ref="D468">XLOOKUP(C468,'Master Data'!C:C,'Master Data'!D:D)</f>
        <v>#N/A</v>
      </c>
      <c r="E468" s="104"/>
      <c r="F468" s="105" t="str">
        <f t="array" ref="F468">XLOOKUP(C468,'Master Data'!C:C,'Master Data'!D:D)</f>
        <v>#N/A</v>
      </c>
      <c r="G468" s="90" t="str">
        <f t="array" ref="G468">XLOOKUP(C468,'Master Data'!C:C,'Master Data'!E:E)</f>
        <v>#N/A</v>
      </c>
      <c r="H468" s="88" t="str">
        <f t="array" ref="H468">XLOOKUP(C468,'Master Data'!C:C,'Master Data'!F:F)</f>
        <v>#N/A</v>
      </c>
      <c r="I468" s="72" t="str">
        <f t="array" ref="I468">XLOOKUP(C468,'Master Data'!C:C,'Master Data'!G:G)</f>
        <v>#N/A</v>
      </c>
      <c r="J468" s="72" t="str">
        <f t="array" ref="J468">XLOOKUP(C468,'Master Data'!C:C,'Master Data'!H:H)</f>
        <v>#N/A</v>
      </c>
      <c r="K468" s="73"/>
      <c r="L468" s="149"/>
      <c r="M468" s="73"/>
      <c r="N468" s="73"/>
      <c r="O468" s="73"/>
      <c r="P468" s="73"/>
      <c r="Q468" s="73"/>
      <c r="R468" s="109"/>
      <c r="S468" s="4"/>
      <c r="T468" s="4"/>
      <c r="U468" s="4"/>
      <c r="V468" s="4"/>
      <c r="W468" s="4"/>
      <c r="X468" s="4"/>
      <c r="Y468" s="4"/>
      <c r="Z468" s="4"/>
      <c r="AA468" s="4"/>
      <c r="AB468" s="4"/>
      <c r="AC468" s="4"/>
      <c r="AD468" s="4"/>
      <c r="AE468" s="4"/>
      <c r="AF468" s="4"/>
    </row>
    <row r="469">
      <c r="A469" s="73"/>
      <c r="B469" s="73"/>
      <c r="C469" s="147"/>
      <c r="D469" s="103" t="str">
        <f t="array" ref="D469">XLOOKUP(C469,'Master Data'!C:C,'Master Data'!D:D)</f>
        <v>#N/A</v>
      </c>
      <c r="E469" s="104"/>
      <c r="F469" s="105" t="str">
        <f t="array" ref="F469">XLOOKUP(C469,'Master Data'!C:C,'Master Data'!D:D)</f>
        <v>#N/A</v>
      </c>
      <c r="G469" s="90" t="str">
        <f t="array" ref="G469">XLOOKUP(C469,'Master Data'!C:C,'Master Data'!E:E)</f>
        <v>#N/A</v>
      </c>
      <c r="H469" s="88" t="str">
        <f t="array" ref="H469">XLOOKUP(C469,'Master Data'!C:C,'Master Data'!F:F)</f>
        <v>#N/A</v>
      </c>
      <c r="I469" s="72" t="str">
        <f t="array" ref="I469">XLOOKUP(C469,'Master Data'!C:C,'Master Data'!G:G)</f>
        <v>#N/A</v>
      </c>
      <c r="J469" s="72" t="str">
        <f t="array" ref="J469">XLOOKUP(C469,'Master Data'!C:C,'Master Data'!H:H)</f>
        <v>#N/A</v>
      </c>
      <c r="K469" s="73"/>
      <c r="L469" s="149"/>
      <c r="M469" s="73"/>
      <c r="N469" s="73"/>
      <c r="O469" s="73"/>
      <c r="P469" s="73"/>
      <c r="Q469" s="73"/>
      <c r="R469" s="109"/>
      <c r="S469" s="4"/>
      <c r="T469" s="4"/>
      <c r="U469" s="4"/>
      <c r="V469" s="4"/>
      <c r="W469" s="4"/>
      <c r="X469" s="4"/>
      <c r="Y469" s="4"/>
      <c r="Z469" s="4"/>
      <c r="AA469" s="4"/>
      <c r="AB469" s="4"/>
      <c r="AC469" s="4"/>
      <c r="AD469" s="4"/>
      <c r="AE469" s="4"/>
      <c r="AF469" s="4"/>
    </row>
    <row r="470">
      <c r="A470" s="73"/>
      <c r="B470" s="73"/>
      <c r="C470" s="147"/>
      <c r="D470" s="103" t="str">
        <f t="array" ref="D470">XLOOKUP(C470,'Master Data'!C:C,'Master Data'!D:D)</f>
        <v>#N/A</v>
      </c>
      <c r="E470" s="104"/>
      <c r="F470" s="105" t="str">
        <f t="array" ref="F470">XLOOKUP(C470,'Master Data'!C:C,'Master Data'!D:D)</f>
        <v>#N/A</v>
      </c>
      <c r="G470" s="90" t="str">
        <f t="array" ref="G470">XLOOKUP(C470,'Master Data'!C:C,'Master Data'!E:E)</f>
        <v>#N/A</v>
      </c>
      <c r="H470" s="88" t="str">
        <f t="array" ref="H470">XLOOKUP(C470,'Master Data'!C:C,'Master Data'!F:F)</f>
        <v>#N/A</v>
      </c>
      <c r="I470" s="72" t="str">
        <f t="array" ref="I470">XLOOKUP(C470,'Master Data'!C:C,'Master Data'!G:G)</f>
        <v>#N/A</v>
      </c>
      <c r="J470" s="72" t="str">
        <f t="array" ref="J470">XLOOKUP(C470,'Master Data'!C:C,'Master Data'!H:H)</f>
        <v>#N/A</v>
      </c>
      <c r="K470" s="73"/>
      <c r="L470" s="149"/>
      <c r="M470" s="73"/>
      <c r="N470" s="73"/>
      <c r="O470" s="73"/>
      <c r="P470" s="73"/>
      <c r="Q470" s="73"/>
      <c r="R470" s="109"/>
      <c r="S470" s="4"/>
      <c r="T470" s="4"/>
      <c r="U470" s="4"/>
      <c r="V470" s="4"/>
      <c r="W470" s="4"/>
      <c r="X470" s="4"/>
      <c r="Y470" s="4"/>
      <c r="Z470" s="4"/>
      <c r="AA470" s="4"/>
      <c r="AB470" s="4"/>
      <c r="AC470" s="4"/>
      <c r="AD470" s="4"/>
      <c r="AE470" s="4"/>
      <c r="AF470" s="4"/>
    </row>
    <row r="471">
      <c r="A471" s="73"/>
      <c r="B471" s="73"/>
      <c r="C471" s="147"/>
      <c r="D471" s="103" t="str">
        <f t="array" ref="D471">XLOOKUP(C471,'Master Data'!C:C,'Master Data'!D:D)</f>
        <v>#N/A</v>
      </c>
      <c r="E471" s="104"/>
      <c r="F471" s="105" t="str">
        <f t="array" ref="F471">XLOOKUP(C471,'Master Data'!C:C,'Master Data'!D:D)</f>
        <v>#N/A</v>
      </c>
      <c r="G471" s="90" t="str">
        <f t="array" ref="G471">XLOOKUP(C471,'Master Data'!C:C,'Master Data'!E:E)</f>
        <v>#N/A</v>
      </c>
      <c r="H471" s="88" t="str">
        <f t="array" ref="H471">XLOOKUP(C471,'Master Data'!C:C,'Master Data'!F:F)</f>
        <v>#N/A</v>
      </c>
      <c r="I471" s="72" t="str">
        <f t="array" ref="I471">XLOOKUP(C471,'Master Data'!C:C,'Master Data'!G:G)</f>
        <v>#N/A</v>
      </c>
      <c r="J471" s="72" t="str">
        <f t="array" ref="J471">XLOOKUP(C471,'Master Data'!C:C,'Master Data'!H:H)</f>
        <v>#N/A</v>
      </c>
      <c r="K471" s="73"/>
      <c r="L471" s="149"/>
      <c r="M471" s="73"/>
      <c r="N471" s="73"/>
      <c r="O471" s="73"/>
      <c r="P471" s="73"/>
      <c r="Q471" s="73"/>
      <c r="R471" s="109"/>
      <c r="S471" s="4"/>
      <c r="T471" s="4"/>
      <c r="U471" s="4"/>
      <c r="V471" s="4"/>
      <c r="W471" s="4"/>
      <c r="X471" s="4"/>
      <c r="Y471" s="4"/>
      <c r="Z471" s="4"/>
      <c r="AA471" s="4"/>
      <c r="AB471" s="4"/>
      <c r="AC471" s="4"/>
      <c r="AD471" s="4"/>
      <c r="AE471" s="4"/>
      <c r="AF471" s="4"/>
    </row>
    <row r="472">
      <c r="A472" s="73"/>
      <c r="B472" s="73"/>
      <c r="C472" s="147"/>
      <c r="D472" s="103" t="str">
        <f t="array" ref="D472">XLOOKUP(C472,'Master Data'!C:C,'Master Data'!D:D)</f>
        <v>#N/A</v>
      </c>
      <c r="E472" s="104"/>
      <c r="F472" s="105" t="str">
        <f t="array" ref="F472">XLOOKUP(C472,'Master Data'!C:C,'Master Data'!D:D)</f>
        <v>#N/A</v>
      </c>
      <c r="G472" s="90" t="str">
        <f t="array" ref="G472">XLOOKUP(C472,'Master Data'!C:C,'Master Data'!E:E)</f>
        <v>#N/A</v>
      </c>
      <c r="H472" s="88" t="str">
        <f t="array" ref="H472">XLOOKUP(C472,'Master Data'!C:C,'Master Data'!F:F)</f>
        <v>#N/A</v>
      </c>
      <c r="I472" s="72" t="str">
        <f t="array" ref="I472">XLOOKUP(C472,'Master Data'!C:C,'Master Data'!G:G)</f>
        <v>#N/A</v>
      </c>
      <c r="J472" s="72" t="str">
        <f t="array" ref="J472">XLOOKUP(C472,'Master Data'!C:C,'Master Data'!H:H)</f>
        <v>#N/A</v>
      </c>
      <c r="K472" s="73"/>
      <c r="L472" s="149"/>
      <c r="M472" s="73"/>
      <c r="N472" s="73"/>
      <c r="O472" s="73"/>
      <c r="P472" s="73"/>
      <c r="Q472" s="73"/>
      <c r="R472" s="109"/>
      <c r="S472" s="4"/>
      <c r="T472" s="4"/>
      <c r="U472" s="4"/>
      <c r="V472" s="4"/>
      <c r="W472" s="4"/>
      <c r="X472" s="4"/>
      <c r="Y472" s="4"/>
      <c r="Z472" s="4"/>
      <c r="AA472" s="4"/>
      <c r="AB472" s="4"/>
      <c r="AC472" s="4"/>
      <c r="AD472" s="4"/>
      <c r="AE472" s="4"/>
      <c r="AF472" s="4"/>
    </row>
    <row r="473">
      <c r="A473" s="73"/>
      <c r="B473" s="73"/>
      <c r="C473" s="147"/>
      <c r="D473" s="103" t="str">
        <f t="array" ref="D473">XLOOKUP(C473,'Master Data'!C:C,'Master Data'!D:D)</f>
        <v>#N/A</v>
      </c>
      <c r="E473" s="104"/>
      <c r="F473" s="105" t="str">
        <f t="array" ref="F473">XLOOKUP(C473,'Master Data'!C:C,'Master Data'!D:D)</f>
        <v>#N/A</v>
      </c>
      <c r="G473" s="90" t="str">
        <f t="array" ref="G473">XLOOKUP(C473,'Master Data'!C:C,'Master Data'!E:E)</f>
        <v>#N/A</v>
      </c>
      <c r="H473" s="88" t="str">
        <f t="array" ref="H473">XLOOKUP(C473,'Master Data'!C:C,'Master Data'!F:F)</f>
        <v>#N/A</v>
      </c>
      <c r="I473" s="72" t="str">
        <f t="array" ref="I473">XLOOKUP(C473,'Master Data'!C:C,'Master Data'!G:G)</f>
        <v>#N/A</v>
      </c>
      <c r="J473" s="72" t="str">
        <f t="array" ref="J473">XLOOKUP(C473,'Master Data'!C:C,'Master Data'!H:H)</f>
        <v>#N/A</v>
      </c>
      <c r="K473" s="73"/>
      <c r="L473" s="149"/>
      <c r="M473" s="73"/>
      <c r="N473" s="73"/>
      <c r="O473" s="73"/>
      <c r="P473" s="73"/>
      <c r="Q473" s="73"/>
      <c r="R473" s="109"/>
      <c r="S473" s="4"/>
      <c r="T473" s="4"/>
      <c r="U473" s="4"/>
      <c r="V473" s="4"/>
      <c r="W473" s="4"/>
      <c r="X473" s="4"/>
      <c r="Y473" s="4"/>
      <c r="Z473" s="4"/>
      <c r="AA473" s="4"/>
      <c r="AB473" s="4"/>
      <c r="AC473" s="4"/>
      <c r="AD473" s="4"/>
      <c r="AE473" s="4"/>
      <c r="AF473" s="4"/>
    </row>
    <row r="474">
      <c r="A474" s="73"/>
      <c r="B474" s="73"/>
      <c r="C474" s="147"/>
      <c r="D474" s="103" t="str">
        <f t="array" ref="D474">XLOOKUP(C474,'Master Data'!C:C,'Master Data'!D:D)</f>
        <v>#N/A</v>
      </c>
      <c r="E474" s="104"/>
      <c r="F474" s="105" t="str">
        <f t="array" ref="F474">XLOOKUP(C474,'Master Data'!C:C,'Master Data'!D:D)</f>
        <v>#N/A</v>
      </c>
      <c r="G474" s="90" t="str">
        <f t="array" ref="G474">XLOOKUP(C474,'Master Data'!C:C,'Master Data'!E:E)</f>
        <v>#N/A</v>
      </c>
      <c r="H474" s="88" t="str">
        <f t="array" ref="H474">XLOOKUP(C474,'Master Data'!C:C,'Master Data'!F:F)</f>
        <v>#N/A</v>
      </c>
      <c r="I474" s="72" t="str">
        <f t="array" ref="I474">XLOOKUP(C474,'Master Data'!C:C,'Master Data'!G:G)</f>
        <v>#N/A</v>
      </c>
      <c r="J474" s="72" t="str">
        <f t="array" ref="J474">XLOOKUP(C474,'Master Data'!C:C,'Master Data'!H:H)</f>
        <v>#N/A</v>
      </c>
      <c r="K474" s="73"/>
      <c r="L474" s="149"/>
      <c r="M474" s="73"/>
      <c r="N474" s="73"/>
      <c r="O474" s="73"/>
      <c r="P474" s="73"/>
      <c r="Q474" s="73"/>
      <c r="R474" s="109"/>
      <c r="S474" s="4"/>
      <c r="T474" s="4"/>
      <c r="U474" s="4"/>
      <c r="V474" s="4"/>
      <c r="W474" s="4"/>
      <c r="X474" s="4"/>
      <c r="Y474" s="4"/>
      <c r="Z474" s="4"/>
      <c r="AA474" s="4"/>
      <c r="AB474" s="4"/>
      <c r="AC474" s="4"/>
      <c r="AD474" s="4"/>
      <c r="AE474" s="4"/>
      <c r="AF474" s="4"/>
    </row>
    <row r="475">
      <c r="A475" s="73"/>
      <c r="B475" s="73"/>
      <c r="C475" s="147"/>
      <c r="D475" s="103" t="str">
        <f t="array" ref="D475">XLOOKUP(C475,'Master Data'!C:C,'Master Data'!D:D)</f>
        <v>#N/A</v>
      </c>
      <c r="E475" s="104"/>
      <c r="F475" s="105" t="str">
        <f t="array" ref="F475">XLOOKUP(C475,'Master Data'!C:C,'Master Data'!D:D)</f>
        <v>#N/A</v>
      </c>
      <c r="G475" s="90" t="str">
        <f t="array" ref="G475">XLOOKUP(C475,'Master Data'!C:C,'Master Data'!E:E)</f>
        <v>#N/A</v>
      </c>
      <c r="H475" s="88" t="str">
        <f t="array" ref="H475">XLOOKUP(C475,'Master Data'!C:C,'Master Data'!F:F)</f>
        <v>#N/A</v>
      </c>
      <c r="I475" s="72" t="str">
        <f t="array" ref="I475">XLOOKUP(C475,'Master Data'!C:C,'Master Data'!G:G)</f>
        <v>#N/A</v>
      </c>
      <c r="J475" s="72" t="str">
        <f t="array" ref="J475">XLOOKUP(C475,'Master Data'!C:C,'Master Data'!H:H)</f>
        <v>#N/A</v>
      </c>
      <c r="K475" s="73"/>
      <c r="L475" s="149"/>
      <c r="M475" s="73"/>
      <c r="N475" s="73"/>
      <c r="O475" s="73"/>
      <c r="P475" s="73"/>
      <c r="Q475" s="73"/>
      <c r="R475" s="109"/>
      <c r="S475" s="4"/>
      <c r="T475" s="4"/>
      <c r="U475" s="4"/>
      <c r="V475" s="4"/>
      <c r="W475" s="4"/>
      <c r="X475" s="4"/>
      <c r="Y475" s="4"/>
      <c r="Z475" s="4"/>
      <c r="AA475" s="4"/>
      <c r="AB475" s="4"/>
      <c r="AC475" s="4"/>
      <c r="AD475" s="4"/>
      <c r="AE475" s="4"/>
      <c r="AF475" s="4"/>
    </row>
    <row r="476">
      <c r="A476" s="73"/>
      <c r="B476" s="73"/>
      <c r="C476" s="147"/>
      <c r="D476" s="103" t="str">
        <f t="array" ref="D476">XLOOKUP(C476,'Master Data'!C:C,'Master Data'!D:D)</f>
        <v>#N/A</v>
      </c>
      <c r="E476" s="104"/>
      <c r="F476" s="105" t="str">
        <f t="array" ref="F476">XLOOKUP(C476,'Master Data'!C:C,'Master Data'!D:D)</f>
        <v>#N/A</v>
      </c>
      <c r="G476" s="90" t="str">
        <f t="array" ref="G476">XLOOKUP(C476,'Master Data'!C:C,'Master Data'!E:E)</f>
        <v>#N/A</v>
      </c>
      <c r="H476" s="88" t="str">
        <f t="array" ref="H476">XLOOKUP(C476,'Master Data'!C:C,'Master Data'!F:F)</f>
        <v>#N/A</v>
      </c>
      <c r="I476" s="72" t="str">
        <f t="array" ref="I476">XLOOKUP(C476,'Master Data'!C:C,'Master Data'!G:G)</f>
        <v>#N/A</v>
      </c>
      <c r="J476" s="72" t="str">
        <f t="array" ref="J476">XLOOKUP(C476,'Master Data'!C:C,'Master Data'!H:H)</f>
        <v>#N/A</v>
      </c>
      <c r="K476" s="73"/>
      <c r="L476" s="149"/>
      <c r="M476" s="73"/>
      <c r="N476" s="73"/>
      <c r="O476" s="73"/>
      <c r="P476" s="73"/>
      <c r="Q476" s="73"/>
      <c r="R476" s="109"/>
      <c r="S476" s="4"/>
      <c r="T476" s="4"/>
      <c r="U476" s="4"/>
      <c r="V476" s="4"/>
      <c r="W476" s="4"/>
      <c r="X476" s="4"/>
      <c r="Y476" s="4"/>
      <c r="Z476" s="4"/>
      <c r="AA476" s="4"/>
      <c r="AB476" s="4"/>
      <c r="AC476" s="4"/>
      <c r="AD476" s="4"/>
      <c r="AE476" s="4"/>
      <c r="AF476" s="4"/>
    </row>
    <row r="477">
      <c r="A477" s="73"/>
      <c r="B477" s="73"/>
      <c r="C477" s="147"/>
      <c r="D477" s="103" t="str">
        <f t="array" ref="D477">XLOOKUP(C477,'Master Data'!C:C,'Master Data'!D:D)</f>
        <v>#N/A</v>
      </c>
      <c r="E477" s="104"/>
      <c r="F477" s="105" t="str">
        <f t="array" ref="F477">XLOOKUP(C477,'Master Data'!C:C,'Master Data'!D:D)</f>
        <v>#N/A</v>
      </c>
      <c r="G477" s="90" t="str">
        <f t="array" ref="G477">XLOOKUP(C477,'Master Data'!C:C,'Master Data'!E:E)</f>
        <v>#N/A</v>
      </c>
      <c r="H477" s="88" t="str">
        <f t="array" ref="H477">XLOOKUP(C477,'Master Data'!C:C,'Master Data'!F:F)</f>
        <v>#N/A</v>
      </c>
      <c r="I477" s="72" t="str">
        <f t="array" ref="I477">XLOOKUP(C477,'Master Data'!C:C,'Master Data'!G:G)</f>
        <v>#N/A</v>
      </c>
      <c r="J477" s="72" t="str">
        <f t="array" ref="J477">XLOOKUP(C477,'Master Data'!C:C,'Master Data'!H:H)</f>
        <v>#N/A</v>
      </c>
      <c r="K477" s="73"/>
      <c r="L477" s="149"/>
      <c r="M477" s="73"/>
      <c r="N477" s="73"/>
      <c r="O477" s="73"/>
      <c r="P477" s="73"/>
      <c r="Q477" s="73"/>
      <c r="R477" s="109"/>
      <c r="S477" s="4"/>
      <c r="T477" s="4"/>
      <c r="U477" s="4"/>
      <c r="V477" s="4"/>
      <c r="W477" s="4"/>
      <c r="X477" s="4"/>
      <c r="Y477" s="4"/>
      <c r="Z477" s="4"/>
      <c r="AA477" s="4"/>
      <c r="AB477" s="4"/>
      <c r="AC477" s="4"/>
      <c r="AD477" s="4"/>
      <c r="AE477" s="4"/>
      <c r="AF477" s="4"/>
    </row>
    <row r="478">
      <c r="A478" s="73"/>
      <c r="B478" s="73"/>
      <c r="C478" s="147"/>
      <c r="D478" s="103" t="str">
        <f t="array" ref="D478">XLOOKUP(C478,'Master Data'!C:C,'Master Data'!D:D)</f>
        <v>#N/A</v>
      </c>
      <c r="E478" s="104"/>
      <c r="F478" s="105" t="str">
        <f t="array" ref="F478">XLOOKUP(C478,'Master Data'!C:C,'Master Data'!D:D)</f>
        <v>#N/A</v>
      </c>
      <c r="G478" s="90" t="str">
        <f t="array" ref="G478">XLOOKUP(C478,'Master Data'!C:C,'Master Data'!E:E)</f>
        <v>#N/A</v>
      </c>
      <c r="H478" s="88" t="str">
        <f t="array" ref="H478">XLOOKUP(C478,'Master Data'!C:C,'Master Data'!F:F)</f>
        <v>#N/A</v>
      </c>
      <c r="I478" s="72" t="str">
        <f t="array" ref="I478">XLOOKUP(C478,'Master Data'!C:C,'Master Data'!G:G)</f>
        <v>#N/A</v>
      </c>
      <c r="J478" s="72" t="str">
        <f t="array" ref="J478">XLOOKUP(C478,'Master Data'!C:C,'Master Data'!H:H)</f>
        <v>#N/A</v>
      </c>
      <c r="K478" s="73"/>
      <c r="L478" s="149"/>
      <c r="M478" s="73"/>
      <c r="N478" s="73"/>
      <c r="O478" s="73"/>
      <c r="P478" s="73"/>
      <c r="Q478" s="73"/>
      <c r="R478" s="109"/>
      <c r="S478" s="4"/>
      <c r="T478" s="4"/>
      <c r="U478" s="4"/>
      <c r="V478" s="4"/>
      <c r="W478" s="4"/>
      <c r="X478" s="4"/>
      <c r="Y478" s="4"/>
      <c r="Z478" s="4"/>
      <c r="AA478" s="4"/>
      <c r="AB478" s="4"/>
      <c r="AC478" s="4"/>
      <c r="AD478" s="4"/>
      <c r="AE478" s="4"/>
      <c r="AF478" s="4"/>
    </row>
    <row r="479">
      <c r="A479" s="73"/>
      <c r="B479" s="73"/>
      <c r="C479" s="147"/>
      <c r="D479" s="103" t="str">
        <f t="array" ref="D479">XLOOKUP(C479,'Master Data'!C:C,'Master Data'!D:D)</f>
        <v>#N/A</v>
      </c>
      <c r="E479" s="104"/>
      <c r="F479" s="105" t="str">
        <f t="array" ref="F479">XLOOKUP(C479,'Master Data'!C:C,'Master Data'!D:D)</f>
        <v>#N/A</v>
      </c>
      <c r="G479" s="90" t="str">
        <f t="array" ref="G479">XLOOKUP(C479,'Master Data'!C:C,'Master Data'!E:E)</f>
        <v>#N/A</v>
      </c>
      <c r="H479" s="88" t="str">
        <f t="array" ref="H479">XLOOKUP(C479,'Master Data'!C:C,'Master Data'!F:F)</f>
        <v>#N/A</v>
      </c>
      <c r="I479" s="72" t="str">
        <f t="array" ref="I479">XLOOKUP(C479,'Master Data'!C:C,'Master Data'!G:G)</f>
        <v>#N/A</v>
      </c>
      <c r="J479" s="72" t="str">
        <f t="array" ref="J479">XLOOKUP(C479,'Master Data'!C:C,'Master Data'!H:H)</f>
        <v>#N/A</v>
      </c>
      <c r="K479" s="73"/>
      <c r="L479" s="149"/>
      <c r="M479" s="73"/>
      <c r="N479" s="73"/>
      <c r="O479" s="73"/>
      <c r="P479" s="73"/>
      <c r="Q479" s="73"/>
      <c r="R479" s="109"/>
      <c r="S479" s="4"/>
      <c r="T479" s="4"/>
      <c r="U479" s="4"/>
      <c r="V479" s="4"/>
      <c r="W479" s="4"/>
      <c r="X479" s="4"/>
      <c r="Y479" s="4"/>
      <c r="Z479" s="4"/>
      <c r="AA479" s="4"/>
      <c r="AB479" s="4"/>
      <c r="AC479" s="4"/>
      <c r="AD479" s="4"/>
      <c r="AE479" s="4"/>
      <c r="AF479" s="4"/>
    </row>
    <row r="480">
      <c r="A480" s="73"/>
      <c r="B480" s="73"/>
      <c r="C480" s="147"/>
      <c r="D480" s="103" t="str">
        <f t="array" ref="D480">XLOOKUP(C480,'Master Data'!C:C,'Master Data'!D:D)</f>
        <v>#N/A</v>
      </c>
      <c r="E480" s="104"/>
      <c r="F480" s="105" t="str">
        <f t="array" ref="F480">XLOOKUP(C480,'Master Data'!C:C,'Master Data'!D:D)</f>
        <v>#N/A</v>
      </c>
      <c r="G480" s="90" t="str">
        <f t="array" ref="G480">XLOOKUP(C480,'Master Data'!C:C,'Master Data'!E:E)</f>
        <v>#N/A</v>
      </c>
      <c r="H480" s="88" t="str">
        <f t="array" ref="H480">XLOOKUP(C480,'Master Data'!C:C,'Master Data'!F:F)</f>
        <v>#N/A</v>
      </c>
      <c r="I480" s="72" t="str">
        <f t="array" ref="I480">XLOOKUP(C480,'Master Data'!C:C,'Master Data'!G:G)</f>
        <v>#N/A</v>
      </c>
      <c r="J480" s="72" t="str">
        <f t="array" ref="J480">XLOOKUP(C480,'Master Data'!C:C,'Master Data'!H:H)</f>
        <v>#N/A</v>
      </c>
      <c r="K480" s="73"/>
      <c r="L480" s="149"/>
      <c r="M480" s="73"/>
      <c r="N480" s="73"/>
      <c r="O480" s="73"/>
      <c r="P480" s="73"/>
      <c r="Q480" s="73"/>
      <c r="R480" s="109"/>
      <c r="S480" s="4"/>
      <c r="T480" s="4"/>
      <c r="U480" s="4"/>
      <c r="V480" s="4"/>
      <c r="W480" s="4"/>
      <c r="X480" s="4"/>
      <c r="Y480" s="4"/>
      <c r="Z480" s="4"/>
      <c r="AA480" s="4"/>
      <c r="AB480" s="4"/>
      <c r="AC480" s="4"/>
      <c r="AD480" s="4"/>
      <c r="AE480" s="4"/>
      <c r="AF480" s="4"/>
    </row>
    <row r="481">
      <c r="A481" s="73"/>
      <c r="B481" s="73"/>
      <c r="C481" s="147"/>
      <c r="D481" s="103" t="str">
        <f t="array" ref="D481">XLOOKUP(C481,'Master Data'!C:C,'Master Data'!D:D)</f>
        <v>#N/A</v>
      </c>
      <c r="E481" s="104"/>
      <c r="F481" s="105" t="str">
        <f t="array" ref="F481">XLOOKUP(C481,'Master Data'!C:C,'Master Data'!D:D)</f>
        <v>#N/A</v>
      </c>
      <c r="G481" s="90" t="str">
        <f t="array" ref="G481">XLOOKUP(C481,'Master Data'!C:C,'Master Data'!E:E)</f>
        <v>#N/A</v>
      </c>
      <c r="H481" s="88" t="str">
        <f t="array" ref="H481">XLOOKUP(C481,'Master Data'!C:C,'Master Data'!F:F)</f>
        <v>#N/A</v>
      </c>
      <c r="I481" s="72" t="str">
        <f t="array" ref="I481">XLOOKUP(C481,'Master Data'!C:C,'Master Data'!G:G)</f>
        <v>#N/A</v>
      </c>
      <c r="J481" s="72" t="str">
        <f t="array" ref="J481">XLOOKUP(C481,'Master Data'!C:C,'Master Data'!H:H)</f>
        <v>#N/A</v>
      </c>
      <c r="K481" s="73"/>
      <c r="L481" s="149"/>
      <c r="M481" s="73"/>
      <c r="N481" s="73"/>
      <c r="O481" s="73"/>
      <c r="P481" s="73"/>
      <c r="Q481" s="73"/>
      <c r="R481" s="109"/>
      <c r="S481" s="4"/>
      <c r="T481" s="4"/>
      <c r="U481" s="4"/>
      <c r="V481" s="4"/>
      <c r="W481" s="4"/>
      <c r="X481" s="4"/>
      <c r="Y481" s="4"/>
      <c r="Z481" s="4"/>
      <c r="AA481" s="4"/>
      <c r="AB481" s="4"/>
      <c r="AC481" s="4"/>
      <c r="AD481" s="4"/>
      <c r="AE481" s="4"/>
      <c r="AF481" s="4"/>
    </row>
    <row r="482">
      <c r="A482" s="73"/>
      <c r="B482" s="73"/>
      <c r="C482" s="147"/>
      <c r="D482" s="103" t="str">
        <f t="array" ref="D482">XLOOKUP(C482,'Master Data'!C:C,'Master Data'!D:D)</f>
        <v>#N/A</v>
      </c>
      <c r="E482" s="104"/>
      <c r="F482" s="105" t="str">
        <f t="array" ref="F482">XLOOKUP(C482,'Master Data'!C:C,'Master Data'!D:D)</f>
        <v>#N/A</v>
      </c>
      <c r="G482" s="90" t="str">
        <f t="array" ref="G482">XLOOKUP(C482,'Master Data'!C:C,'Master Data'!E:E)</f>
        <v>#N/A</v>
      </c>
      <c r="H482" s="88" t="str">
        <f t="array" ref="H482">XLOOKUP(C482,'Master Data'!C:C,'Master Data'!F:F)</f>
        <v>#N/A</v>
      </c>
      <c r="I482" s="72" t="str">
        <f t="array" ref="I482">XLOOKUP(C482,'Master Data'!C:C,'Master Data'!G:G)</f>
        <v>#N/A</v>
      </c>
      <c r="J482" s="72" t="str">
        <f t="array" ref="J482">XLOOKUP(C482,'Master Data'!C:C,'Master Data'!H:H)</f>
        <v>#N/A</v>
      </c>
      <c r="K482" s="73"/>
      <c r="L482" s="149"/>
      <c r="M482" s="73"/>
      <c r="N482" s="73"/>
      <c r="O482" s="73"/>
      <c r="P482" s="73"/>
      <c r="Q482" s="73"/>
      <c r="R482" s="109"/>
      <c r="S482" s="4"/>
      <c r="T482" s="4"/>
      <c r="U482" s="4"/>
      <c r="V482" s="4"/>
      <c r="W482" s="4"/>
      <c r="X482" s="4"/>
      <c r="Y482" s="4"/>
      <c r="Z482" s="4"/>
      <c r="AA482" s="4"/>
      <c r="AB482" s="4"/>
      <c r="AC482" s="4"/>
      <c r="AD482" s="4"/>
      <c r="AE482" s="4"/>
      <c r="AF482" s="4"/>
    </row>
    <row r="483">
      <c r="A483" s="73"/>
      <c r="B483" s="73"/>
      <c r="C483" s="147"/>
      <c r="D483" s="103" t="str">
        <f t="array" ref="D483">XLOOKUP(C483,'Master Data'!C:C,'Master Data'!D:D)</f>
        <v>#N/A</v>
      </c>
      <c r="E483" s="104"/>
      <c r="F483" s="105" t="str">
        <f t="array" ref="F483">XLOOKUP(C483,'Master Data'!C:C,'Master Data'!D:D)</f>
        <v>#N/A</v>
      </c>
      <c r="G483" s="90" t="str">
        <f t="array" ref="G483">XLOOKUP(C483,'Master Data'!C:C,'Master Data'!E:E)</f>
        <v>#N/A</v>
      </c>
      <c r="H483" s="88" t="str">
        <f t="array" ref="H483">XLOOKUP(C483,'Master Data'!C:C,'Master Data'!F:F)</f>
        <v>#N/A</v>
      </c>
      <c r="I483" s="72" t="str">
        <f t="array" ref="I483">XLOOKUP(C483,'Master Data'!C:C,'Master Data'!G:G)</f>
        <v>#N/A</v>
      </c>
      <c r="J483" s="72" t="str">
        <f t="array" ref="J483">XLOOKUP(C483,'Master Data'!C:C,'Master Data'!H:H)</f>
        <v>#N/A</v>
      </c>
      <c r="K483" s="73"/>
      <c r="L483" s="149"/>
      <c r="M483" s="73"/>
      <c r="N483" s="73"/>
      <c r="O483" s="73"/>
      <c r="P483" s="73"/>
      <c r="Q483" s="73"/>
      <c r="R483" s="109"/>
      <c r="S483" s="4"/>
      <c r="T483" s="4"/>
      <c r="U483" s="4"/>
      <c r="V483" s="4"/>
      <c r="W483" s="4"/>
      <c r="X483" s="4"/>
      <c r="Y483" s="4"/>
      <c r="Z483" s="4"/>
      <c r="AA483" s="4"/>
      <c r="AB483" s="4"/>
      <c r="AC483" s="4"/>
      <c r="AD483" s="4"/>
      <c r="AE483" s="4"/>
      <c r="AF483" s="4"/>
    </row>
    <row r="484">
      <c r="A484" s="73"/>
      <c r="B484" s="73"/>
      <c r="C484" s="147"/>
      <c r="D484" s="103" t="str">
        <f t="array" ref="D484">XLOOKUP(C484,'Master Data'!C:C,'Master Data'!D:D)</f>
        <v>#N/A</v>
      </c>
      <c r="E484" s="104"/>
      <c r="F484" s="105" t="str">
        <f t="array" ref="F484">XLOOKUP(C484,'Master Data'!C:C,'Master Data'!D:D)</f>
        <v>#N/A</v>
      </c>
      <c r="G484" s="90" t="str">
        <f t="array" ref="G484">XLOOKUP(C484,'Master Data'!C:C,'Master Data'!E:E)</f>
        <v>#N/A</v>
      </c>
      <c r="H484" s="88" t="str">
        <f t="array" ref="H484">XLOOKUP(C484,'Master Data'!C:C,'Master Data'!F:F)</f>
        <v>#N/A</v>
      </c>
      <c r="I484" s="72" t="str">
        <f t="array" ref="I484">XLOOKUP(C484,'Master Data'!C:C,'Master Data'!G:G)</f>
        <v>#N/A</v>
      </c>
      <c r="J484" s="72" t="str">
        <f t="array" ref="J484">XLOOKUP(C484,'Master Data'!C:C,'Master Data'!H:H)</f>
        <v>#N/A</v>
      </c>
      <c r="K484" s="73"/>
      <c r="L484" s="149"/>
      <c r="M484" s="73"/>
      <c r="N484" s="73"/>
      <c r="O484" s="73"/>
      <c r="P484" s="73"/>
      <c r="Q484" s="73"/>
      <c r="R484" s="109"/>
      <c r="S484" s="4"/>
      <c r="T484" s="4"/>
      <c r="U484" s="4"/>
      <c r="V484" s="4"/>
      <c r="W484" s="4"/>
      <c r="X484" s="4"/>
      <c r="Y484" s="4"/>
      <c r="Z484" s="4"/>
      <c r="AA484" s="4"/>
      <c r="AB484" s="4"/>
      <c r="AC484" s="4"/>
      <c r="AD484" s="4"/>
      <c r="AE484" s="4"/>
      <c r="AF484" s="4"/>
    </row>
    <row r="485">
      <c r="A485" s="73"/>
      <c r="B485" s="73"/>
      <c r="C485" s="147"/>
      <c r="D485" s="103" t="str">
        <f t="array" ref="D485">XLOOKUP(C485,'Master Data'!C:C,'Master Data'!D:D)</f>
        <v>#N/A</v>
      </c>
      <c r="E485" s="104"/>
      <c r="F485" s="105" t="str">
        <f t="array" ref="F485">XLOOKUP(C485,'Master Data'!C:C,'Master Data'!D:D)</f>
        <v>#N/A</v>
      </c>
      <c r="G485" s="90" t="str">
        <f t="array" ref="G485">XLOOKUP(C485,'Master Data'!C:C,'Master Data'!E:E)</f>
        <v>#N/A</v>
      </c>
      <c r="H485" s="88" t="str">
        <f t="array" ref="H485">XLOOKUP(C485,'Master Data'!C:C,'Master Data'!F:F)</f>
        <v>#N/A</v>
      </c>
      <c r="I485" s="72" t="str">
        <f t="array" ref="I485">XLOOKUP(C485,'Master Data'!C:C,'Master Data'!G:G)</f>
        <v>#N/A</v>
      </c>
      <c r="J485" s="72" t="str">
        <f t="array" ref="J485">XLOOKUP(C485,'Master Data'!C:C,'Master Data'!H:H)</f>
        <v>#N/A</v>
      </c>
      <c r="K485" s="73"/>
      <c r="L485" s="149"/>
      <c r="M485" s="73"/>
      <c r="N485" s="73"/>
      <c r="O485" s="73"/>
      <c r="P485" s="73"/>
      <c r="Q485" s="73"/>
      <c r="R485" s="109"/>
      <c r="S485" s="4"/>
      <c r="T485" s="4"/>
      <c r="U485" s="4"/>
      <c r="V485" s="4"/>
      <c r="W485" s="4"/>
      <c r="X485" s="4"/>
      <c r="Y485" s="4"/>
      <c r="Z485" s="4"/>
      <c r="AA485" s="4"/>
      <c r="AB485" s="4"/>
      <c r="AC485" s="4"/>
      <c r="AD485" s="4"/>
      <c r="AE485" s="4"/>
      <c r="AF485" s="4"/>
    </row>
    <row r="486">
      <c r="A486" s="73"/>
      <c r="B486" s="73"/>
      <c r="C486" s="147"/>
      <c r="D486" s="103" t="str">
        <f t="array" ref="D486">XLOOKUP(C486,'Master Data'!C:C,'Master Data'!D:D)</f>
        <v>#N/A</v>
      </c>
      <c r="E486" s="104"/>
      <c r="F486" s="105" t="str">
        <f t="array" ref="F486">XLOOKUP(C486,'Master Data'!C:C,'Master Data'!D:D)</f>
        <v>#N/A</v>
      </c>
      <c r="G486" s="90" t="str">
        <f t="array" ref="G486">XLOOKUP(C486,'Master Data'!C:C,'Master Data'!E:E)</f>
        <v>#N/A</v>
      </c>
      <c r="H486" s="88" t="str">
        <f t="array" ref="H486">XLOOKUP(C486,'Master Data'!C:C,'Master Data'!F:F)</f>
        <v>#N/A</v>
      </c>
      <c r="I486" s="72" t="str">
        <f t="array" ref="I486">XLOOKUP(C486,'Master Data'!C:C,'Master Data'!G:G)</f>
        <v>#N/A</v>
      </c>
      <c r="J486" s="72" t="str">
        <f t="array" ref="J486">XLOOKUP(C486,'Master Data'!C:C,'Master Data'!H:H)</f>
        <v>#N/A</v>
      </c>
      <c r="K486" s="73"/>
      <c r="L486" s="149"/>
      <c r="M486" s="73"/>
      <c r="N486" s="73"/>
      <c r="O486" s="73"/>
      <c r="P486" s="73"/>
      <c r="Q486" s="73"/>
      <c r="R486" s="109"/>
      <c r="S486" s="4"/>
      <c r="T486" s="4"/>
      <c r="U486" s="4"/>
      <c r="V486" s="4"/>
      <c r="W486" s="4"/>
      <c r="X486" s="4"/>
      <c r="Y486" s="4"/>
      <c r="Z486" s="4"/>
      <c r="AA486" s="4"/>
      <c r="AB486" s="4"/>
      <c r="AC486" s="4"/>
      <c r="AD486" s="4"/>
      <c r="AE486" s="4"/>
      <c r="AF486" s="4"/>
    </row>
    <row r="487">
      <c r="A487" s="73"/>
      <c r="B487" s="73"/>
      <c r="C487" s="147"/>
      <c r="D487" s="103" t="str">
        <f t="array" ref="D487">XLOOKUP(C487,'Master Data'!C:C,'Master Data'!D:D)</f>
        <v>#N/A</v>
      </c>
      <c r="E487" s="104"/>
      <c r="F487" s="105" t="str">
        <f t="array" ref="F487">XLOOKUP(C487,'Master Data'!C:C,'Master Data'!D:D)</f>
        <v>#N/A</v>
      </c>
      <c r="G487" s="90" t="str">
        <f t="array" ref="G487">XLOOKUP(C487,'Master Data'!C:C,'Master Data'!E:E)</f>
        <v>#N/A</v>
      </c>
      <c r="H487" s="88" t="str">
        <f t="array" ref="H487">XLOOKUP(C487,'Master Data'!C:C,'Master Data'!F:F)</f>
        <v>#N/A</v>
      </c>
      <c r="I487" s="72" t="str">
        <f t="array" ref="I487">XLOOKUP(C487,'Master Data'!C:C,'Master Data'!G:G)</f>
        <v>#N/A</v>
      </c>
      <c r="J487" s="72" t="str">
        <f t="array" ref="J487">XLOOKUP(C487,'Master Data'!C:C,'Master Data'!H:H)</f>
        <v>#N/A</v>
      </c>
      <c r="K487" s="73"/>
      <c r="L487" s="149"/>
      <c r="M487" s="73"/>
      <c r="N487" s="73"/>
      <c r="O487" s="73"/>
      <c r="P487" s="73"/>
      <c r="Q487" s="73"/>
      <c r="R487" s="109"/>
      <c r="S487" s="4"/>
      <c r="T487" s="4"/>
      <c r="U487" s="4"/>
      <c r="V487" s="4"/>
      <c r="W487" s="4"/>
      <c r="X487" s="4"/>
      <c r="Y487" s="4"/>
      <c r="Z487" s="4"/>
      <c r="AA487" s="4"/>
      <c r="AB487" s="4"/>
      <c r="AC487" s="4"/>
      <c r="AD487" s="4"/>
      <c r="AE487" s="4"/>
      <c r="AF487" s="4"/>
    </row>
    <row r="488">
      <c r="A488" s="73"/>
      <c r="B488" s="73"/>
      <c r="C488" s="147"/>
      <c r="D488" s="103" t="str">
        <f t="array" ref="D488">XLOOKUP(C488,'Master Data'!C:C,'Master Data'!D:D)</f>
        <v>#N/A</v>
      </c>
      <c r="E488" s="104"/>
      <c r="F488" s="105" t="str">
        <f t="array" ref="F488">XLOOKUP(C488,'Master Data'!C:C,'Master Data'!D:D)</f>
        <v>#N/A</v>
      </c>
      <c r="G488" s="90" t="str">
        <f t="array" ref="G488">XLOOKUP(C488,'Master Data'!C:C,'Master Data'!E:E)</f>
        <v>#N/A</v>
      </c>
      <c r="H488" s="88" t="str">
        <f t="array" ref="H488">XLOOKUP(C488,'Master Data'!C:C,'Master Data'!F:F)</f>
        <v>#N/A</v>
      </c>
      <c r="I488" s="72" t="str">
        <f t="array" ref="I488">XLOOKUP(C488,'Master Data'!C:C,'Master Data'!G:G)</f>
        <v>#N/A</v>
      </c>
      <c r="J488" s="72" t="str">
        <f t="array" ref="J488">XLOOKUP(C488,'Master Data'!C:C,'Master Data'!H:H)</f>
        <v>#N/A</v>
      </c>
      <c r="K488" s="73"/>
      <c r="L488" s="149"/>
      <c r="M488" s="73"/>
      <c r="N488" s="73"/>
      <c r="O488" s="73"/>
      <c r="P488" s="73"/>
      <c r="Q488" s="73"/>
      <c r="R488" s="109"/>
      <c r="S488" s="4"/>
      <c r="T488" s="4"/>
      <c r="U488" s="4"/>
      <c r="V488" s="4"/>
      <c r="W488" s="4"/>
      <c r="X488" s="4"/>
      <c r="Y488" s="4"/>
      <c r="Z488" s="4"/>
      <c r="AA488" s="4"/>
      <c r="AB488" s="4"/>
      <c r="AC488" s="4"/>
      <c r="AD488" s="4"/>
      <c r="AE488" s="4"/>
      <c r="AF488" s="4"/>
    </row>
    <row r="489">
      <c r="A489" s="73"/>
      <c r="B489" s="73"/>
      <c r="C489" s="147"/>
      <c r="D489" s="103" t="str">
        <f t="array" ref="D489">XLOOKUP(C489,'Master Data'!C:C,'Master Data'!D:D)</f>
        <v>#N/A</v>
      </c>
      <c r="E489" s="104"/>
      <c r="F489" s="105" t="str">
        <f t="array" ref="F489">XLOOKUP(C489,'Master Data'!C:C,'Master Data'!D:D)</f>
        <v>#N/A</v>
      </c>
      <c r="G489" s="90" t="str">
        <f t="array" ref="G489">XLOOKUP(C489,'Master Data'!C:C,'Master Data'!E:E)</f>
        <v>#N/A</v>
      </c>
      <c r="H489" s="88" t="str">
        <f t="array" ref="H489">XLOOKUP(C489,'Master Data'!C:C,'Master Data'!F:F)</f>
        <v>#N/A</v>
      </c>
      <c r="I489" s="72" t="str">
        <f t="array" ref="I489">XLOOKUP(C489,'Master Data'!C:C,'Master Data'!G:G)</f>
        <v>#N/A</v>
      </c>
      <c r="J489" s="72" t="str">
        <f t="array" ref="J489">XLOOKUP(C489,'Master Data'!C:C,'Master Data'!H:H)</f>
        <v>#N/A</v>
      </c>
      <c r="K489" s="73"/>
      <c r="L489" s="149"/>
      <c r="M489" s="73"/>
      <c r="N489" s="73"/>
      <c r="O489" s="73"/>
      <c r="P489" s="73"/>
      <c r="Q489" s="73"/>
      <c r="R489" s="109"/>
      <c r="S489" s="4"/>
      <c r="T489" s="4"/>
      <c r="U489" s="4"/>
      <c r="V489" s="4"/>
      <c r="W489" s="4"/>
      <c r="X489" s="4"/>
      <c r="Y489" s="4"/>
      <c r="Z489" s="4"/>
      <c r="AA489" s="4"/>
      <c r="AB489" s="4"/>
      <c r="AC489" s="4"/>
      <c r="AD489" s="4"/>
      <c r="AE489" s="4"/>
      <c r="AF489" s="4"/>
    </row>
    <row r="490">
      <c r="A490" s="73"/>
      <c r="B490" s="73"/>
      <c r="C490" s="147"/>
      <c r="D490" s="103" t="str">
        <f t="array" ref="D490">XLOOKUP(C490,'Master Data'!C:C,'Master Data'!D:D)</f>
        <v>#N/A</v>
      </c>
      <c r="E490" s="104"/>
      <c r="F490" s="105" t="str">
        <f t="array" ref="F490">XLOOKUP(C490,'Master Data'!C:C,'Master Data'!D:D)</f>
        <v>#N/A</v>
      </c>
      <c r="G490" s="90" t="str">
        <f t="array" ref="G490">XLOOKUP(C490,'Master Data'!C:C,'Master Data'!E:E)</f>
        <v>#N/A</v>
      </c>
      <c r="H490" s="88" t="str">
        <f t="array" ref="H490">XLOOKUP(C490,'Master Data'!C:C,'Master Data'!F:F)</f>
        <v>#N/A</v>
      </c>
      <c r="I490" s="72" t="str">
        <f t="array" ref="I490">XLOOKUP(C490,'Master Data'!C:C,'Master Data'!G:G)</f>
        <v>#N/A</v>
      </c>
      <c r="J490" s="72" t="str">
        <f t="array" ref="J490">XLOOKUP(C490,'Master Data'!C:C,'Master Data'!H:H)</f>
        <v>#N/A</v>
      </c>
      <c r="K490" s="73"/>
      <c r="L490" s="149"/>
      <c r="M490" s="73"/>
      <c r="N490" s="73"/>
      <c r="O490" s="73"/>
      <c r="P490" s="73"/>
      <c r="Q490" s="73"/>
      <c r="R490" s="109"/>
      <c r="S490" s="4"/>
      <c r="T490" s="4"/>
      <c r="U490" s="4"/>
      <c r="V490" s="4"/>
      <c r="W490" s="4"/>
      <c r="X490" s="4"/>
      <c r="Y490" s="4"/>
      <c r="Z490" s="4"/>
      <c r="AA490" s="4"/>
      <c r="AB490" s="4"/>
      <c r="AC490" s="4"/>
      <c r="AD490" s="4"/>
      <c r="AE490" s="4"/>
      <c r="AF490" s="4"/>
    </row>
    <row r="491">
      <c r="A491" s="73"/>
      <c r="B491" s="73"/>
      <c r="C491" s="147"/>
      <c r="D491" s="103" t="str">
        <f t="array" ref="D491">XLOOKUP(C491,'Master Data'!C:C,'Master Data'!D:D)</f>
        <v>#N/A</v>
      </c>
      <c r="E491" s="104"/>
      <c r="F491" s="105" t="str">
        <f t="array" ref="F491">XLOOKUP(C491,'Master Data'!C:C,'Master Data'!D:D)</f>
        <v>#N/A</v>
      </c>
      <c r="G491" s="90" t="str">
        <f t="array" ref="G491">XLOOKUP(C491,'Master Data'!C:C,'Master Data'!E:E)</f>
        <v>#N/A</v>
      </c>
      <c r="H491" s="88" t="str">
        <f t="array" ref="H491">XLOOKUP(C491,'Master Data'!C:C,'Master Data'!F:F)</f>
        <v>#N/A</v>
      </c>
      <c r="I491" s="72" t="str">
        <f t="array" ref="I491">XLOOKUP(C491,'Master Data'!C:C,'Master Data'!G:G)</f>
        <v>#N/A</v>
      </c>
      <c r="J491" s="72" t="str">
        <f t="array" ref="J491">XLOOKUP(C491,'Master Data'!C:C,'Master Data'!H:H)</f>
        <v>#N/A</v>
      </c>
      <c r="K491" s="73"/>
      <c r="L491" s="149"/>
      <c r="M491" s="73"/>
      <c r="N491" s="73"/>
      <c r="O491" s="73"/>
      <c r="P491" s="73"/>
      <c r="Q491" s="73"/>
      <c r="R491" s="109"/>
      <c r="S491" s="4"/>
      <c r="T491" s="4"/>
      <c r="U491" s="4"/>
      <c r="V491" s="4"/>
      <c r="W491" s="4"/>
      <c r="X491" s="4"/>
      <c r="Y491" s="4"/>
      <c r="Z491" s="4"/>
      <c r="AA491" s="4"/>
      <c r="AB491" s="4"/>
      <c r="AC491" s="4"/>
      <c r="AD491" s="4"/>
      <c r="AE491" s="4"/>
      <c r="AF491" s="4"/>
    </row>
    <row r="492">
      <c r="A492" s="73"/>
      <c r="B492" s="73"/>
      <c r="C492" s="147"/>
      <c r="D492" s="103" t="str">
        <f t="array" ref="D492">XLOOKUP(C492,'Master Data'!C:C,'Master Data'!D:D)</f>
        <v>#N/A</v>
      </c>
      <c r="E492" s="104"/>
      <c r="F492" s="105" t="str">
        <f t="array" ref="F492">XLOOKUP(C492,'Master Data'!C:C,'Master Data'!D:D)</f>
        <v>#N/A</v>
      </c>
      <c r="G492" s="90" t="str">
        <f t="array" ref="G492">XLOOKUP(C492,'Master Data'!C:C,'Master Data'!E:E)</f>
        <v>#N/A</v>
      </c>
      <c r="H492" s="88" t="str">
        <f t="array" ref="H492">XLOOKUP(C492,'Master Data'!C:C,'Master Data'!F:F)</f>
        <v>#N/A</v>
      </c>
      <c r="I492" s="72" t="str">
        <f t="array" ref="I492">XLOOKUP(C492,'Master Data'!C:C,'Master Data'!G:G)</f>
        <v>#N/A</v>
      </c>
      <c r="J492" s="72" t="str">
        <f t="array" ref="J492">XLOOKUP(C492,'Master Data'!C:C,'Master Data'!H:H)</f>
        <v>#N/A</v>
      </c>
      <c r="K492" s="73"/>
      <c r="L492" s="149"/>
      <c r="M492" s="73"/>
      <c r="N492" s="73"/>
      <c r="O492" s="73"/>
      <c r="P492" s="73"/>
      <c r="Q492" s="73"/>
      <c r="R492" s="109"/>
      <c r="S492" s="4"/>
      <c r="T492" s="4"/>
      <c r="U492" s="4"/>
      <c r="V492" s="4"/>
      <c r="W492" s="4"/>
      <c r="X492" s="4"/>
      <c r="Y492" s="4"/>
      <c r="Z492" s="4"/>
      <c r="AA492" s="4"/>
      <c r="AB492" s="4"/>
      <c r="AC492" s="4"/>
      <c r="AD492" s="4"/>
      <c r="AE492" s="4"/>
      <c r="AF492" s="4"/>
    </row>
    <row r="493">
      <c r="A493" s="73"/>
      <c r="B493" s="73"/>
      <c r="C493" s="147"/>
      <c r="D493" s="103" t="str">
        <f t="array" ref="D493">XLOOKUP(C493,'Master Data'!C:C,'Master Data'!D:D)</f>
        <v>#N/A</v>
      </c>
      <c r="E493" s="104"/>
      <c r="F493" s="105" t="str">
        <f t="array" ref="F493">XLOOKUP(C493,'Master Data'!C:C,'Master Data'!D:D)</f>
        <v>#N/A</v>
      </c>
      <c r="G493" s="90" t="str">
        <f t="array" ref="G493">XLOOKUP(C493,'Master Data'!C:C,'Master Data'!E:E)</f>
        <v>#N/A</v>
      </c>
      <c r="H493" s="88" t="str">
        <f t="array" ref="H493">XLOOKUP(C493,'Master Data'!C:C,'Master Data'!F:F)</f>
        <v>#N/A</v>
      </c>
      <c r="I493" s="72" t="str">
        <f t="array" ref="I493">XLOOKUP(C493,'Master Data'!C:C,'Master Data'!G:G)</f>
        <v>#N/A</v>
      </c>
      <c r="J493" s="72" t="str">
        <f t="array" ref="J493">XLOOKUP(C493,'Master Data'!C:C,'Master Data'!H:H)</f>
        <v>#N/A</v>
      </c>
      <c r="K493" s="73"/>
      <c r="L493" s="149"/>
      <c r="M493" s="73"/>
      <c r="N493" s="73"/>
      <c r="O493" s="73"/>
      <c r="P493" s="73"/>
      <c r="Q493" s="73"/>
      <c r="R493" s="109"/>
      <c r="S493" s="4"/>
      <c r="T493" s="4"/>
      <c r="U493" s="4"/>
      <c r="V493" s="4"/>
      <c r="W493" s="4"/>
      <c r="X493" s="4"/>
      <c r="Y493" s="4"/>
      <c r="Z493" s="4"/>
      <c r="AA493" s="4"/>
      <c r="AB493" s="4"/>
      <c r="AC493" s="4"/>
      <c r="AD493" s="4"/>
      <c r="AE493" s="4"/>
      <c r="AF493" s="4"/>
    </row>
    <row r="494">
      <c r="A494" s="73"/>
      <c r="B494" s="73"/>
      <c r="C494" s="147"/>
      <c r="D494" s="103" t="str">
        <f t="array" ref="D494">XLOOKUP(C494,'Master Data'!C:C,'Master Data'!D:D)</f>
        <v>#N/A</v>
      </c>
      <c r="E494" s="104"/>
      <c r="F494" s="105" t="str">
        <f t="array" ref="F494">XLOOKUP(C494,'Master Data'!C:C,'Master Data'!D:D)</f>
        <v>#N/A</v>
      </c>
      <c r="G494" s="90" t="str">
        <f t="array" ref="G494">XLOOKUP(C494,'Master Data'!C:C,'Master Data'!E:E)</f>
        <v>#N/A</v>
      </c>
      <c r="H494" s="88" t="str">
        <f t="array" ref="H494">XLOOKUP(C494,'Master Data'!C:C,'Master Data'!F:F)</f>
        <v>#N/A</v>
      </c>
      <c r="I494" s="72" t="str">
        <f t="array" ref="I494">XLOOKUP(C494,'Master Data'!C:C,'Master Data'!G:G)</f>
        <v>#N/A</v>
      </c>
      <c r="J494" s="72" t="str">
        <f t="array" ref="J494">XLOOKUP(C494,'Master Data'!C:C,'Master Data'!H:H)</f>
        <v>#N/A</v>
      </c>
      <c r="K494" s="73"/>
      <c r="L494" s="149"/>
      <c r="M494" s="73"/>
      <c r="N494" s="73"/>
      <c r="O494" s="73"/>
      <c r="P494" s="73"/>
      <c r="Q494" s="73"/>
      <c r="R494" s="109"/>
      <c r="S494" s="4"/>
      <c r="T494" s="4"/>
      <c r="U494" s="4"/>
      <c r="V494" s="4"/>
      <c r="W494" s="4"/>
      <c r="X494" s="4"/>
      <c r="Y494" s="4"/>
      <c r="Z494" s="4"/>
      <c r="AA494" s="4"/>
      <c r="AB494" s="4"/>
      <c r="AC494" s="4"/>
      <c r="AD494" s="4"/>
      <c r="AE494" s="4"/>
      <c r="AF494" s="4"/>
    </row>
    <row r="495">
      <c r="A495" s="73"/>
      <c r="B495" s="73"/>
      <c r="C495" s="147"/>
      <c r="D495" s="103" t="str">
        <f t="array" ref="D495">XLOOKUP(C495,'Master Data'!C:C,'Master Data'!D:D)</f>
        <v>#N/A</v>
      </c>
      <c r="E495" s="104"/>
      <c r="F495" s="105" t="str">
        <f t="array" ref="F495">XLOOKUP(C495,'Master Data'!C:C,'Master Data'!D:D)</f>
        <v>#N/A</v>
      </c>
      <c r="G495" s="90" t="str">
        <f t="array" ref="G495">XLOOKUP(C495,'Master Data'!C:C,'Master Data'!E:E)</f>
        <v>#N/A</v>
      </c>
      <c r="H495" s="88" t="str">
        <f t="array" ref="H495">XLOOKUP(C495,'Master Data'!C:C,'Master Data'!F:F)</f>
        <v>#N/A</v>
      </c>
      <c r="I495" s="72" t="str">
        <f t="array" ref="I495">XLOOKUP(C495,'Master Data'!C:C,'Master Data'!G:G)</f>
        <v>#N/A</v>
      </c>
      <c r="J495" s="72" t="str">
        <f t="array" ref="J495">XLOOKUP(C495,'Master Data'!C:C,'Master Data'!H:H)</f>
        <v>#N/A</v>
      </c>
      <c r="K495" s="73"/>
      <c r="L495" s="149"/>
      <c r="M495" s="73"/>
      <c r="N495" s="73"/>
      <c r="O495" s="73"/>
      <c r="P495" s="73"/>
      <c r="Q495" s="73"/>
      <c r="R495" s="109"/>
      <c r="S495" s="4"/>
      <c r="T495" s="4"/>
      <c r="U495" s="4"/>
      <c r="V495" s="4"/>
      <c r="W495" s="4"/>
      <c r="X495" s="4"/>
      <c r="Y495" s="4"/>
      <c r="Z495" s="4"/>
      <c r="AA495" s="4"/>
      <c r="AB495" s="4"/>
      <c r="AC495" s="4"/>
      <c r="AD495" s="4"/>
      <c r="AE495" s="4"/>
      <c r="AF495" s="4"/>
    </row>
    <row r="496">
      <c r="A496" s="73"/>
      <c r="B496" s="73"/>
      <c r="C496" s="147"/>
      <c r="D496" s="103" t="str">
        <f t="array" ref="D496">XLOOKUP(C496,'Master Data'!C:C,'Master Data'!D:D)</f>
        <v>#N/A</v>
      </c>
      <c r="E496" s="104"/>
      <c r="F496" s="105" t="str">
        <f t="array" ref="F496">XLOOKUP(C496,'Master Data'!C:C,'Master Data'!D:D)</f>
        <v>#N/A</v>
      </c>
      <c r="G496" s="90" t="str">
        <f t="array" ref="G496">XLOOKUP(C496,'Master Data'!C:C,'Master Data'!E:E)</f>
        <v>#N/A</v>
      </c>
      <c r="H496" s="88" t="str">
        <f t="array" ref="H496">XLOOKUP(C496,'Master Data'!C:C,'Master Data'!F:F)</f>
        <v>#N/A</v>
      </c>
      <c r="I496" s="72" t="str">
        <f t="array" ref="I496">XLOOKUP(C496,'Master Data'!C:C,'Master Data'!G:G)</f>
        <v>#N/A</v>
      </c>
      <c r="J496" s="72" t="str">
        <f t="array" ref="J496">XLOOKUP(C496,'Master Data'!C:C,'Master Data'!H:H)</f>
        <v>#N/A</v>
      </c>
      <c r="K496" s="73"/>
      <c r="L496" s="149"/>
      <c r="M496" s="73"/>
      <c r="N496" s="73"/>
      <c r="O496" s="73"/>
      <c r="P496" s="73"/>
      <c r="Q496" s="73"/>
      <c r="R496" s="109"/>
      <c r="S496" s="4"/>
      <c r="T496" s="4"/>
      <c r="U496" s="4"/>
      <c r="V496" s="4"/>
      <c r="W496" s="4"/>
      <c r="X496" s="4"/>
      <c r="Y496" s="4"/>
      <c r="Z496" s="4"/>
      <c r="AA496" s="4"/>
      <c r="AB496" s="4"/>
      <c r="AC496" s="4"/>
      <c r="AD496" s="4"/>
      <c r="AE496" s="4"/>
      <c r="AF496" s="4"/>
    </row>
    <row r="497">
      <c r="A497" s="64" t="s">
        <v>12</v>
      </c>
      <c r="B497" s="64" t="s">
        <v>12</v>
      </c>
      <c r="C497" s="110" t="s">
        <v>12</v>
      </c>
      <c r="D497" s="103" t="s">
        <v>12</v>
      </c>
      <c r="E497" s="104"/>
      <c r="F497" s="105" t="str">
        <f t="array" ref="F497">XLOOKUP(C497,'Master Data'!C:C,'Master Data'!D:D)</f>
        <v/>
      </c>
      <c r="G497" s="90" t="str">
        <f t="array" ref="G497">XLOOKUP(C497,'Master Data'!C:C,'Master Data'!E:E)</f>
        <v/>
      </c>
      <c r="H497" s="88" t="str">
        <f t="array" ref="H497">XLOOKUP(C497,'Master Data'!C:C,'Master Data'!F:F)</f>
        <v/>
      </c>
      <c r="I497" s="72" t="str">
        <f t="array" ref="I497">XLOOKUP(C497,'Master Data'!C:C,'Master Data'!G:G)</f>
        <v/>
      </c>
      <c r="J497" s="72" t="str">
        <f t="array" ref="J497">XLOOKUP(C497,'Master Data'!C:C,'Master Data'!H:H)</f>
        <v/>
      </c>
      <c r="K497" s="64" t="s">
        <v>12</v>
      </c>
      <c r="L497" s="150" t="s">
        <v>12</v>
      </c>
      <c r="M497" s="64" t="s">
        <v>12</v>
      </c>
      <c r="N497" s="64" t="s">
        <v>12</v>
      </c>
      <c r="O497" s="64" t="s">
        <v>12</v>
      </c>
      <c r="P497" s="64"/>
      <c r="Q497" s="64" t="s">
        <v>12</v>
      </c>
      <c r="R497" s="151"/>
      <c r="S497" s="4"/>
      <c r="T497" s="4"/>
      <c r="U497" s="4"/>
      <c r="V497" s="4"/>
      <c r="W497" s="4"/>
      <c r="X497" s="4"/>
      <c r="Y497" s="4"/>
      <c r="Z497" s="4"/>
      <c r="AA497" s="4"/>
      <c r="AB497" s="4"/>
      <c r="AC497" s="4"/>
      <c r="AD497" s="4"/>
      <c r="AE497" s="4"/>
      <c r="AF497" s="4"/>
    </row>
    <row r="498">
      <c r="A498" s="4"/>
      <c r="B498" s="4"/>
      <c r="C498" s="152"/>
      <c r="D498" s="153"/>
      <c r="E498" s="153"/>
      <c r="F498" s="152"/>
      <c r="G498" s="154"/>
      <c r="H498" s="109"/>
      <c r="I498" s="109"/>
      <c r="J498" s="109"/>
      <c r="K498" s="109"/>
      <c r="L498" s="154"/>
      <c r="M498" s="109"/>
      <c r="N498" s="109"/>
      <c r="O498" s="109"/>
      <c r="P498" s="109"/>
      <c r="Q498" s="109"/>
      <c r="R498" s="109"/>
      <c r="S498" s="4"/>
      <c r="T498" s="4"/>
      <c r="U498" s="4"/>
      <c r="V498" s="4"/>
      <c r="W498" s="4"/>
      <c r="X498" s="4"/>
      <c r="Y498" s="4"/>
      <c r="Z498" s="4"/>
      <c r="AA498" s="4"/>
      <c r="AB498" s="4"/>
      <c r="AC498" s="4"/>
      <c r="AD498" s="4"/>
      <c r="AE498" s="4"/>
      <c r="AF498" s="4"/>
    </row>
    <row r="499">
      <c r="A499" s="4"/>
      <c r="B499" s="4"/>
      <c r="C499" s="152"/>
      <c r="D499" s="153"/>
      <c r="E499" s="153"/>
      <c r="F499" s="152"/>
      <c r="G499" s="154"/>
      <c r="H499" s="109"/>
      <c r="I499" s="109"/>
      <c r="J499" s="109"/>
      <c r="K499" s="109"/>
      <c r="L499" s="154"/>
      <c r="M499" s="109"/>
      <c r="N499" s="109"/>
      <c r="O499" s="109"/>
      <c r="P499" s="109"/>
      <c r="Q499" s="109"/>
      <c r="R499" s="109"/>
      <c r="S499" s="4"/>
      <c r="T499" s="4"/>
      <c r="U499" s="4"/>
      <c r="V499" s="4"/>
      <c r="W499" s="4"/>
      <c r="X499" s="4"/>
      <c r="Y499" s="4"/>
      <c r="Z499" s="4"/>
      <c r="AA499" s="4"/>
      <c r="AB499" s="4"/>
      <c r="AC499" s="4"/>
      <c r="AD499" s="4"/>
      <c r="AE499" s="4"/>
      <c r="AF499" s="4"/>
    </row>
    <row r="500">
      <c r="A500" s="4"/>
      <c r="B500" s="4"/>
      <c r="C500" s="152"/>
      <c r="D500" s="153"/>
      <c r="E500" s="153"/>
      <c r="F500" s="152"/>
      <c r="G500" s="154"/>
      <c r="H500" s="109"/>
      <c r="I500" s="109"/>
      <c r="J500" s="109"/>
      <c r="K500" s="109"/>
      <c r="L500" s="154"/>
      <c r="M500" s="109"/>
      <c r="N500" s="109"/>
      <c r="O500" s="109"/>
      <c r="P500" s="109"/>
      <c r="Q500" s="109"/>
      <c r="R500" s="109"/>
      <c r="S500" s="4"/>
      <c r="T500" s="4"/>
      <c r="U500" s="4"/>
      <c r="V500" s="4"/>
      <c r="W500" s="4"/>
      <c r="X500" s="4"/>
      <c r="Y500" s="4"/>
      <c r="Z500" s="4"/>
      <c r="AA500" s="4"/>
      <c r="AB500" s="4"/>
      <c r="AC500" s="4"/>
      <c r="AD500" s="4"/>
      <c r="AE500" s="4"/>
      <c r="AF500" s="4"/>
    </row>
    <row r="501">
      <c r="A501" s="4"/>
      <c r="B501" s="4"/>
      <c r="C501" s="152"/>
      <c r="D501" s="153"/>
      <c r="E501" s="153"/>
      <c r="F501" s="152"/>
      <c r="G501" s="154"/>
      <c r="H501" s="109"/>
      <c r="I501" s="109"/>
      <c r="J501" s="109"/>
      <c r="K501" s="109"/>
      <c r="L501" s="154"/>
      <c r="M501" s="109"/>
      <c r="N501" s="109"/>
      <c r="O501" s="109"/>
      <c r="P501" s="109"/>
      <c r="Q501" s="109"/>
      <c r="R501" s="109"/>
      <c r="S501" s="4"/>
      <c r="T501" s="4"/>
      <c r="U501" s="4"/>
      <c r="V501" s="4"/>
      <c r="W501" s="4"/>
      <c r="X501" s="4"/>
      <c r="Y501" s="4"/>
      <c r="Z501" s="4"/>
      <c r="AA501" s="4"/>
      <c r="AB501" s="4"/>
      <c r="AC501" s="4"/>
      <c r="AD501" s="4"/>
      <c r="AE501" s="4"/>
      <c r="AF501" s="4"/>
    </row>
    <row r="502">
      <c r="A502" s="4"/>
      <c r="B502" s="4"/>
      <c r="C502" s="152"/>
      <c r="D502" s="153"/>
      <c r="E502" s="153"/>
      <c r="F502" s="152"/>
      <c r="G502" s="154"/>
      <c r="H502" s="109"/>
      <c r="I502" s="109"/>
      <c r="J502" s="109"/>
      <c r="K502" s="109"/>
      <c r="L502" s="154"/>
      <c r="M502" s="109"/>
      <c r="N502" s="109"/>
      <c r="O502" s="109"/>
      <c r="P502" s="109"/>
      <c r="Q502" s="109"/>
      <c r="R502" s="109"/>
      <c r="S502" s="4"/>
      <c r="T502" s="4"/>
      <c r="U502" s="4"/>
      <c r="V502" s="4"/>
      <c r="W502" s="4"/>
      <c r="X502" s="4"/>
      <c r="Y502" s="4"/>
      <c r="Z502" s="4"/>
      <c r="AA502" s="4"/>
      <c r="AB502" s="4"/>
      <c r="AC502" s="4"/>
      <c r="AD502" s="4"/>
      <c r="AE502" s="4"/>
      <c r="AF502" s="4"/>
    </row>
    <row r="503">
      <c r="A503" s="4"/>
      <c r="B503" s="4"/>
      <c r="C503" s="152"/>
      <c r="D503" s="153"/>
      <c r="E503" s="153"/>
      <c r="F503" s="152"/>
      <c r="G503" s="154"/>
      <c r="H503" s="109"/>
      <c r="I503" s="109"/>
      <c r="J503" s="109"/>
      <c r="K503" s="109"/>
      <c r="L503" s="154"/>
      <c r="M503" s="109"/>
      <c r="N503" s="109"/>
      <c r="O503" s="109"/>
      <c r="P503" s="109"/>
      <c r="Q503" s="109"/>
      <c r="R503" s="109"/>
      <c r="S503" s="4"/>
      <c r="T503" s="4"/>
      <c r="U503" s="4"/>
      <c r="V503" s="4"/>
      <c r="W503" s="4"/>
      <c r="X503" s="4"/>
      <c r="Y503" s="4"/>
      <c r="Z503" s="4"/>
      <c r="AA503" s="4"/>
      <c r="AB503" s="4"/>
      <c r="AC503" s="4"/>
      <c r="AD503" s="4"/>
      <c r="AE503" s="4"/>
      <c r="AF503" s="4"/>
    </row>
    <row r="504">
      <c r="A504" s="4"/>
      <c r="B504" s="4"/>
      <c r="C504" s="152"/>
      <c r="D504" s="153"/>
      <c r="E504" s="153"/>
      <c r="F504" s="152"/>
      <c r="G504" s="154"/>
      <c r="H504" s="109"/>
      <c r="I504" s="109"/>
      <c r="J504" s="109"/>
      <c r="K504" s="109"/>
      <c r="L504" s="154"/>
      <c r="M504" s="109"/>
      <c r="N504" s="109"/>
      <c r="O504" s="109"/>
      <c r="P504" s="109"/>
      <c r="Q504" s="109"/>
      <c r="R504" s="109"/>
      <c r="S504" s="4"/>
      <c r="T504" s="4"/>
      <c r="U504" s="4"/>
      <c r="V504" s="4"/>
      <c r="W504" s="4"/>
      <c r="X504" s="4"/>
      <c r="Y504" s="4"/>
      <c r="Z504" s="4"/>
      <c r="AA504" s="4"/>
      <c r="AB504" s="4"/>
      <c r="AC504" s="4"/>
      <c r="AD504" s="4"/>
      <c r="AE504" s="4"/>
      <c r="AF504" s="4"/>
    </row>
    <row r="505">
      <c r="A505" s="4"/>
      <c r="B505" s="4"/>
      <c r="C505" s="152"/>
      <c r="D505" s="153"/>
      <c r="E505" s="153"/>
      <c r="F505" s="152"/>
      <c r="G505" s="154"/>
      <c r="H505" s="109"/>
      <c r="I505" s="109"/>
      <c r="J505" s="109"/>
      <c r="K505" s="109"/>
      <c r="L505" s="154"/>
      <c r="M505" s="109"/>
      <c r="N505" s="109"/>
      <c r="O505" s="109"/>
      <c r="P505" s="109"/>
      <c r="Q505" s="109"/>
      <c r="R505" s="109"/>
      <c r="S505" s="4"/>
      <c r="T505" s="4"/>
      <c r="U505" s="4"/>
      <c r="V505" s="4"/>
      <c r="W505" s="4"/>
      <c r="X505" s="4"/>
      <c r="Y505" s="4"/>
      <c r="Z505" s="4"/>
      <c r="AA505" s="4"/>
      <c r="AB505" s="4"/>
      <c r="AC505" s="4"/>
      <c r="AD505" s="4"/>
      <c r="AE505" s="4"/>
      <c r="AF505" s="4"/>
    </row>
    <row r="506">
      <c r="A506" s="4"/>
      <c r="B506" s="4"/>
      <c r="C506" s="152"/>
      <c r="D506" s="153"/>
      <c r="E506" s="153"/>
      <c r="F506" s="152"/>
      <c r="G506" s="154"/>
      <c r="H506" s="109"/>
      <c r="I506" s="109"/>
      <c r="J506" s="109"/>
      <c r="K506" s="109"/>
      <c r="L506" s="154"/>
      <c r="M506" s="109"/>
      <c r="N506" s="109"/>
      <c r="O506" s="109"/>
      <c r="P506" s="109"/>
      <c r="Q506" s="109"/>
      <c r="R506" s="109"/>
      <c r="S506" s="4"/>
      <c r="T506" s="4"/>
      <c r="U506" s="4"/>
      <c r="V506" s="4"/>
      <c r="W506" s="4"/>
      <c r="X506" s="4"/>
      <c r="Y506" s="4"/>
      <c r="Z506" s="4"/>
      <c r="AA506" s="4"/>
      <c r="AB506" s="4"/>
      <c r="AC506" s="4"/>
      <c r="AD506" s="4"/>
      <c r="AE506" s="4"/>
      <c r="AF506" s="4"/>
    </row>
    <row r="507">
      <c r="A507" s="4"/>
      <c r="B507" s="4"/>
      <c r="C507" s="152"/>
      <c r="D507" s="153"/>
      <c r="E507" s="153"/>
      <c r="F507" s="152"/>
      <c r="G507" s="154"/>
      <c r="H507" s="109"/>
      <c r="I507" s="109"/>
      <c r="J507" s="109"/>
      <c r="K507" s="109"/>
      <c r="L507" s="154"/>
      <c r="M507" s="109"/>
      <c r="N507" s="109"/>
      <c r="O507" s="109"/>
      <c r="P507" s="109"/>
      <c r="Q507" s="109"/>
      <c r="R507" s="109"/>
      <c r="S507" s="4"/>
      <c r="T507" s="4"/>
      <c r="U507" s="4"/>
      <c r="V507" s="4"/>
      <c r="W507" s="4"/>
      <c r="X507" s="4"/>
      <c r="Y507" s="4"/>
      <c r="Z507" s="4"/>
      <c r="AA507" s="4"/>
      <c r="AB507" s="4"/>
      <c r="AC507" s="4"/>
      <c r="AD507" s="4"/>
      <c r="AE507" s="4"/>
      <c r="AF507" s="4"/>
    </row>
    <row r="508">
      <c r="A508" s="4"/>
      <c r="B508" s="4"/>
      <c r="C508" s="152"/>
      <c r="D508" s="153"/>
      <c r="E508" s="153"/>
      <c r="F508" s="152"/>
      <c r="G508" s="154"/>
      <c r="H508" s="109"/>
      <c r="I508" s="109"/>
      <c r="J508" s="109"/>
      <c r="K508" s="109"/>
      <c r="L508" s="154"/>
      <c r="M508" s="109"/>
      <c r="N508" s="109"/>
      <c r="O508" s="109"/>
      <c r="P508" s="109"/>
      <c r="Q508" s="109"/>
      <c r="R508" s="109"/>
      <c r="S508" s="4"/>
      <c r="T508" s="4"/>
      <c r="U508" s="4"/>
      <c r="V508" s="4"/>
      <c r="W508" s="4"/>
      <c r="X508" s="4"/>
      <c r="Y508" s="4"/>
      <c r="Z508" s="4"/>
      <c r="AA508" s="4"/>
      <c r="AB508" s="4"/>
      <c r="AC508" s="4"/>
      <c r="AD508" s="4"/>
      <c r="AE508" s="4"/>
      <c r="AF508" s="4"/>
    </row>
    <row r="509">
      <c r="A509" s="4"/>
      <c r="B509" s="4"/>
      <c r="C509" s="152"/>
      <c r="D509" s="153"/>
      <c r="E509" s="153"/>
      <c r="F509" s="152"/>
      <c r="G509" s="154"/>
      <c r="H509" s="109"/>
      <c r="I509" s="109"/>
      <c r="J509" s="109"/>
      <c r="K509" s="109"/>
      <c r="L509" s="154"/>
      <c r="M509" s="109"/>
      <c r="N509" s="109"/>
      <c r="O509" s="109"/>
      <c r="P509" s="109"/>
      <c r="Q509" s="109"/>
      <c r="R509" s="109"/>
      <c r="S509" s="4"/>
      <c r="T509" s="4"/>
      <c r="U509" s="4"/>
      <c r="V509" s="4"/>
      <c r="W509" s="4"/>
      <c r="X509" s="4"/>
      <c r="Y509" s="4"/>
      <c r="Z509" s="4"/>
      <c r="AA509" s="4"/>
      <c r="AB509" s="4"/>
      <c r="AC509" s="4"/>
      <c r="AD509" s="4"/>
      <c r="AE509" s="4"/>
      <c r="AF509" s="4"/>
    </row>
    <row r="510">
      <c r="A510" s="4"/>
      <c r="B510" s="4"/>
      <c r="C510" s="152"/>
      <c r="D510" s="153"/>
      <c r="E510" s="153"/>
      <c r="F510" s="152"/>
      <c r="G510" s="154"/>
      <c r="H510" s="109"/>
      <c r="I510" s="109"/>
      <c r="J510" s="109"/>
      <c r="K510" s="109"/>
      <c r="L510" s="154"/>
      <c r="M510" s="109"/>
      <c r="N510" s="109"/>
      <c r="O510" s="109"/>
      <c r="P510" s="109"/>
      <c r="Q510" s="109"/>
      <c r="R510" s="109"/>
      <c r="S510" s="4"/>
      <c r="T510" s="4"/>
      <c r="U510" s="4"/>
      <c r="V510" s="4"/>
      <c r="W510" s="4"/>
      <c r="X510" s="4"/>
      <c r="Y510" s="4"/>
      <c r="Z510" s="4"/>
      <c r="AA510" s="4"/>
      <c r="AB510" s="4"/>
      <c r="AC510" s="4"/>
      <c r="AD510" s="4"/>
      <c r="AE510" s="4"/>
      <c r="AF510" s="4"/>
    </row>
    <row r="511">
      <c r="A511" s="4"/>
      <c r="B511" s="4"/>
      <c r="C511" s="152"/>
      <c r="D511" s="153"/>
      <c r="E511" s="153"/>
      <c r="F511" s="152"/>
      <c r="G511" s="154"/>
      <c r="H511" s="109"/>
      <c r="I511" s="109"/>
      <c r="J511" s="109"/>
      <c r="K511" s="109"/>
      <c r="L511" s="154"/>
      <c r="M511" s="109"/>
      <c r="N511" s="109"/>
      <c r="O511" s="109"/>
      <c r="P511" s="109"/>
      <c r="Q511" s="109"/>
      <c r="R511" s="109"/>
      <c r="S511" s="4"/>
      <c r="T511" s="4"/>
      <c r="U511" s="4"/>
      <c r="V511" s="4"/>
      <c r="W511" s="4"/>
      <c r="X511" s="4"/>
      <c r="Y511" s="4"/>
      <c r="Z511" s="4"/>
      <c r="AA511" s="4"/>
      <c r="AB511" s="4"/>
      <c r="AC511" s="4"/>
      <c r="AD511" s="4"/>
      <c r="AE511" s="4"/>
      <c r="AF511" s="4"/>
    </row>
    <row r="512">
      <c r="A512" s="4"/>
      <c r="B512" s="4"/>
      <c r="C512" s="152"/>
      <c r="D512" s="153"/>
      <c r="E512" s="153"/>
      <c r="F512" s="152"/>
      <c r="G512" s="154"/>
      <c r="H512" s="109"/>
      <c r="I512" s="109"/>
      <c r="J512" s="109"/>
      <c r="K512" s="109"/>
      <c r="L512" s="154"/>
      <c r="M512" s="109"/>
      <c r="N512" s="109"/>
      <c r="O512" s="109"/>
      <c r="P512" s="109"/>
      <c r="Q512" s="109"/>
      <c r="R512" s="109"/>
      <c r="S512" s="4"/>
      <c r="T512" s="4"/>
      <c r="U512" s="4"/>
      <c r="V512" s="4"/>
      <c r="W512" s="4"/>
      <c r="X512" s="4"/>
      <c r="Y512" s="4"/>
      <c r="Z512" s="4"/>
      <c r="AA512" s="4"/>
      <c r="AB512" s="4"/>
      <c r="AC512" s="4"/>
      <c r="AD512" s="4"/>
      <c r="AE512" s="4"/>
      <c r="AF512" s="4"/>
    </row>
    <row r="513">
      <c r="A513" s="4"/>
      <c r="B513" s="4"/>
      <c r="C513" s="152"/>
      <c r="D513" s="153"/>
      <c r="E513" s="153"/>
      <c r="F513" s="152"/>
      <c r="G513" s="154"/>
      <c r="H513" s="109"/>
      <c r="I513" s="109"/>
      <c r="J513" s="109"/>
      <c r="K513" s="109"/>
      <c r="L513" s="154"/>
      <c r="M513" s="109"/>
      <c r="N513" s="109"/>
      <c r="O513" s="109"/>
      <c r="P513" s="109"/>
      <c r="Q513" s="109"/>
      <c r="R513" s="109"/>
      <c r="S513" s="4"/>
      <c r="T513" s="4"/>
      <c r="U513" s="4"/>
      <c r="V513" s="4"/>
      <c r="W513" s="4"/>
      <c r="X513" s="4"/>
      <c r="Y513" s="4"/>
      <c r="Z513" s="4"/>
      <c r="AA513" s="4"/>
      <c r="AB513" s="4"/>
      <c r="AC513" s="4"/>
      <c r="AD513" s="4"/>
      <c r="AE513" s="4"/>
      <c r="AF513" s="4"/>
    </row>
    <row r="514">
      <c r="A514" s="4"/>
      <c r="B514" s="4"/>
      <c r="C514" s="152"/>
      <c r="D514" s="153"/>
      <c r="E514" s="153"/>
      <c r="F514" s="152"/>
      <c r="G514" s="154"/>
      <c r="H514" s="109"/>
      <c r="I514" s="109"/>
      <c r="J514" s="109"/>
      <c r="K514" s="109"/>
      <c r="L514" s="154"/>
      <c r="M514" s="109"/>
      <c r="N514" s="109"/>
      <c r="O514" s="109"/>
      <c r="P514" s="109"/>
      <c r="Q514" s="109"/>
      <c r="R514" s="109"/>
      <c r="S514" s="4"/>
      <c r="T514" s="4"/>
      <c r="U514" s="4"/>
      <c r="V514" s="4"/>
      <c r="W514" s="4"/>
      <c r="X514" s="4"/>
      <c r="Y514" s="4"/>
      <c r="Z514" s="4"/>
      <c r="AA514" s="4"/>
      <c r="AB514" s="4"/>
      <c r="AC514" s="4"/>
      <c r="AD514" s="4"/>
      <c r="AE514" s="4"/>
      <c r="AF514" s="4"/>
    </row>
    <row r="515">
      <c r="A515" s="4"/>
      <c r="B515" s="4"/>
      <c r="C515" s="152"/>
      <c r="D515" s="153"/>
      <c r="E515" s="153"/>
      <c r="F515" s="152"/>
      <c r="G515" s="154"/>
      <c r="H515" s="109"/>
      <c r="I515" s="109"/>
      <c r="J515" s="109"/>
      <c r="K515" s="109"/>
      <c r="L515" s="154"/>
      <c r="M515" s="109"/>
      <c r="N515" s="109"/>
      <c r="O515" s="109"/>
      <c r="P515" s="109"/>
      <c r="Q515" s="109"/>
      <c r="R515" s="109"/>
      <c r="S515" s="4"/>
      <c r="T515" s="4"/>
      <c r="U515" s="4"/>
      <c r="V515" s="4"/>
      <c r="W515" s="4"/>
      <c r="X515" s="4"/>
      <c r="Y515" s="4"/>
      <c r="Z515" s="4"/>
      <c r="AA515" s="4"/>
      <c r="AB515" s="4"/>
      <c r="AC515" s="4"/>
      <c r="AD515" s="4"/>
      <c r="AE515" s="4"/>
      <c r="AF515" s="4"/>
    </row>
    <row r="516">
      <c r="A516" s="4"/>
      <c r="B516" s="4"/>
      <c r="C516" s="152"/>
      <c r="D516" s="153"/>
      <c r="E516" s="153"/>
      <c r="F516" s="152"/>
      <c r="G516" s="154"/>
      <c r="H516" s="109"/>
      <c r="I516" s="109"/>
      <c r="J516" s="109"/>
      <c r="K516" s="109"/>
      <c r="L516" s="154"/>
      <c r="M516" s="109"/>
      <c r="N516" s="109"/>
      <c r="O516" s="109"/>
      <c r="P516" s="109"/>
      <c r="Q516" s="109"/>
      <c r="R516" s="109"/>
      <c r="S516" s="4"/>
      <c r="T516" s="4"/>
      <c r="U516" s="4"/>
      <c r="V516" s="4"/>
      <c r="W516" s="4"/>
      <c r="X516" s="4"/>
      <c r="Y516" s="4"/>
      <c r="Z516" s="4"/>
      <c r="AA516" s="4"/>
      <c r="AB516" s="4"/>
      <c r="AC516" s="4"/>
      <c r="AD516" s="4"/>
      <c r="AE516" s="4"/>
      <c r="AF516" s="4"/>
    </row>
    <row r="517">
      <c r="A517" s="4"/>
      <c r="B517" s="4"/>
      <c r="C517" s="152"/>
      <c r="D517" s="153"/>
      <c r="E517" s="153"/>
      <c r="F517" s="152"/>
      <c r="G517" s="154"/>
      <c r="H517" s="109"/>
      <c r="I517" s="109"/>
      <c r="J517" s="109"/>
      <c r="K517" s="109"/>
      <c r="L517" s="154"/>
      <c r="M517" s="109"/>
      <c r="N517" s="109"/>
      <c r="O517" s="109"/>
      <c r="P517" s="109"/>
      <c r="Q517" s="109"/>
      <c r="R517" s="109"/>
      <c r="S517" s="4"/>
      <c r="T517" s="4"/>
      <c r="U517" s="4"/>
      <c r="V517" s="4"/>
      <c r="W517" s="4"/>
      <c r="X517" s="4"/>
      <c r="Y517" s="4"/>
      <c r="Z517" s="4"/>
      <c r="AA517" s="4"/>
      <c r="AB517" s="4"/>
      <c r="AC517" s="4"/>
      <c r="AD517" s="4"/>
      <c r="AE517" s="4"/>
      <c r="AF517" s="4"/>
    </row>
    <row r="518">
      <c r="A518" s="4"/>
      <c r="B518" s="4"/>
      <c r="C518" s="152"/>
      <c r="D518" s="153"/>
      <c r="E518" s="153"/>
      <c r="F518" s="152"/>
      <c r="G518" s="154"/>
      <c r="H518" s="109"/>
      <c r="I518" s="109"/>
      <c r="J518" s="109"/>
      <c r="K518" s="109"/>
      <c r="L518" s="154"/>
      <c r="M518" s="109"/>
      <c r="N518" s="109"/>
      <c r="O518" s="109"/>
      <c r="P518" s="109"/>
      <c r="Q518" s="109"/>
      <c r="R518" s="109"/>
      <c r="S518" s="4"/>
      <c r="T518" s="4"/>
      <c r="U518" s="4"/>
      <c r="V518" s="4"/>
      <c r="W518" s="4"/>
      <c r="X518" s="4"/>
      <c r="Y518" s="4"/>
      <c r="Z518" s="4"/>
      <c r="AA518" s="4"/>
      <c r="AB518" s="4"/>
      <c r="AC518" s="4"/>
      <c r="AD518" s="4"/>
      <c r="AE518" s="4"/>
      <c r="AF518" s="4"/>
    </row>
    <row r="519">
      <c r="A519" s="4"/>
      <c r="B519" s="4"/>
      <c r="C519" s="152"/>
      <c r="D519" s="153"/>
      <c r="E519" s="153"/>
      <c r="F519" s="152"/>
      <c r="G519" s="154"/>
      <c r="H519" s="109"/>
      <c r="I519" s="109"/>
      <c r="J519" s="109"/>
      <c r="K519" s="109"/>
      <c r="L519" s="154"/>
      <c r="M519" s="109"/>
      <c r="N519" s="109"/>
      <c r="O519" s="109"/>
      <c r="P519" s="109"/>
      <c r="Q519" s="109"/>
      <c r="R519" s="109"/>
      <c r="S519" s="4"/>
      <c r="T519" s="4"/>
      <c r="U519" s="4"/>
      <c r="V519" s="4"/>
      <c r="W519" s="4"/>
      <c r="X519" s="4"/>
      <c r="Y519" s="4"/>
      <c r="Z519" s="4"/>
      <c r="AA519" s="4"/>
      <c r="AB519" s="4"/>
      <c r="AC519" s="4"/>
      <c r="AD519" s="4"/>
      <c r="AE519" s="4"/>
      <c r="AF519" s="4"/>
    </row>
    <row r="520">
      <c r="A520" s="4"/>
      <c r="B520" s="4"/>
      <c r="C520" s="152"/>
      <c r="D520" s="153"/>
      <c r="E520" s="153"/>
      <c r="F520" s="152"/>
      <c r="G520" s="154"/>
      <c r="H520" s="109"/>
      <c r="I520" s="109"/>
      <c r="J520" s="109"/>
      <c r="K520" s="109"/>
      <c r="L520" s="154"/>
      <c r="M520" s="109"/>
      <c r="N520" s="109"/>
      <c r="O520" s="109"/>
      <c r="P520" s="109"/>
      <c r="Q520" s="109"/>
      <c r="R520" s="109"/>
      <c r="S520" s="4"/>
      <c r="T520" s="4"/>
      <c r="U520" s="4"/>
      <c r="V520" s="4"/>
      <c r="W520" s="4"/>
      <c r="X520" s="4"/>
      <c r="Y520" s="4"/>
      <c r="Z520" s="4"/>
      <c r="AA520" s="4"/>
      <c r="AB520" s="4"/>
      <c r="AC520" s="4"/>
      <c r="AD520" s="4"/>
      <c r="AE520" s="4"/>
      <c r="AF520" s="4"/>
    </row>
    <row r="521">
      <c r="A521" s="4"/>
      <c r="B521" s="4"/>
      <c r="C521" s="152"/>
      <c r="D521" s="153"/>
      <c r="E521" s="153"/>
      <c r="F521" s="152"/>
      <c r="G521" s="154"/>
      <c r="H521" s="109"/>
      <c r="I521" s="109"/>
      <c r="J521" s="109"/>
      <c r="K521" s="109"/>
      <c r="L521" s="154"/>
      <c r="M521" s="109"/>
      <c r="N521" s="109"/>
      <c r="O521" s="109"/>
      <c r="P521" s="109"/>
      <c r="Q521" s="109"/>
      <c r="R521" s="109"/>
      <c r="S521" s="4"/>
      <c r="T521" s="4"/>
      <c r="U521" s="4"/>
      <c r="V521" s="4"/>
      <c r="W521" s="4"/>
      <c r="X521" s="4"/>
      <c r="Y521" s="4"/>
      <c r="Z521" s="4"/>
      <c r="AA521" s="4"/>
      <c r="AB521" s="4"/>
      <c r="AC521" s="4"/>
      <c r="AD521" s="4"/>
      <c r="AE521" s="4"/>
      <c r="AF521" s="4"/>
    </row>
    <row r="522">
      <c r="A522" s="4"/>
      <c r="B522" s="4"/>
      <c r="C522" s="152"/>
      <c r="D522" s="153"/>
      <c r="E522" s="153"/>
      <c r="F522" s="152"/>
      <c r="G522" s="154"/>
      <c r="H522" s="109"/>
      <c r="I522" s="109"/>
      <c r="J522" s="109"/>
      <c r="K522" s="109"/>
      <c r="L522" s="154"/>
      <c r="M522" s="109"/>
      <c r="N522" s="109"/>
      <c r="O522" s="109"/>
      <c r="P522" s="109"/>
      <c r="Q522" s="109"/>
      <c r="R522" s="109"/>
      <c r="S522" s="4"/>
      <c r="T522" s="4"/>
      <c r="U522" s="4"/>
      <c r="V522" s="4"/>
      <c r="W522" s="4"/>
      <c r="X522" s="4"/>
      <c r="Y522" s="4"/>
      <c r="Z522" s="4"/>
      <c r="AA522" s="4"/>
      <c r="AB522" s="4"/>
      <c r="AC522" s="4"/>
      <c r="AD522" s="4"/>
      <c r="AE522" s="4"/>
      <c r="AF522" s="4"/>
    </row>
    <row r="523">
      <c r="A523" s="4"/>
      <c r="B523" s="4"/>
      <c r="C523" s="152"/>
      <c r="D523" s="153"/>
      <c r="E523" s="153"/>
      <c r="F523" s="152"/>
      <c r="G523" s="154"/>
      <c r="H523" s="109"/>
      <c r="I523" s="109"/>
      <c r="J523" s="109"/>
      <c r="K523" s="109"/>
      <c r="L523" s="154"/>
      <c r="M523" s="109"/>
      <c r="N523" s="109"/>
      <c r="O523" s="109"/>
      <c r="P523" s="109"/>
      <c r="Q523" s="109"/>
      <c r="R523" s="109"/>
      <c r="S523" s="4"/>
      <c r="T523" s="4"/>
      <c r="U523" s="4"/>
      <c r="V523" s="4"/>
      <c r="W523" s="4"/>
      <c r="X523" s="4"/>
      <c r="Y523" s="4"/>
      <c r="Z523" s="4"/>
      <c r="AA523" s="4"/>
      <c r="AB523" s="4"/>
      <c r="AC523" s="4"/>
      <c r="AD523" s="4"/>
      <c r="AE523" s="4"/>
      <c r="AF523" s="4"/>
    </row>
    <row r="524">
      <c r="A524" s="4"/>
      <c r="B524" s="4"/>
      <c r="C524" s="152"/>
      <c r="D524" s="153"/>
      <c r="E524" s="153"/>
      <c r="F524" s="152"/>
      <c r="G524" s="154"/>
      <c r="H524" s="109"/>
      <c r="I524" s="109"/>
      <c r="J524" s="109"/>
      <c r="K524" s="109"/>
      <c r="L524" s="154"/>
      <c r="M524" s="109"/>
      <c r="N524" s="109"/>
      <c r="O524" s="109"/>
      <c r="P524" s="109"/>
      <c r="Q524" s="109"/>
      <c r="R524" s="109"/>
      <c r="S524" s="4"/>
      <c r="T524" s="4"/>
      <c r="U524" s="4"/>
      <c r="V524" s="4"/>
      <c r="W524" s="4"/>
      <c r="X524" s="4"/>
      <c r="Y524" s="4"/>
      <c r="Z524" s="4"/>
      <c r="AA524" s="4"/>
      <c r="AB524" s="4"/>
      <c r="AC524" s="4"/>
      <c r="AD524" s="4"/>
      <c r="AE524" s="4"/>
      <c r="AF524" s="4"/>
    </row>
    <row r="525">
      <c r="A525" s="4"/>
      <c r="B525" s="4"/>
      <c r="C525" s="152"/>
      <c r="D525" s="153"/>
      <c r="E525" s="153"/>
      <c r="F525" s="152"/>
      <c r="G525" s="154"/>
      <c r="H525" s="109"/>
      <c r="I525" s="109"/>
      <c r="J525" s="109"/>
      <c r="K525" s="109"/>
      <c r="L525" s="154"/>
      <c r="M525" s="109"/>
      <c r="N525" s="109"/>
      <c r="O525" s="109"/>
      <c r="P525" s="109"/>
      <c r="Q525" s="109"/>
      <c r="R525" s="109"/>
      <c r="S525" s="4"/>
      <c r="T525" s="4"/>
      <c r="U525" s="4"/>
      <c r="V525" s="4"/>
      <c r="W525" s="4"/>
      <c r="X525" s="4"/>
      <c r="Y525" s="4"/>
      <c r="Z525" s="4"/>
      <c r="AA525" s="4"/>
      <c r="AB525" s="4"/>
      <c r="AC525" s="4"/>
      <c r="AD525" s="4"/>
      <c r="AE525" s="4"/>
      <c r="AF525" s="4"/>
    </row>
    <row r="526">
      <c r="A526" s="4"/>
      <c r="B526" s="4"/>
      <c r="C526" s="152"/>
      <c r="D526" s="153"/>
      <c r="E526" s="153"/>
      <c r="F526" s="152"/>
      <c r="G526" s="154"/>
      <c r="H526" s="109"/>
      <c r="I526" s="109"/>
      <c r="J526" s="109"/>
      <c r="K526" s="109"/>
      <c r="L526" s="154"/>
      <c r="M526" s="109"/>
      <c r="N526" s="109"/>
      <c r="O526" s="109"/>
      <c r="P526" s="109"/>
      <c r="Q526" s="109"/>
      <c r="R526" s="109"/>
      <c r="S526" s="4"/>
      <c r="T526" s="4"/>
      <c r="U526" s="4"/>
      <c r="V526" s="4"/>
      <c r="W526" s="4"/>
      <c r="X526" s="4"/>
      <c r="Y526" s="4"/>
      <c r="Z526" s="4"/>
      <c r="AA526" s="4"/>
      <c r="AB526" s="4"/>
      <c r="AC526" s="4"/>
      <c r="AD526" s="4"/>
      <c r="AE526" s="4"/>
      <c r="AF526" s="4"/>
    </row>
    <row r="527">
      <c r="A527" s="4"/>
      <c r="B527" s="4"/>
      <c r="C527" s="152"/>
      <c r="D527" s="153"/>
      <c r="E527" s="153"/>
      <c r="F527" s="152"/>
      <c r="G527" s="154"/>
      <c r="H527" s="109"/>
      <c r="I527" s="109"/>
      <c r="J527" s="109"/>
      <c r="K527" s="109"/>
      <c r="L527" s="154"/>
      <c r="M527" s="109"/>
      <c r="N527" s="109"/>
      <c r="O527" s="109"/>
      <c r="P527" s="109"/>
      <c r="Q527" s="109"/>
      <c r="R527" s="109"/>
      <c r="S527" s="4"/>
      <c r="T527" s="4"/>
      <c r="U527" s="4"/>
      <c r="V527" s="4"/>
      <c r="W527" s="4"/>
      <c r="X527" s="4"/>
      <c r="Y527" s="4"/>
      <c r="Z527" s="4"/>
      <c r="AA527" s="4"/>
      <c r="AB527" s="4"/>
      <c r="AC527" s="4"/>
      <c r="AD527" s="4"/>
      <c r="AE527" s="4"/>
      <c r="AF527" s="4"/>
    </row>
    <row r="528">
      <c r="A528" s="4"/>
      <c r="B528" s="4"/>
      <c r="C528" s="152"/>
      <c r="D528" s="153"/>
      <c r="E528" s="153"/>
      <c r="F528" s="152"/>
      <c r="G528" s="154"/>
      <c r="H528" s="109"/>
      <c r="I528" s="109"/>
      <c r="J528" s="109"/>
      <c r="K528" s="109"/>
      <c r="L528" s="154"/>
      <c r="M528" s="109"/>
      <c r="N528" s="109"/>
      <c r="O528" s="109"/>
      <c r="P528" s="109"/>
      <c r="Q528" s="109"/>
      <c r="R528" s="109"/>
      <c r="S528" s="4"/>
      <c r="T528" s="4"/>
      <c r="U528" s="4"/>
      <c r="V528" s="4"/>
      <c r="W528" s="4"/>
      <c r="X528" s="4"/>
      <c r="Y528" s="4"/>
      <c r="Z528" s="4"/>
      <c r="AA528" s="4"/>
      <c r="AB528" s="4"/>
      <c r="AC528" s="4"/>
      <c r="AD528" s="4"/>
      <c r="AE528" s="4"/>
      <c r="AF528" s="4"/>
    </row>
    <row r="529">
      <c r="A529" s="4"/>
      <c r="B529" s="4"/>
      <c r="C529" s="152"/>
      <c r="D529" s="153"/>
      <c r="E529" s="153"/>
      <c r="F529" s="152"/>
      <c r="G529" s="154"/>
      <c r="H529" s="109"/>
      <c r="I529" s="109"/>
      <c r="J529" s="109"/>
      <c r="K529" s="109"/>
      <c r="L529" s="154"/>
      <c r="M529" s="109"/>
      <c r="N529" s="109"/>
      <c r="O529" s="109"/>
      <c r="P529" s="109"/>
      <c r="Q529" s="109"/>
      <c r="R529" s="109"/>
      <c r="S529" s="4"/>
      <c r="T529" s="4"/>
      <c r="U529" s="4"/>
      <c r="V529" s="4"/>
      <c r="W529" s="4"/>
      <c r="X529" s="4"/>
      <c r="Y529" s="4"/>
      <c r="Z529" s="4"/>
      <c r="AA529" s="4"/>
      <c r="AB529" s="4"/>
      <c r="AC529" s="4"/>
      <c r="AD529" s="4"/>
      <c r="AE529" s="4"/>
      <c r="AF529" s="4"/>
    </row>
    <row r="530">
      <c r="A530" s="4"/>
      <c r="B530" s="4"/>
      <c r="C530" s="152"/>
      <c r="D530" s="153"/>
      <c r="E530" s="153"/>
      <c r="F530" s="152"/>
      <c r="G530" s="154"/>
      <c r="H530" s="109"/>
      <c r="I530" s="109"/>
      <c r="J530" s="109"/>
      <c r="K530" s="109"/>
      <c r="L530" s="154"/>
      <c r="M530" s="109"/>
      <c r="N530" s="109"/>
      <c r="O530" s="109"/>
      <c r="P530" s="109"/>
      <c r="Q530" s="109"/>
      <c r="R530" s="109"/>
      <c r="S530" s="4"/>
      <c r="T530" s="4"/>
      <c r="U530" s="4"/>
      <c r="V530" s="4"/>
      <c r="W530" s="4"/>
      <c r="X530" s="4"/>
      <c r="Y530" s="4"/>
      <c r="Z530" s="4"/>
      <c r="AA530" s="4"/>
      <c r="AB530" s="4"/>
      <c r="AC530" s="4"/>
      <c r="AD530" s="4"/>
      <c r="AE530" s="4"/>
      <c r="AF530" s="4"/>
    </row>
    <row r="531">
      <c r="A531" s="4"/>
      <c r="B531" s="4"/>
      <c r="C531" s="152"/>
      <c r="D531" s="153"/>
      <c r="E531" s="153"/>
      <c r="F531" s="152"/>
      <c r="G531" s="154"/>
      <c r="H531" s="109"/>
      <c r="I531" s="109"/>
      <c r="J531" s="109"/>
      <c r="K531" s="109"/>
      <c r="L531" s="154"/>
      <c r="M531" s="109"/>
      <c r="N531" s="109"/>
      <c r="O531" s="109"/>
      <c r="P531" s="109"/>
      <c r="Q531" s="109"/>
      <c r="R531" s="109"/>
      <c r="S531" s="4"/>
      <c r="T531" s="4"/>
      <c r="U531" s="4"/>
      <c r="V531" s="4"/>
      <c r="W531" s="4"/>
      <c r="X531" s="4"/>
      <c r="Y531" s="4"/>
      <c r="Z531" s="4"/>
      <c r="AA531" s="4"/>
      <c r="AB531" s="4"/>
      <c r="AC531" s="4"/>
      <c r="AD531" s="4"/>
      <c r="AE531" s="4"/>
      <c r="AF531" s="4"/>
    </row>
    <row r="532">
      <c r="A532" s="4"/>
      <c r="B532" s="4"/>
      <c r="C532" s="152"/>
      <c r="D532" s="153"/>
      <c r="E532" s="153"/>
      <c r="F532" s="152"/>
      <c r="G532" s="154"/>
      <c r="H532" s="109"/>
      <c r="I532" s="109"/>
      <c r="J532" s="109"/>
      <c r="K532" s="109"/>
      <c r="L532" s="154"/>
      <c r="M532" s="109"/>
      <c r="N532" s="109"/>
      <c r="O532" s="109"/>
      <c r="P532" s="109"/>
      <c r="Q532" s="109"/>
      <c r="R532" s="109"/>
      <c r="S532" s="4"/>
      <c r="T532" s="4"/>
      <c r="U532" s="4"/>
      <c r="V532" s="4"/>
      <c r="W532" s="4"/>
      <c r="X532" s="4"/>
      <c r="Y532" s="4"/>
      <c r="Z532" s="4"/>
      <c r="AA532" s="4"/>
      <c r="AB532" s="4"/>
      <c r="AC532" s="4"/>
      <c r="AD532" s="4"/>
      <c r="AE532" s="4"/>
      <c r="AF532" s="4"/>
    </row>
    <row r="533">
      <c r="A533" s="4"/>
      <c r="B533" s="4"/>
      <c r="C533" s="152"/>
      <c r="D533" s="153"/>
      <c r="E533" s="153"/>
      <c r="F533" s="152"/>
      <c r="G533" s="154"/>
      <c r="H533" s="109"/>
      <c r="I533" s="109"/>
      <c r="J533" s="109"/>
      <c r="K533" s="109"/>
      <c r="L533" s="154"/>
      <c r="M533" s="109"/>
      <c r="N533" s="109"/>
      <c r="O533" s="109"/>
      <c r="P533" s="109"/>
      <c r="Q533" s="109"/>
      <c r="R533" s="109"/>
      <c r="S533" s="4"/>
      <c r="T533" s="4"/>
      <c r="U533" s="4"/>
      <c r="V533" s="4"/>
      <c r="W533" s="4"/>
      <c r="X533" s="4"/>
      <c r="Y533" s="4"/>
      <c r="Z533" s="4"/>
      <c r="AA533" s="4"/>
      <c r="AB533" s="4"/>
      <c r="AC533" s="4"/>
      <c r="AD533" s="4"/>
      <c r="AE533" s="4"/>
      <c r="AF533" s="4"/>
    </row>
    <row r="534">
      <c r="A534" s="4"/>
      <c r="B534" s="4"/>
      <c r="C534" s="152"/>
      <c r="D534" s="153"/>
      <c r="E534" s="153"/>
      <c r="F534" s="152"/>
      <c r="G534" s="154"/>
      <c r="H534" s="109"/>
      <c r="I534" s="109"/>
      <c r="J534" s="109"/>
      <c r="K534" s="109"/>
      <c r="L534" s="154"/>
      <c r="M534" s="109"/>
      <c r="N534" s="109"/>
      <c r="O534" s="109"/>
      <c r="P534" s="109"/>
      <c r="Q534" s="109"/>
      <c r="R534" s="109"/>
      <c r="S534" s="4"/>
      <c r="T534" s="4"/>
      <c r="U534" s="4"/>
      <c r="V534" s="4"/>
      <c r="W534" s="4"/>
      <c r="X534" s="4"/>
      <c r="Y534" s="4"/>
      <c r="Z534" s="4"/>
      <c r="AA534" s="4"/>
      <c r="AB534" s="4"/>
      <c r="AC534" s="4"/>
      <c r="AD534" s="4"/>
      <c r="AE534" s="4"/>
      <c r="AF534" s="4"/>
    </row>
    <row r="535">
      <c r="A535" s="4"/>
      <c r="B535" s="4"/>
      <c r="C535" s="152"/>
      <c r="D535" s="153"/>
      <c r="E535" s="153"/>
      <c r="F535" s="152"/>
      <c r="G535" s="154"/>
      <c r="H535" s="109"/>
      <c r="I535" s="109"/>
      <c r="J535" s="109"/>
      <c r="K535" s="109"/>
      <c r="L535" s="154"/>
      <c r="M535" s="109"/>
      <c r="N535" s="109"/>
      <c r="O535" s="109"/>
      <c r="P535" s="109"/>
      <c r="Q535" s="109"/>
      <c r="R535" s="109"/>
      <c r="S535" s="4"/>
      <c r="T535" s="4"/>
      <c r="U535" s="4"/>
      <c r="V535" s="4"/>
      <c r="W535" s="4"/>
      <c r="X535" s="4"/>
      <c r="Y535" s="4"/>
      <c r="Z535" s="4"/>
      <c r="AA535" s="4"/>
      <c r="AB535" s="4"/>
      <c r="AC535" s="4"/>
      <c r="AD535" s="4"/>
      <c r="AE535" s="4"/>
      <c r="AF535" s="4"/>
    </row>
    <row r="536">
      <c r="A536" s="4"/>
      <c r="B536" s="4"/>
      <c r="C536" s="152"/>
      <c r="D536" s="153"/>
      <c r="E536" s="153"/>
      <c r="F536" s="152"/>
      <c r="G536" s="154"/>
      <c r="H536" s="109"/>
      <c r="I536" s="109"/>
      <c r="J536" s="109"/>
      <c r="K536" s="109"/>
      <c r="L536" s="154"/>
      <c r="M536" s="109"/>
      <c r="N536" s="109"/>
      <c r="O536" s="109"/>
      <c r="P536" s="109"/>
      <c r="Q536" s="109"/>
      <c r="R536" s="109"/>
      <c r="S536" s="4"/>
      <c r="T536" s="4"/>
      <c r="U536" s="4"/>
      <c r="V536" s="4"/>
      <c r="W536" s="4"/>
      <c r="X536" s="4"/>
      <c r="Y536" s="4"/>
      <c r="Z536" s="4"/>
      <c r="AA536" s="4"/>
      <c r="AB536" s="4"/>
      <c r="AC536" s="4"/>
      <c r="AD536" s="4"/>
      <c r="AE536" s="4"/>
      <c r="AF536" s="4"/>
    </row>
    <row r="537">
      <c r="A537" s="4"/>
      <c r="B537" s="4"/>
      <c r="C537" s="152"/>
      <c r="D537" s="153"/>
      <c r="E537" s="153"/>
      <c r="F537" s="152"/>
      <c r="G537" s="154"/>
      <c r="H537" s="109"/>
      <c r="I537" s="109"/>
      <c r="J537" s="109"/>
      <c r="K537" s="109"/>
      <c r="L537" s="154"/>
      <c r="M537" s="109"/>
      <c r="N537" s="109"/>
      <c r="O537" s="109"/>
      <c r="P537" s="109"/>
      <c r="Q537" s="109"/>
      <c r="R537" s="109"/>
      <c r="S537" s="4"/>
      <c r="T537" s="4"/>
      <c r="U537" s="4"/>
      <c r="V537" s="4"/>
      <c r="W537" s="4"/>
      <c r="X537" s="4"/>
      <c r="Y537" s="4"/>
      <c r="Z537" s="4"/>
      <c r="AA537" s="4"/>
      <c r="AB537" s="4"/>
      <c r="AC537" s="4"/>
      <c r="AD537" s="4"/>
      <c r="AE537" s="4"/>
      <c r="AF537" s="4"/>
    </row>
    <row r="538">
      <c r="A538" s="4"/>
      <c r="B538" s="4"/>
      <c r="C538" s="152"/>
      <c r="D538" s="153"/>
      <c r="E538" s="153"/>
      <c r="F538" s="152"/>
      <c r="G538" s="154"/>
      <c r="H538" s="109"/>
      <c r="I538" s="109"/>
      <c r="J538" s="109"/>
      <c r="K538" s="109"/>
      <c r="L538" s="154"/>
      <c r="M538" s="109"/>
      <c r="N538" s="109"/>
      <c r="O538" s="109"/>
      <c r="P538" s="109"/>
      <c r="Q538" s="109"/>
      <c r="R538" s="109"/>
      <c r="S538" s="4"/>
      <c r="T538" s="4"/>
      <c r="U538" s="4"/>
      <c r="V538" s="4"/>
      <c r="W538" s="4"/>
      <c r="X538" s="4"/>
      <c r="Y538" s="4"/>
      <c r="Z538" s="4"/>
      <c r="AA538" s="4"/>
      <c r="AB538" s="4"/>
      <c r="AC538" s="4"/>
      <c r="AD538" s="4"/>
      <c r="AE538" s="4"/>
      <c r="AF538" s="4"/>
    </row>
    <row r="539">
      <c r="A539" s="4"/>
      <c r="B539" s="4"/>
      <c r="C539" s="152"/>
      <c r="D539" s="153"/>
      <c r="E539" s="153"/>
      <c r="F539" s="152"/>
      <c r="G539" s="154"/>
      <c r="H539" s="109"/>
      <c r="I539" s="109"/>
      <c r="J539" s="109"/>
      <c r="K539" s="109"/>
      <c r="L539" s="154"/>
      <c r="M539" s="109"/>
      <c r="N539" s="109"/>
      <c r="O539" s="109"/>
      <c r="P539" s="109"/>
      <c r="Q539" s="109"/>
      <c r="R539" s="109"/>
      <c r="S539" s="4"/>
      <c r="T539" s="4"/>
      <c r="U539" s="4"/>
      <c r="V539" s="4"/>
      <c r="W539" s="4"/>
      <c r="X539" s="4"/>
      <c r="Y539" s="4"/>
      <c r="Z539" s="4"/>
      <c r="AA539" s="4"/>
      <c r="AB539" s="4"/>
      <c r="AC539" s="4"/>
      <c r="AD539" s="4"/>
      <c r="AE539" s="4"/>
      <c r="AF539" s="4"/>
    </row>
    <row r="540">
      <c r="A540" s="4"/>
      <c r="B540" s="4"/>
      <c r="C540" s="152"/>
      <c r="D540" s="153"/>
      <c r="E540" s="153"/>
      <c r="F540" s="152"/>
      <c r="G540" s="154"/>
      <c r="H540" s="109"/>
      <c r="I540" s="109"/>
      <c r="J540" s="109"/>
      <c r="K540" s="109"/>
      <c r="L540" s="154"/>
      <c r="M540" s="109"/>
      <c r="N540" s="109"/>
      <c r="O540" s="109"/>
      <c r="P540" s="109"/>
      <c r="Q540" s="109"/>
      <c r="R540" s="109"/>
      <c r="S540" s="4"/>
      <c r="T540" s="4"/>
      <c r="U540" s="4"/>
      <c r="V540" s="4"/>
      <c r="W540" s="4"/>
      <c r="X540" s="4"/>
      <c r="Y540" s="4"/>
      <c r="Z540" s="4"/>
      <c r="AA540" s="4"/>
      <c r="AB540" s="4"/>
      <c r="AC540" s="4"/>
      <c r="AD540" s="4"/>
      <c r="AE540" s="4"/>
      <c r="AF540" s="4"/>
    </row>
    <row r="541">
      <c r="A541" s="4"/>
      <c r="B541" s="4"/>
      <c r="C541" s="152"/>
      <c r="D541" s="153"/>
      <c r="E541" s="153"/>
      <c r="F541" s="152"/>
      <c r="G541" s="154"/>
      <c r="H541" s="109"/>
      <c r="I541" s="109"/>
      <c r="J541" s="109"/>
      <c r="K541" s="109"/>
      <c r="L541" s="154"/>
      <c r="M541" s="109"/>
      <c r="N541" s="109"/>
      <c r="O541" s="109"/>
      <c r="P541" s="109"/>
      <c r="Q541" s="109"/>
      <c r="R541" s="109"/>
      <c r="S541" s="4"/>
      <c r="T541" s="4"/>
      <c r="U541" s="4"/>
      <c r="V541" s="4"/>
      <c r="W541" s="4"/>
      <c r="X541" s="4"/>
      <c r="Y541" s="4"/>
      <c r="Z541" s="4"/>
      <c r="AA541" s="4"/>
      <c r="AB541" s="4"/>
      <c r="AC541" s="4"/>
      <c r="AD541" s="4"/>
      <c r="AE541" s="4"/>
      <c r="AF541" s="4"/>
    </row>
    <row r="542">
      <c r="A542" s="4"/>
      <c r="B542" s="4"/>
      <c r="C542" s="152"/>
      <c r="D542" s="153"/>
      <c r="E542" s="153"/>
      <c r="F542" s="152"/>
      <c r="G542" s="154"/>
      <c r="H542" s="109"/>
      <c r="I542" s="109"/>
      <c r="J542" s="109"/>
      <c r="K542" s="109"/>
      <c r="L542" s="154"/>
      <c r="M542" s="109"/>
      <c r="N542" s="109"/>
      <c r="O542" s="109"/>
      <c r="P542" s="109"/>
      <c r="Q542" s="109"/>
      <c r="R542" s="109"/>
      <c r="S542" s="4"/>
      <c r="T542" s="4"/>
      <c r="U542" s="4"/>
      <c r="V542" s="4"/>
      <c r="W542" s="4"/>
      <c r="X542" s="4"/>
      <c r="Y542" s="4"/>
      <c r="Z542" s="4"/>
      <c r="AA542" s="4"/>
      <c r="AB542" s="4"/>
      <c r="AC542" s="4"/>
      <c r="AD542" s="4"/>
      <c r="AE542" s="4"/>
      <c r="AF542" s="4"/>
    </row>
    <row r="543">
      <c r="A543" s="4"/>
      <c r="B543" s="4"/>
      <c r="C543" s="152"/>
      <c r="D543" s="153"/>
      <c r="E543" s="153"/>
      <c r="F543" s="152"/>
      <c r="G543" s="154"/>
      <c r="H543" s="109"/>
      <c r="I543" s="109"/>
      <c r="J543" s="109"/>
      <c r="K543" s="109"/>
      <c r="L543" s="154"/>
      <c r="M543" s="109"/>
      <c r="N543" s="109"/>
      <c r="O543" s="109"/>
      <c r="P543" s="109"/>
      <c r="Q543" s="109"/>
      <c r="R543" s="109"/>
      <c r="S543" s="4"/>
      <c r="T543" s="4"/>
      <c r="U543" s="4"/>
      <c r="V543" s="4"/>
      <c r="W543" s="4"/>
      <c r="X543" s="4"/>
      <c r="Y543" s="4"/>
      <c r="Z543" s="4"/>
      <c r="AA543" s="4"/>
      <c r="AB543" s="4"/>
      <c r="AC543" s="4"/>
      <c r="AD543" s="4"/>
      <c r="AE543" s="4"/>
      <c r="AF543" s="4"/>
    </row>
    <row r="544">
      <c r="A544" s="4"/>
      <c r="B544" s="4"/>
      <c r="C544" s="152"/>
      <c r="D544" s="153"/>
      <c r="E544" s="153"/>
      <c r="F544" s="152"/>
      <c r="G544" s="154"/>
      <c r="H544" s="109"/>
      <c r="I544" s="109"/>
      <c r="J544" s="109"/>
      <c r="K544" s="109"/>
      <c r="L544" s="154"/>
      <c r="M544" s="109"/>
      <c r="N544" s="109"/>
      <c r="O544" s="109"/>
      <c r="P544" s="109"/>
      <c r="Q544" s="109"/>
      <c r="R544" s="109"/>
      <c r="S544" s="4"/>
      <c r="T544" s="4"/>
      <c r="U544" s="4"/>
      <c r="V544" s="4"/>
      <c r="W544" s="4"/>
      <c r="X544" s="4"/>
      <c r="Y544" s="4"/>
      <c r="Z544" s="4"/>
      <c r="AA544" s="4"/>
      <c r="AB544" s="4"/>
      <c r="AC544" s="4"/>
      <c r="AD544" s="4"/>
      <c r="AE544" s="4"/>
      <c r="AF544" s="4"/>
    </row>
    <row r="545">
      <c r="A545" s="4"/>
      <c r="B545" s="4"/>
      <c r="C545" s="152"/>
      <c r="D545" s="153"/>
      <c r="E545" s="153"/>
      <c r="F545" s="152"/>
      <c r="G545" s="154"/>
      <c r="H545" s="109"/>
      <c r="I545" s="109"/>
      <c r="J545" s="109"/>
      <c r="K545" s="109"/>
      <c r="L545" s="154"/>
      <c r="M545" s="109"/>
      <c r="N545" s="109"/>
      <c r="O545" s="109"/>
      <c r="P545" s="109"/>
      <c r="Q545" s="109"/>
      <c r="R545" s="109"/>
      <c r="S545" s="4"/>
      <c r="T545" s="4"/>
      <c r="U545" s="4"/>
      <c r="V545" s="4"/>
      <c r="W545" s="4"/>
      <c r="X545" s="4"/>
      <c r="Y545" s="4"/>
      <c r="Z545" s="4"/>
      <c r="AA545" s="4"/>
      <c r="AB545" s="4"/>
      <c r="AC545" s="4"/>
      <c r="AD545" s="4"/>
      <c r="AE545" s="4"/>
      <c r="AF545" s="4"/>
    </row>
    <row r="546">
      <c r="A546" s="4"/>
      <c r="B546" s="4"/>
      <c r="C546" s="152"/>
      <c r="D546" s="153"/>
      <c r="E546" s="153"/>
      <c r="F546" s="152"/>
      <c r="G546" s="154"/>
      <c r="H546" s="109"/>
      <c r="I546" s="109"/>
      <c r="J546" s="109"/>
      <c r="K546" s="109"/>
      <c r="L546" s="154"/>
      <c r="M546" s="109"/>
      <c r="N546" s="109"/>
      <c r="O546" s="109"/>
      <c r="P546" s="109"/>
      <c r="Q546" s="109"/>
      <c r="R546" s="109"/>
      <c r="S546" s="4"/>
      <c r="T546" s="4"/>
      <c r="U546" s="4"/>
      <c r="V546" s="4"/>
      <c r="W546" s="4"/>
      <c r="X546" s="4"/>
      <c r="Y546" s="4"/>
      <c r="Z546" s="4"/>
      <c r="AA546" s="4"/>
      <c r="AB546" s="4"/>
      <c r="AC546" s="4"/>
      <c r="AD546" s="4"/>
      <c r="AE546" s="4"/>
      <c r="AF546" s="4"/>
    </row>
    <row r="547">
      <c r="A547" s="4"/>
      <c r="B547" s="4"/>
      <c r="C547" s="152"/>
      <c r="D547" s="153"/>
      <c r="E547" s="153"/>
      <c r="F547" s="152"/>
      <c r="G547" s="154"/>
      <c r="H547" s="109"/>
      <c r="I547" s="109"/>
      <c r="J547" s="109"/>
      <c r="K547" s="109"/>
      <c r="L547" s="154"/>
      <c r="M547" s="109"/>
      <c r="N547" s="109"/>
      <c r="O547" s="109"/>
      <c r="P547" s="109"/>
      <c r="Q547" s="109"/>
      <c r="R547" s="109"/>
      <c r="S547" s="4"/>
      <c r="T547" s="4"/>
      <c r="U547" s="4"/>
      <c r="V547" s="4"/>
      <c r="W547" s="4"/>
      <c r="X547" s="4"/>
      <c r="Y547" s="4"/>
      <c r="Z547" s="4"/>
      <c r="AA547" s="4"/>
      <c r="AB547" s="4"/>
      <c r="AC547" s="4"/>
      <c r="AD547" s="4"/>
      <c r="AE547" s="4"/>
      <c r="AF547" s="4"/>
    </row>
    <row r="548">
      <c r="A548" s="4"/>
      <c r="B548" s="4"/>
      <c r="C548" s="152"/>
      <c r="D548" s="153"/>
      <c r="E548" s="153"/>
      <c r="F548" s="152"/>
      <c r="G548" s="154"/>
      <c r="H548" s="109"/>
      <c r="I548" s="109"/>
      <c r="J548" s="109"/>
      <c r="K548" s="109"/>
      <c r="L548" s="154"/>
      <c r="M548" s="109"/>
      <c r="N548" s="109"/>
      <c r="O548" s="109"/>
      <c r="P548" s="109"/>
      <c r="Q548" s="109"/>
      <c r="R548" s="109"/>
      <c r="S548" s="4"/>
      <c r="T548" s="4"/>
      <c r="U548" s="4"/>
      <c r="V548" s="4"/>
      <c r="W548" s="4"/>
      <c r="X548" s="4"/>
      <c r="Y548" s="4"/>
      <c r="Z548" s="4"/>
      <c r="AA548" s="4"/>
      <c r="AB548" s="4"/>
      <c r="AC548" s="4"/>
      <c r="AD548" s="4"/>
      <c r="AE548" s="4"/>
      <c r="AF548" s="4"/>
    </row>
    <row r="549">
      <c r="A549" s="4"/>
      <c r="B549" s="4"/>
      <c r="C549" s="152"/>
      <c r="D549" s="153"/>
      <c r="E549" s="153"/>
      <c r="F549" s="152"/>
      <c r="G549" s="154"/>
      <c r="H549" s="109"/>
      <c r="I549" s="109"/>
      <c r="J549" s="109"/>
      <c r="K549" s="109"/>
      <c r="L549" s="154"/>
      <c r="M549" s="109"/>
      <c r="N549" s="109"/>
      <c r="O549" s="109"/>
      <c r="P549" s="109"/>
      <c r="Q549" s="109"/>
      <c r="R549" s="109"/>
      <c r="S549" s="4"/>
      <c r="T549" s="4"/>
      <c r="U549" s="4"/>
      <c r="V549" s="4"/>
      <c r="W549" s="4"/>
      <c r="X549" s="4"/>
      <c r="Y549" s="4"/>
      <c r="Z549" s="4"/>
      <c r="AA549" s="4"/>
      <c r="AB549" s="4"/>
      <c r="AC549" s="4"/>
      <c r="AD549" s="4"/>
      <c r="AE549" s="4"/>
      <c r="AF549" s="4"/>
    </row>
    <row r="550">
      <c r="A550" s="4"/>
      <c r="B550" s="4"/>
      <c r="C550" s="152"/>
      <c r="D550" s="153"/>
      <c r="E550" s="153"/>
      <c r="F550" s="152"/>
      <c r="G550" s="154"/>
      <c r="H550" s="109"/>
      <c r="I550" s="109"/>
      <c r="J550" s="109"/>
      <c r="K550" s="109"/>
      <c r="L550" s="154"/>
      <c r="M550" s="109"/>
      <c r="N550" s="109"/>
      <c r="O550" s="109"/>
      <c r="P550" s="109"/>
      <c r="Q550" s="109"/>
      <c r="R550" s="109"/>
      <c r="S550" s="4"/>
      <c r="T550" s="4"/>
      <c r="U550" s="4"/>
      <c r="V550" s="4"/>
      <c r="W550" s="4"/>
      <c r="X550" s="4"/>
      <c r="Y550" s="4"/>
      <c r="Z550" s="4"/>
      <c r="AA550" s="4"/>
      <c r="AB550" s="4"/>
      <c r="AC550" s="4"/>
      <c r="AD550" s="4"/>
      <c r="AE550" s="4"/>
      <c r="AF550" s="4"/>
    </row>
    <row r="551">
      <c r="A551" s="4"/>
      <c r="B551" s="4"/>
      <c r="C551" s="152"/>
      <c r="D551" s="153"/>
      <c r="E551" s="153"/>
      <c r="F551" s="152"/>
      <c r="G551" s="154"/>
      <c r="H551" s="109"/>
      <c r="I551" s="109"/>
      <c r="J551" s="109"/>
      <c r="K551" s="109"/>
      <c r="L551" s="154"/>
      <c r="M551" s="109"/>
      <c r="N551" s="109"/>
      <c r="O551" s="109"/>
      <c r="P551" s="109"/>
      <c r="Q551" s="109"/>
      <c r="R551" s="109"/>
      <c r="S551" s="4"/>
      <c r="T551" s="4"/>
      <c r="U551" s="4"/>
      <c r="V551" s="4"/>
      <c r="W551" s="4"/>
      <c r="X551" s="4"/>
      <c r="Y551" s="4"/>
      <c r="Z551" s="4"/>
      <c r="AA551" s="4"/>
      <c r="AB551" s="4"/>
      <c r="AC551" s="4"/>
      <c r="AD551" s="4"/>
      <c r="AE551" s="4"/>
      <c r="AF551" s="4"/>
    </row>
    <row r="552">
      <c r="A552" s="4"/>
      <c r="B552" s="4"/>
      <c r="C552" s="152"/>
      <c r="D552" s="153"/>
      <c r="E552" s="153"/>
      <c r="F552" s="152"/>
      <c r="G552" s="154"/>
      <c r="H552" s="109"/>
      <c r="I552" s="109"/>
      <c r="J552" s="109"/>
      <c r="K552" s="109"/>
      <c r="L552" s="154"/>
      <c r="M552" s="109"/>
      <c r="N552" s="109"/>
      <c r="O552" s="109"/>
      <c r="P552" s="109"/>
      <c r="Q552" s="109"/>
      <c r="R552" s="109"/>
      <c r="S552" s="4"/>
      <c r="T552" s="4"/>
      <c r="U552" s="4"/>
      <c r="V552" s="4"/>
      <c r="W552" s="4"/>
      <c r="X552" s="4"/>
      <c r="Y552" s="4"/>
      <c r="Z552" s="4"/>
      <c r="AA552" s="4"/>
      <c r="AB552" s="4"/>
      <c r="AC552" s="4"/>
      <c r="AD552" s="4"/>
      <c r="AE552" s="4"/>
      <c r="AF552" s="4"/>
    </row>
    <row r="553">
      <c r="A553" s="4"/>
      <c r="B553" s="4"/>
      <c r="C553" s="152"/>
      <c r="D553" s="153"/>
      <c r="E553" s="153"/>
      <c r="F553" s="152"/>
      <c r="G553" s="154"/>
      <c r="H553" s="109"/>
      <c r="I553" s="109"/>
      <c r="J553" s="109"/>
      <c r="K553" s="109"/>
      <c r="L553" s="154"/>
      <c r="M553" s="109"/>
      <c r="N553" s="109"/>
      <c r="O553" s="109"/>
      <c r="P553" s="109"/>
      <c r="Q553" s="109"/>
      <c r="R553" s="109"/>
      <c r="S553" s="4"/>
      <c r="T553" s="4"/>
      <c r="U553" s="4"/>
      <c r="V553" s="4"/>
      <c r="W553" s="4"/>
      <c r="X553" s="4"/>
      <c r="Y553" s="4"/>
      <c r="Z553" s="4"/>
      <c r="AA553" s="4"/>
      <c r="AB553" s="4"/>
      <c r="AC553" s="4"/>
      <c r="AD553" s="4"/>
      <c r="AE553" s="4"/>
      <c r="AF553" s="4"/>
    </row>
    <row r="554">
      <c r="A554" s="4"/>
      <c r="B554" s="4"/>
      <c r="C554" s="152"/>
      <c r="D554" s="153"/>
      <c r="E554" s="153"/>
      <c r="F554" s="152"/>
      <c r="G554" s="154"/>
      <c r="H554" s="109"/>
      <c r="I554" s="109"/>
      <c r="J554" s="109"/>
      <c r="K554" s="109"/>
      <c r="L554" s="154"/>
      <c r="M554" s="109"/>
      <c r="N554" s="109"/>
      <c r="O554" s="109"/>
      <c r="P554" s="109"/>
      <c r="Q554" s="109"/>
      <c r="R554" s="109"/>
      <c r="S554" s="4"/>
      <c r="T554" s="4"/>
      <c r="U554" s="4"/>
      <c r="V554" s="4"/>
      <c r="W554" s="4"/>
      <c r="X554" s="4"/>
      <c r="Y554" s="4"/>
      <c r="Z554" s="4"/>
      <c r="AA554" s="4"/>
      <c r="AB554" s="4"/>
      <c r="AC554" s="4"/>
      <c r="AD554" s="4"/>
      <c r="AE554" s="4"/>
      <c r="AF554" s="4"/>
    </row>
    <row r="555">
      <c r="A555" s="4"/>
      <c r="B555" s="4"/>
      <c r="C555" s="152"/>
      <c r="D555" s="153"/>
      <c r="E555" s="153"/>
      <c r="F555" s="152"/>
      <c r="G555" s="154"/>
      <c r="H555" s="109"/>
      <c r="I555" s="109"/>
      <c r="J555" s="109"/>
      <c r="K555" s="109"/>
      <c r="L555" s="154"/>
      <c r="M555" s="109"/>
      <c r="N555" s="109"/>
      <c r="O555" s="109"/>
      <c r="P555" s="109"/>
      <c r="Q555" s="109"/>
      <c r="R555" s="109"/>
      <c r="S555" s="4"/>
      <c r="T555" s="4"/>
      <c r="U555" s="4"/>
      <c r="V555" s="4"/>
      <c r="W555" s="4"/>
      <c r="X555" s="4"/>
      <c r="Y555" s="4"/>
      <c r="Z555" s="4"/>
      <c r="AA555" s="4"/>
      <c r="AB555" s="4"/>
      <c r="AC555" s="4"/>
      <c r="AD555" s="4"/>
      <c r="AE555" s="4"/>
      <c r="AF555" s="4"/>
    </row>
    <row r="556">
      <c r="A556" s="4"/>
      <c r="B556" s="4"/>
      <c r="C556" s="152"/>
      <c r="D556" s="153"/>
      <c r="E556" s="153"/>
      <c r="F556" s="152"/>
      <c r="G556" s="154"/>
      <c r="H556" s="109"/>
      <c r="I556" s="109"/>
      <c r="J556" s="109"/>
      <c r="K556" s="109"/>
      <c r="L556" s="154"/>
      <c r="M556" s="109"/>
      <c r="N556" s="109"/>
      <c r="O556" s="109"/>
      <c r="P556" s="109"/>
      <c r="Q556" s="109"/>
      <c r="R556" s="109"/>
      <c r="S556" s="4"/>
      <c r="T556" s="4"/>
      <c r="U556" s="4"/>
      <c r="V556" s="4"/>
      <c r="W556" s="4"/>
      <c r="X556" s="4"/>
      <c r="Y556" s="4"/>
      <c r="Z556" s="4"/>
      <c r="AA556" s="4"/>
      <c r="AB556" s="4"/>
      <c r="AC556" s="4"/>
      <c r="AD556" s="4"/>
      <c r="AE556" s="4"/>
      <c r="AF556" s="4"/>
    </row>
    <row r="557">
      <c r="A557" s="4"/>
      <c r="B557" s="4"/>
      <c r="C557" s="152"/>
      <c r="D557" s="153"/>
      <c r="E557" s="153"/>
      <c r="F557" s="152"/>
      <c r="G557" s="154"/>
      <c r="H557" s="109"/>
      <c r="I557" s="109"/>
      <c r="J557" s="109"/>
      <c r="K557" s="109"/>
      <c r="L557" s="154"/>
      <c r="M557" s="109"/>
      <c r="N557" s="109"/>
      <c r="O557" s="109"/>
      <c r="P557" s="109"/>
      <c r="Q557" s="109"/>
      <c r="R557" s="109"/>
      <c r="S557" s="4"/>
      <c r="T557" s="4"/>
      <c r="U557" s="4"/>
      <c r="V557" s="4"/>
      <c r="W557" s="4"/>
      <c r="X557" s="4"/>
      <c r="Y557" s="4"/>
      <c r="Z557" s="4"/>
      <c r="AA557" s="4"/>
      <c r="AB557" s="4"/>
      <c r="AC557" s="4"/>
      <c r="AD557" s="4"/>
      <c r="AE557" s="4"/>
      <c r="AF557" s="4"/>
    </row>
    <row r="558">
      <c r="A558" s="4"/>
      <c r="B558" s="4"/>
      <c r="C558" s="69"/>
      <c r="D558" s="153"/>
      <c r="E558" s="153"/>
      <c r="F558" s="69"/>
      <c r="G558" s="155"/>
      <c r="H558" s="4"/>
      <c r="I558" s="4"/>
      <c r="J558" s="4"/>
      <c r="K558" s="4"/>
      <c r="L558" s="155"/>
      <c r="M558" s="4"/>
      <c r="N558" s="4"/>
      <c r="O558" s="4"/>
      <c r="P558" s="4"/>
      <c r="Q558" s="4"/>
      <c r="R558" s="109"/>
      <c r="S558" s="4"/>
      <c r="T558" s="4"/>
      <c r="U558" s="4"/>
      <c r="V558" s="4"/>
      <c r="W558" s="4"/>
      <c r="X558" s="4"/>
      <c r="Y558" s="4"/>
      <c r="Z558" s="4"/>
      <c r="AA558" s="4"/>
      <c r="AB558" s="4"/>
      <c r="AC558" s="4"/>
      <c r="AD558" s="4"/>
      <c r="AE558" s="4"/>
      <c r="AF558" s="4"/>
    </row>
    <row r="559">
      <c r="A559" s="4"/>
      <c r="B559" s="4"/>
      <c r="C559" s="69"/>
      <c r="D559" s="153"/>
      <c r="E559" s="153"/>
      <c r="F559" s="69"/>
      <c r="G559" s="155"/>
      <c r="H559" s="4"/>
      <c r="I559" s="4"/>
      <c r="J559" s="4"/>
      <c r="K559" s="4"/>
      <c r="L559" s="155"/>
      <c r="M559" s="4"/>
      <c r="N559" s="4"/>
      <c r="O559" s="4"/>
      <c r="P559" s="4"/>
      <c r="Q559" s="4"/>
      <c r="R559" s="109"/>
      <c r="S559" s="4"/>
      <c r="T559" s="4"/>
      <c r="U559" s="4"/>
      <c r="V559" s="4"/>
      <c r="W559" s="4"/>
      <c r="X559" s="4"/>
      <c r="Y559" s="4"/>
      <c r="Z559" s="4"/>
      <c r="AA559" s="4"/>
      <c r="AB559" s="4"/>
      <c r="AC559" s="4"/>
      <c r="AD559" s="4"/>
      <c r="AE559" s="4"/>
      <c r="AF559" s="4"/>
    </row>
    <row r="560">
      <c r="A560" s="4"/>
      <c r="B560" s="4"/>
      <c r="C560" s="69"/>
      <c r="D560" s="153"/>
      <c r="E560" s="153"/>
      <c r="F560" s="69"/>
      <c r="G560" s="155"/>
      <c r="H560" s="4"/>
      <c r="I560" s="4"/>
      <c r="J560" s="4"/>
      <c r="K560" s="4"/>
      <c r="L560" s="155"/>
      <c r="M560" s="4"/>
      <c r="N560" s="4"/>
      <c r="O560" s="4"/>
      <c r="P560" s="4"/>
      <c r="Q560" s="4"/>
      <c r="R560" s="109"/>
      <c r="S560" s="4"/>
      <c r="T560" s="4"/>
      <c r="U560" s="4"/>
      <c r="V560" s="4"/>
      <c r="W560" s="4"/>
      <c r="X560" s="4"/>
      <c r="Y560" s="4"/>
      <c r="Z560" s="4"/>
      <c r="AA560" s="4"/>
      <c r="AB560" s="4"/>
      <c r="AC560" s="4"/>
      <c r="AD560" s="4"/>
      <c r="AE560" s="4"/>
      <c r="AF560" s="4"/>
    </row>
    <row r="561">
      <c r="A561" s="4"/>
      <c r="B561" s="4"/>
      <c r="C561" s="69"/>
      <c r="D561" s="153"/>
      <c r="E561" s="153"/>
      <c r="F561" s="69"/>
      <c r="G561" s="155"/>
      <c r="H561" s="4"/>
      <c r="I561" s="4"/>
      <c r="J561" s="4"/>
      <c r="K561" s="4"/>
      <c r="L561" s="155"/>
      <c r="M561" s="4"/>
      <c r="N561" s="4"/>
      <c r="O561" s="4"/>
      <c r="P561" s="4"/>
      <c r="Q561" s="4"/>
      <c r="R561" s="109"/>
      <c r="S561" s="4"/>
      <c r="T561" s="4"/>
      <c r="U561" s="4"/>
      <c r="V561" s="4"/>
      <c r="W561" s="4"/>
      <c r="X561" s="4"/>
      <c r="Y561" s="4"/>
      <c r="Z561" s="4"/>
      <c r="AA561" s="4"/>
      <c r="AB561" s="4"/>
      <c r="AC561" s="4"/>
      <c r="AD561" s="4"/>
      <c r="AE561" s="4"/>
      <c r="AF561" s="4"/>
    </row>
    <row r="562">
      <c r="A562" s="4"/>
      <c r="B562" s="4"/>
      <c r="C562" s="69"/>
      <c r="D562" s="153"/>
      <c r="E562" s="153"/>
      <c r="F562" s="69"/>
      <c r="G562" s="155"/>
      <c r="H562" s="4"/>
      <c r="I562" s="4"/>
      <c r="J562" s="4"/>
      <c r="K562" s="4"/>
      <c r="L562" s="155"/>
      <c r="M562" s="4"/>
      <c r="N562" s="4"/>
      <c r="O562" s="4"/>
      <c r="P562" s="4"/>
      <c r="Q562" s="4"/>
      <c r="R562" s="109"/>
      <c r="S562" s="4"/>
      <c r="T562" s="4"/>
      <c r="U562" s="4"/>
      <c r="V562" s="4"/>
      <c r="W562" s="4"/>
      <c r="X562" s="4"/>
      <c r="Y562" s="4"/>
      <c r="Z562" s="4"/>
      <c r="AA562" s="4"/>
      <c r="AB562" s="4"/>
      <c r="AC562" s="4"/>
      <c r="AD562" s="4"/>
      <c r="AE562" s="4"/>
      <c r="AF562" s="4"/>
    </row>
    <row r="563">
      <c r="A563" s="4"/>
      <c r="B563" s="4"/>
      <c r="C563" s="69"/>
      <c r="D563" s="153"/>
      <c r="E563" s="153"/>
      <c r="F563" s="69"/>
      <c r="G563" s="155"/>
      <c r="H563" s="4"/>
      <c r="I563" s="4"/>
      <c r="J563" s="4"/>
      <c r="K563" s="4"/>
      <c r="L563" s="155"/>
      <c r="M563" s="4"/>
      <c r="N563" s="4"/>
      <c r="O563" s="4"/>
      <c r="P563" s="4"/>
      <c r="Q563" s="4"/>
      <c r="R563" s="109"/>
      <c r="S563" s="4"/>
      <c r="T563" s="4"/>
      <c r="U563" s="4"/>
      <c r="V563" s="4"/>
      <c r="W563" s="4"/>
      <c r="X563" s="4"/>
      <c r="Y563" s="4"/>
      <c r="Z563" s="4"/>
      <c r="AA563" s="4"/>
      <c r="AB563" s="4"/>
      <c r="AC563" s="4"/>
      <c r="AD563" s="4"/>
      <c r="AE563" s="4"/>
      <c r="AF563" s="4"/>
    </row>
    <row r="564">
      <c r="A564" s="4"/>
      <c r="B564" s="4"/>
      <c r="C564" s="69"/>
      <c r="D564" s="153"/>
      <c r="E564" s="153"/>
      <c r="F564" s="69"/>
      <c r="G564" s="155"/>
      <c r="H564" s="4"/>
      <c r="I564" s="4"/>
      <c r="J564" s="4"/>
      <c r="K564" s="4"/>
      <c r="L564" s="155"/>
      <c r="M564" s="4"/>
      <c r="N564" s="4"/>
      <c r="O564" s="4"/>
      <c r="P564" s="4"/>
      <c r="Q564" s="4"/>
      <c r="R564" s="109"/>
      <c r="S564" s="4"/>
      <c r="T564" s="4"/>
      <c r="U564" s="4"/>
      <c r="V564" s="4"/>
      <c r="W564" s="4"/>
      <c r="X564" s="4"/>
      <c r="Y564" s="4"/>
      <c r="Z564" s="4"/>
      <c r="AA564" s="4"/>
      <c r="AB564" s="4"/>
      <c r="AC564" s="4"/>
      <c r="AD564" s="4"/>
      <c r="AE564" s="4"/>
      <c r="AF564" s="4"/>
    </row>
    <row r="565">
      <c r="A565" s="4"/>
      <c r="B565" s="4"/>
      <c r="C565" s="69"/>
      <c r="D565" s="153"/>
      <c r="E565" s="153"/>
      <c r="F565" s="69"/>
      <c r="G565" s="155"/>
      <c r="H565" s="4"/>
      <c r="I565" s="4"/>
      <c r="J565" s="4"/>
      <c r="K565" s="4"/>
      <c r="L565" s="155"/>
      <c r="M565" s="4"/>
      <c r="N565" s="4"/>
      <c r="O565" s="4"/>
      <c r="P565" s="4"/>
      <c r="Q565" s="4"/>
      <c r="R565" s="109"/>
      <c r="S565" s="4"/>
      <c r="T565" s="4"/>
      <c r="U565" s="4"/>
      <c r="V565" s="4"/>
      <c r="W565" s="4"/>
      <c r="X565" s="4"/>
      <c r="Y565" s="4"/>
      <c r="Z565" s="4"/>
      <c r="AA565" s="4"/>
      <c r="AB565" s="4"/>
      <c r="AC565" s="4"/>
      <c r="AD565" s="4"/>
      <c r="AE565" s="4"/>
      <c r="AF565" s="4"/>
    </row>
    <row r="566">
      <c r="A566" s="4"/>
      <c r="B566" s="4"/>
      <c r="C566" s="69"/>
      <c r="D566" s="153"/>
      <c r="E566" s="153"/>
      <c r="F566" s="69"/>
      <c r="G566" s="155"/>
      <c r="H566" s="4"/>
      <c r="I566" s="4"/>
      <c r="J566" s="4"/>
      <c r="K566" s="4"/>
      <c r="L566" s="155"/>
      <c r="M566" s="4"/>
      <c r="N566" s="4"/>
      <c r="O566" s="4"/>
      <c r="P566" s="4"/>
      <c r="Q566" s="4"/>
      <c r="R566" s="109"/>
      <c r="S566" s="4"/>
      <c r="T566" s="4"/>
      <c r="U566" s="4"/>
      <c r="V566" s="4"/>
      <c r="W566" s="4"/>
      <c r="X566" s="4"/>
      <c r="Y566" s="4"/>
      <c r="Z566" s="4"/>
      <c r="AA566" s="4"/>
      <c r="AB566" s="4"/>
      <c r="AC566" s="4"/>
      <c r="AD566" s="4"/>
      <c r="AE566" s="4"/>
      <c r="AF566" s="4"/>
    </row>
    <row r="567">
      <c r="A567" s="4"/>
      <c r="B567" s="4"/>
      <c r="C567" s="69"/>
      <c r="D567" s="153"/>
      <c r="E567" s="153"/>
      <c r="F567" s="69"/>
      <c r="G567" s="155"/>
      <c r="H567" s="4"/>
      <c r="I567" s="4"/>
      <c r="J567" s="4"/>
      <c r="K567" s="4"/>
      <c r="L567" s="155"/>
      <c r="M567" s="4"/>
      <c r="N567" s="4"/>
      <c r="O567" s="4"/>
      <c r="P567" s="4"/>
      <c r="Q567" s="4"/>
      <c r="R567" s="109"/>
      <c r="S567" s="4"/>
      <c r="T567" s="4"/>
      <c r="U567" s="4"/>
      <c r="V567" s="4"/>
      <c r="W567" s="4"/>
      <c r="X567" s="4"/>
      <c r="Y567" s="4"/>
      <c r="Z567" s="4"/>
      <c r="AA567" s="4"/>
      <c r="AB567" s="4"/>
      <c r="AC567" s="4"/>
      <c r="AD567" s="4"/>
      <c r="AE567" s="4"/>
      <c r="AF567" s="4"/>
    </row>
    <row r="568">
      <c r="A568" s="4"/>
      <c r="B568" s="4"/>
      <c r="C568" s="69"/>
      <c r="D568" s="153"/>
      <c r="E568" s="153"/>
      <c r="F568" s="69"/>
      <c r="G568" s="155"/>
      <c r="H568" s="4"/>
      <c r="I568" s="4"/>
      <c r="J568" s="4"/>
      <c r="K568" s="4"/>
      <c r="L568" s="155"/>
      <c r="M568" s="4"/>
      <c r="N568" s="4"/>
      <c r="O568" s="4"/>
      <c r="P568" s="4"/>
      <c r="Q568" s="4"/>
      <c r="R568" s="109"/>
      <c r="S568" s="4"/>
      <c r="T568" s="4"/>
      <c r="U568" s="4"/>
      <c r="V568" s="4"/>
      <c r="W568" s="4"/>
      <c r="X568" s="4"/>
      <c r="Y568" s="4"/>
      <c r="Z568" s="4"/>
      <c r="AA568" s="4"/>
      <c r="AB568" s="4"/>
      <c r="AC568" s="4"/>
      <c r="AD568" s="4"/>
      <c r="AE568" s="4"/>
      <c r="AF568" s="4"/>
    </row>
    <row r="569">
      <c r="A569" s="4"/>
      <c r="B569" s="4"/>
      <c r="C569" s="69"/>
      <c r="D569" s="153"/>
      <c r="E569" s="153"/>
      <c r="F569" s="69"/>
      <c r="G569" s="155"/>
      <c r="H569" s="4"/>
      <c r="I569" s="4"/>
      <c r="J569" s="4"/>
      <c r="K569" s="4"/>
      <c r="L569" s="155"/>
      <c r="M569" s="4"/>
      <c r="N569" s="4"/>
      <c r="O569" s="4"/>
      <c r="P569" s="4"/>
      <c r="Q569" s="4"/>
      <c r="R569" s="109"/>
      <c r="S569" s="4"/>
      <c r="T569" s="4"/>
      <c r="U569" s="4"/>
      <c r="V569" s="4"/>
      <c r="W569" s="4"/>
      <c r="X569" s="4"/>
      <c r="Y569" s="4"/>
      <c r="Z569" s="4"/>
      <c r="AA569" s="4"/>
      <c r="AB569" s="4"/>
      <c r="AC569" s="4"/>
      <c r="AD569" s="4"/>
      <c r="AE569" s="4"/>
      <c r="AF569" s="4"/>
    </row>
    <row r="570">
      <c r="A570" s="4"/>
      <c r="B570" s="4"/>
      <c r="C570" s="69"/>
      <c r="D570" s="153"/>
      <c r="E570" s="153"/>
      <c r="F570" s="69"/>
      <c r="G570" s="155"/>
      <c r="H570" s="4"/>
      <c r="I570" s="4"/>
      <c r="J570" s="4"/>
      <c r="K570" s="4"/>
      <c r="L570" s="155"/>
      <c r="M570" s="4"/>
      <c r="N570" s="4"/>
      <c r="O570" s="4"/>
      <c r="P570" s="4"/>
      <c r="Q570" s="4"/>
      <c r="R570" s="109"/>
      <c r="S570" s="4"/>
      <c r="T570" s="4"/>
      <c r="U570" s="4"/>
      <c r="V570" s="4"/>
      <c r="W570" s="4"/>
      <c r="X570" s="4"/>
      <c r="Y570" s="4"/>
      <c r="Z570" s="4"/>
      <c r="AA570" s="4"/>
      <c r="AB570" s="4"/>
      <c r="AC570" s="4"/>
      <c r="AD570" s="4"/>
      <c r="AE570" s="4"/>
      <c r="AF570" s="4"/>
    </row>
    <row r="571">
      <c r="A571" s="4"/>
      <c r="B571" s="4"/>
      <c r="C571" s="69"/>
      <c r="D571" s="153"/>
      <c r="E571" s="153"/>
      <c r="F571" s="69"/>
      <c r="G571" s="155"/>
      <c r="H571" s="4"/>
      <c r="I571" s="4"/>
      <c r="J571" s="4"/>
      <c r="K571" s="4"/>
      <c r="L571" s="155"/>
      <c r="M571" s="4"/>
      <c r="N571" s="4"/>
      <c r="O571" s="4"/>
      <c r="P571" s="4"/>
      <c r="Q571" s="4"/>
      <c r="R571" s="109"/>
      <c r="S571" s="4"/>
      <c r="T571" s="4"/>
      <c r="U571" s="4"/>
      <c r="V571" s="4"/>
      <c r="W571" s="4"/>
      <c r="X571" s="4"/>
      <c r="Y571" s="4"/>
      <c r="Z571" s="4"/>
      <c r="AA571" s="4"/>
      <c r="AB571" s="4"/>
      <c r="AC571" s="4"/>
      <c r="AD571" s="4"/>
      <c r="AE571" s="4"/>
      <c r="AF571" s="4"/>
    </row>
    <row r="572">
      <c r="A572" s="4"/>
      <c r="B572" s="4"/>
      <c r="C572" s="69"/>
      <c r="D572" s="153"/>
      <c r="E572" s="153"/>
      <c r="F572" s="69"/>
      <c r="G572" s="155"/>
      <c r="H572" s="4"/>
      <c r="I572" s="4"/>
      <c r="J572" s="4"/>
      <c r="K572" s="4"/>
      <c r="L572" s="155"/>
      <c r="M572" s="4"/>
      <c r="N572" s="4"/>
      <c r="O572" s="4"/>
      <c r="P572" s="4"/>
      <c r="Q572" s="4"/>
      <c r="R572" s="109"/>
      <c r="S572" s="4"/>
      <c r="T572" s="4"/>
      <c r="U572" s="4"/>
      <c r="V572" s="4"/>
      <c r="W572" s="4"/>
      <c r="X572" s="4"/>
      <c r="Y572" s="4"/>
      <c r="Z572" s="4"/>
      <c r="AA572" s="4"/>
      <c r="AB572" s="4"/>
      <c r="AC572" s="4"/>
      <c r="AD572" s="4"/>
      <c r="AE572" s="4"/>
      <c r="AF572" s="4"/>
    </row>
    <row r="573">
      <c r="A573" s="4"/>
      <c r="B573" s="4"/>
      <c r="C573" s="69"/>
      <c r="D573" s="153"/>
      <c r="E573" s="153"/>
      <c r="F573" s="69"/>
      <c r="G573" s="155"/>
      <c r="H573" s="4"/>
      <c r="I573" s="4"/>
      <c r="J573" s="4"/>
      <c r="K573" s="4"/>
      <c r="L573" s="155"/>
      <c r="M573" s="4"/>
      <c r="N573" s="4"/>
      <c r="O573" s="4"/>
      <c r="P573" s="4"/>
      <c r="Q573" s="4"/>
      <c r="R573" s="109"/>
      <c r="S573" s="4"/>
      <c r="T573" s="4"/>
      <c r="U573" s="4"/>
      <c r="V573" s="4"/>
      <c r="W573" s="4"/>
      <c r="X573" s="4"/>
      <c r="Y573" s="4"/>
      <c r="Z573" s="4"/>
      <c r="AA573" s="4"/>
      <c r="AB573" s="4"/>
      <c r="AC573" s="4"/>
      <c r="AD573" s="4"/>
      <c r="AE573" s="4"/>
      <c r="AF573" s="4"/>
    </row>
    <row r="574">
      <c r="A574" s="4"/>
      <c r="B574" s="4"/>
      <c r="C574" s="69"/>
      <c r="D574" s="153"/>
      <c r="E574" s="153"/>
      <c r="F574" s="69"/>
      <c r="G574" s="155"/>
      <c r="H574" s="4"/>
      <c r="I574" s="4"/>
      <c r="J574" s="4"/>
      <c r="K574" s="4"/>
      <c r="L574" s="155"/>
      <c r="M574" s="4"/>
      <c r="N574" s="4"/>
      <c r="O574" s="4"/>
      <c r="P574" s="4"/>
      <c r="Q574" s="4"/>
      <c r="R574" s="109"/>
      <c r="S574" s="4"/>
      <c r="T574" s="4"/>
      <c r="U574" s="4"/>
      <c r="V574" s="4"/>
      <c r="W574" s="4"/>
      <c r="X574" s="4"/>
      <c r="Y574" s="4"/>
      <c r="Z574" s="4"/>
      <c r="AA574" s="4"/>
      <c r="AB574" s="4"/>
      <c r="AC574" s="4"/>
      <c r="AD574" s="4"/>
      <c r="AE574" s="4"/>
      <c r="AF574" s="4"/>
    </row>
    <row r="575">
      <c r="A575" s="4"/>
      <c r="B575" s="4"/>
      <c r="C575" s="69"/>
      <c r="D575" s="153"/>
      <c r="E575" s="153"/>
      <c r="F575" s="69"/>
      <c r="G575" s="155"/>
      <c r="H575" s="4"/>
      <c r="I575" s="4"/>
      <c r="J575" s="4"/>
      <c r="K575" s="4"/>
      <c r="L575" s="155"/>
      <c r="M575" s="4"/>
      <c r="N575" s="4"/>
      <c r="O575" s="4"/>
      <c r="P575" s="4"/>
      <c r="Q575" s="4"/>
      <c r="R575" s="109"/>
      <c r="S575" s="4"/>
      <c r="T575" s="4"/>
      <c r="U575" s="4"/>
      <c r="V575" s="4"/>
      <c r="W575" s="4"/>
      <c r="X575" s="4"/>
      <c r="Y575" s="4"/>
      <c r="Z575" s="4"/>
      <c r="AA575" s="4"/>
      <c r="AB575" s="4"/>
      <c r="AC575" s="4"/>
      <c r="AD575" s="4"/>
      <c r="AE575" s="4"/>
      <c r="AF575" s="4"/>
    </row>
    <row r="576">
      <c r="A576" s="4"/>
      <c r="B576" s="4"/>
      <c r="C576" s="69"/>
      <c r="D576" s="153"/>
      <c r="E576" s="153"/>
      <c r="F576" s="69"/>
      <c r="G576" s="155"/>
      <c r="H576" s="4"/>
      <c r="I576" s="4"/>
      <c r="J576" s="4"/>
      <c r="K576" s="4"/>
      <c r="L576" s="155"/>
      <c r="M576" s="4"/>
      <c r="N576" s="4"/>
      <c r="O576" s="4"/>
      <c r="P576" s="4"/>
      <c r="Q576" s="4"/>
      <c r="R576" s="109"/>
      <c r="S576" s="4"/>
      <c r="T576" s="4"/>
      <c r="U576" s="4"/>
      <c r="V576" s="4"/>
      <c r="W576" s="4"/>
      <c r="X576" s="4"/>
      <c r="Y576" s="4"/>
      <c r="Z576" s="4"/>
      <c r="AA576" s="4"/>
      <c r="AB576" s="4"/>
      <c r="AC576" s="4"/>
      <c r="AD576" s="4"/>
      <c r="AE576" s="4"/>
      <c r="AF576" s="4"/>
    </row>
    <row r="577">
      <c r="A577" s="4"/>
      <c r="B577" s="4"/>
      <c r="C577" s="69"/>
      <c r="D577" s="153"/>
      <c r="E577" s="153"/>
      <c r="F577" s="69"/>
      <c r="G577" s="155"/>
      <c r="H577" s="4"/>
      <c r="I577" s="4"/>
      <c r="J577" s="4"/>
      <c r="K577" s="4"/>
      <c r="L577" s="155"/>
      <c r="M577" s="4"/>
      <c r="N577" s="4"/>
      <c r="O577" s="4"/>
      <c r="P577" s="4"/>
      <c r="Q577" s="4"/>
      <c r="R577" s="109"/>
      <c r="S577" s="4"/>
      <c r="T577" s="4"/>
      <c r="U577" s="4"/>
      <c r="V577" s="4"/>
      <c r="W577" s="4"/>
      <c r="X577" s="4"/>
      <c r="Y577" s="4"/>
      <c r="Z577" s="4"/>
      <c r="AA577" s="4"/>
      <c r="AB577" s="4"/>
      <c r="AC577" s="4"/>
      <c r="AD577" s="4"/>
      <c r="AE577" s="4"/>
      <c r="AF577" s="4"/>
    </row>
    <row r="578">
      <c r="A578" s="4"/>
      <c r="B578" s="4"/>
      <c r="C578" s="69"/>
      <c r="D578" s="153"/>
      <c r="E578" s="153"/>
      <c r="F578" s="69"/>
      <c r="G578" s="155"/>
      <c r="H578" s="4"/>
      <c r="I578" s="4"/>
      <c r="J578" s="4"/>
      <c r="K578" s="4"/>
      <c r="L578" s="155"/>
      <c r="M578" s="4"/>
      <c r="N578" s="4"/>
      <c r="O578" s="4"/>
      <c r="P578" s="4"/>
      <c r="Q578" s="4"/>
      <c r="R578" s="109"/>
      <c r="S578" s="4"/>
      <c r="T578" s="4"/>
      <c r="U578" s="4"/>
      <c r="V578" s="4"/>
      <c r="W578" s="4"/>
      <c r="X578" s="4"/>
      <c r="Y578" s="4"/>
      <c r="Z578" s="4"/>
      <c r="AA578" s="4"/>
      <c r="AB578" s="4"/>
      <c r="AC578" s="4"/>
      <c r="AD578" s="4"/>
      <c r="AE578" s="4"/>
      <c r="AF578" s="4"/>
    </row>
    <row r="579">
      <c r="A579" s="4"/>
      <c r="B579" s="4"/>
      <c r="C579" s="69"/>
      <c r="D579" s="153"/>
      <c r="E579" s="153"/>
      <c r="F579" s="69"/>
      <c r="G579" s="155"/>
      <c r="H579" s="4"/>
      <c r="I579" s="4"/>
      <c r="J579" s="4"/>
      <c r="K579" s="4"/>
      <c r="L579" s="155"/>
      <c r="M579" s="4"/>
      <c r="N579" s="4"/>
      <c r="O579" s="4"/>
      <c r="P579" s="4"/>
      <c r="Q579" s="4"/>
      <c r="R579" s="109"/>
      <c r="S579" s="4"/>
      <c r="T579" s="4"/>
      <c r="U579" s="4"/>
      <c r="V579" s="4"/>
      <c r="W579" s="4"/>
      <c r="X579" s="4"/>
      <c r="Y579" s="4"/>
      <c r="Z579" s="4"/>
      <c r="AA579" s="4"/>
      <c r="AB579" s="4"/>
      <c r="AC579" s="4"/>
      <c r="AD579" s="4"/>
      <c r="AE579" s="4"/>
      <c r="AF579" s="4"/>
    </row>
    <row r="580">
      <c r="A580" s="4"/>
      <c r="B580" s="4"/>
      <c r="C580" s="69"/>
      <c r="D580" s="153"/>
      <c r="E580" s="153"/>
      <c r="F580" s="69"/>
      <c r="G580" s="155"/>
      <c r="H580" s="4"/>
      <c r="I580" s="4"/>
      <c r="J580" s="4"/>
      <c r="K580" s="4"/>
      <c r="L580" s="155"/>
      <c r="M580" s="4"/>
      <c r="N580" s="4"/>
      <c r="O580" s="4"/>
      <c r="P580" s="4"/>
      <c r="Q580" s="4"/>
      <c r="R580" s="109"/>
      <c r="S580" s="4"/>
      <c r="T580" s="4"/>
      <c r="U580" s="4"/>
      <c r="V580" s="4"/>
      <c r="W580" s="4"/>
      <c r="X580" s="4"/>
      <c r="Y580" s="4"/>
      <c r="Z580" s="4"/>
      <c r="AA580" s="4"/>
      <c r="AB580" s="4"/>
      <c r="AC580" s="4"/>
      <c r="AD580" s="4"/>
      <c r="AE580" s="4"/>
      <c r="AF580" s="4"/>
    </row>
    <row r="581">
      <c r="A581" s="4"/>
      <c r="B581" s="4"/>
      <c r="C581" s="69"/>
      <c r="D581" s="153"/>
      <c r="E581" s="153"/>
      <c r="F581" s="69"/>
      <c r="G581" s="155"/>
      <c r="H581" s="4"/>
      <c r="I581" s="4"/>
      <c r="J581" s="4"/>
      <c r="K581" s="4"/>
      <c r="L581" s="155"/>
      <c r="M581" s="4"/>
      <c r="N581" s="4"/>
      <c r="O581" s="4"/>
      <c r="P581" s="4"/>
      <c r="Q581" s="4"/>
      <c r="R581" s="109"/>
      <c r="S581" s="4"/>
      <c r="T581" s="4"/>
      <c r="U581" s="4"/>
      <c r="V581" s="4"/>
      <c r="W581" s="4"/>
      <c r="X581" s="4"/>
      <c r="Y581" s="4"/>
      <c r="Z581" s="4"/>
      <c r="AA581" s="4"/>
      <c r="AB581" s="4"/>
      <c r="AC581" s="4"/>
      <c r="AD581" s="4"/>
      <c r="AE581" s="4"/>
      <c r="AF581" s="4"/>
    </row>
    <row r="582">
      <c r="A582" s="4"/>
      <c r="B582" s="4"/>
      <c r="C582" s="69"/>
      <c r="D582" s="153"/>
      <c r="E582" s="153"/>
      <c r="F582" s="69"/>
      <c r="G582" s="155"/>
      <c r="H582" s="4"/>
      <c r="I582" s="4"/>
      <c r="J582" s="4"/>
      <c r="K582" s="4"/>
      <c r="L582" s="155"/>
      <c r="M582" s="4"/>
      <c r="N582" s="4"/>
      <c r="O582" s="4"/>
      <c r="P582" s="4"/>
      <c r="Q582" s="4"/>
      <c r="R582" s="109"/>
      <c r="S582" s="4"/>
      <c r="T582" s="4"/>
      <c r="U582" s="4"/>
      <c r="V582" s="4"/>
      <c r="W582" s="4"/>
      <c r="X582" s="4"/>
      <c r="Y582" s="4"/>
      <c r="Z582" s="4"/>
      <c r="AA582" s="4"/>
      <c r="AB582" s="4"/>
      <c r="AC582" s="4"/>
      <c r="AD582" s="4"/>
      <c r="AE582" s="4"/>
      <c r="AF582" s="4"/>
    </row>
    <row r="583">
      <c r="A583" s="4"/>
      <c r="B583" s="4"/>
      <c r="C583" s="69"/>
      <c r="D583" s="153"/>
      <c r="E583" s="153"/>
      <c r="F583" s="69"/>
      <c r="G583" s="155"/>
      <c r="H583" s="4"/>
      <c r="I583" s="4"/>
      <c r="J583" s="4"/>
      <c r="K583" s="4"/>
      <c r="L583" s="155"/>
      <c r="M583" s="4"/>
      <c r="N583" s="4"/>
      <c r="O583" s="4"/>
      <c r="P583" s="4"/>
      <c r="Q583" s="4"/>
      <c r="R583" s="109"/>
      <c r="S583" s="4"/>
      <c r="T583" s="4"/>
      <c r="U583" s="4"/>
      <c r="V583" s="4"/>
      <c r="W583" s="4"/>
      <c r="X583" s="4"/>
      <c r="Y583" s="4"/>
      <c r="Z583" s="4"/>
      <c r="AA583" s="4"/>
      <c r="AB583" s="4"/>
      <c r="AC583" s="4"/>
      <c r="AD583" s="4"/>
      <c r="AE583" s="4"/>
      <c r="AF583" s="4"/>
    </row>
    <row r="584">
      <c r="A584" s="4"/>
      <c r="B584" s="4"/>
      <c r="C584" s="69"/>
      <c r="D584" s="153"/>
      <c r="E584" s="153"/>
      <c r="F584" s="69"/>
      <c r="G584" s="155"/>
      <c r="H584" s="4"/>
      <c r="I584" s="4"/>
      <c r="J584" s="4"/>
      <c r="K584" s="4"/>
      <c r="L584" s="155"/>
      <c r="M584" s="4"/>
      <c r="N584" s="4"/>
      <c r="O584" s="4"/>
      <c r="P584" s="4"/>
      <c r="Q584" s="4"/>
      <c r="R584" s="109"/>
      <c r="S584" s="4"/>
      <c r="T584" s="4"/>
      <c r="U584" s="4"/>
      <c r="V584" s="4"/>
      <c r="W584" s="4"/>
      <c r="X584" s="4"/>
      <c r="Y584" s="4"/>
      <c r="Z584" s="4"/>
      <c r="AA584" s="4"/>
      <c r="AB584" s="4"/>
      <c r="AC584" s="4"/>
      <c r="AD584" s="4"/>
      <c r="AE584" s="4"/>
      <c r="AF584" s="4"/>
    </row>
    <row r="585">
      <c r="A585" s="4"/>
      <c r="B585" s="4"/>
      <c r="C585" s="69"/>
      <c r="D585" s="153"/>
      <c r="E585" s="153"/>
      <c r="F585" s="69"/>
      <c r="G585" s="155"/>
      <c r="H585" s="4"/>
      <c r="I585" s="4"/>
      <c r="J585" s="4"/>
      <c r="K585" s="4"/>
      <c r="L585" s="155"/>
      <c r="M585" s="4"/>
      <c r="N585" s="4"/>
      <c r="O585" s="4"/>
      <c r="P585" s="4"/>
      <c r="Q585" s="4"/>
      <c r="R585" s="109"/>
      <c r="S585" s="4"/>
      <c r="T585" s="4"/>
      <c r="U585" s="4"/>
      <c r="V585" s="4"/>
      <c r="W585" s="4"/>
      <c r="X585" s="4"/>
      <c r="Y585" s="4"/>
      <c r="Z585" s="4"/>
      <c r="AA585" s="4"/>
      <c r="AB585" s="4"/>
      <c r="AC585" s="4"/>
      <c r="AD585" s="4"/>
      <c r="AE585" s="4"/>
      <c r="AF585" s="4"/>
    </row>
    <row r="586">
      <c r="A586" s="4"/>
      <c r="B586" s="4"/>
      <c r="C586" s="69"/>
      <c r="D586" s="153"/>
      <c r="E586" s="153"/>
      <c r="F586" s="69"/>
      <c r="G586" s="155"/>
      <c r="H586" s="4"/>
      <c r="I586" s="4"/>
      <c r="J586" s="4"/>
      <c r="K586" s="4"/>
      <c r="L586" s="155"/>
      <c r="M586" s="4"/>
      <c r="N586" s="4"/>
      <c r="O586" s="4"/>
      <c r="P586" s="4"/>
      <c r="Q586" s="4"/>
      <c r="R586" s="109"/>
      <c r="S586" s="4"/>
      <c r="T586" s="4"/>
      <c r="U586" s="4"/>
      <c r="V586" s="4"/>
      <c r="W586" s="4"/>
      <c r="X586" s="4"/>
      <c r="Y586" s="4"/>
      <c r="Z586" s="4"/>
      <c r="AA586" s="4"/>
      <c r="AB586" s="4"/>
      <c r="AC586" s="4"/>
      <c r="AD586" s="4"/>
      <c r="AE586" s="4"/>
      <c r="AF586" s="4"/>
    </row>
    <row r="587">
      <c r="A587" s="4"/>
      <c r="B587" s="4"/>
      <c r="C587" s="69"/>
      <c r="D587" s="153"/>
      <c r="E587" s="153"/>
      <c r="F587" s="69"/>
      <c r="G587" s="155"/>
      <c r="H587" s="4"/>
      <c r="I587" s="4"/>
      <c r="J587" s="4"/>
      <c r="K587" s="4"/>
      <c r="L587" s="155"/>
      <c r="M587" s="4"/>
      <c r="N587" s="4"/>
      <c r="O587" s="4"/>
      <c r="P587" s="4"/>
      <c r="Q587" s="4"/>
      <c r="R587" s="109"/>
      <c r="S587" s="4"/>
      <c r="T587" s="4"/>
      <c r="U587" s="4"/>
      <c r="V587" s="4"/>
      <c r="W587" s="4"/>
      <c r="X587" s="4"/>
      <c r="Y587" s="4"/>
      <c r="Z587" s="4"/>
      <c r="AA587" s="4"/>
      <c r="AB587" s="4"/>
      <c r="AC587" s="4"/>
      <c r="AD587" s="4"/>
      <c r="AE587" s="4"/>
      <c r="AF587" s="4"/>
    </row>
    <row r="588">
      <c r="A588" s="4"/>
      <c r="B588" s="4"/>
      <c r="C588" s="69"/>
      <c r="D588" s="153"/>
      <c r="E588" s="153"/>
      <c r="F588" s="69"/>
      <c r="G588" s="155"/>
      <c r="H588" s="4"/>
      <c r="I588" s="4"/>
      <c r="J588" s="4"/>
      <c r="K588" s="4"/>
      <c r="L588" s="155"/>
      <c r="M588" s="4"/>
      <c r="N588" s="4"/>
      <c r="O588" s="4"/>
      <c r="P588" s="4"/>
      <c r="Q588" s="4"/>
      <c r="R588" s="109"/>
      <c r="S588" s="4"/>
      <c r="T588" s="4"/>
      <c r="U588" s="4"/>
      <c r="V588" s="4"/>
      <c r="W588" s="4"/>
      <c r="X588" s="4"/>
      <c r="Y588" s="4"/>
      <c r="Z588" s="4"/>
      <c r="AA588" s="4"/>
      <c r="AB588" s="4"/>
      <c r="AC588" s="4"/>
      <c r="AD588" s="4"/>
      <c r="AE588" s="4"/>
      <c r="AF588" s="4"/>
    </row>
    <row r="589">
      <c r="A589" s="4"/>
      <c r="B589" s="4"/>
      <c r="C589" s="69"/>
      <c r="D589" s="153"/>
      <c r="E589" s="153"/>
      <c r="F589" s="69"/>
      <c r="G589" s="155"/>
      <c r="H589" s="4"/>
      <c r="I589" s="4"/>
      <c r="J589" s="4"/>
      <c r="K589" s="4"/>
      <c r="L589" s="155"/>
      <c r="M589" s="4"/>
      <c r="N589" s="4"/>
      <c r="O589" s="4"/>
      <c r="P589" s="4"/>
      <c r="Q589" s="4"/>
      <c r="R589" s="109"/>
      <c r="S589" s="4"/>
      <c r="T589" s="4"/>
      <c r="U589" s="4"/>
      <c r="V589" s="4"/>
      <c r="W589" s="4"/>
      <c r="X589" s="4"/>
      <c r="Y589" s="4"/>
      <c r="Z589" s="4"/>
      <c r="AA589" s="4"/>
      <c r="AB589" s="4"/>
      <c r="AC589" s="4"/>
      <c r="AD589" s="4"/>
      <c r="AE589" s="4"/>
      <c r="AF589" s="4"/>
    </row>
    <row r="590">
      <c r="A590" s="4"/>
      <c r="B590" s="4"/>
      <c r="C590" s="69"/>
      <c r="D590" s="153"/>
      <c r="E590" s="153"/>
      <c r="F590" s="69"/>
      <c r="G590" s="155"/>
      <c r="H590" s="4"/>
      <c r="I590" s="4"/>
      <c r="J590" s="4"/>
      <c r="K590" s="4"/>
      <c r="L590" s="155"/>
      <c r="M590" s="4"/>
      <c r="N590" s="4"/>
      <c r="O590" s="4"/>
      <c r="P590" s="4"/>
      <c r="Q590" s="4"/>
      <c r="R590" s="109"/>
      <c r="S590" s="4"/>
      <c r="T590" s="4"/>
      <c r="U590" s="4"/>
      <c r="V590" s="4"/>
      <c r="W590" s="4"/>
      <c r="X590" s="4"/>
      <c r="Y590" s="4"/>
      <c r="Z590" s="4"/>
      <c r="AA590" s="4"/>
      <c r="AB590" s="4"/>
      <c r="AC590" s="4"/>
      <c r="AD590" s="4"/>
      <c r="AE590" s="4"/>
      <c r="AF590" s="4"/>
    </row>
    <row r="591">
      <c r="A591" s="4"/>
      <c r="B591" s="4"/>
      <c r="C591" s="69"/>
      <c r="D591" s="153"/>
      <c r="E591" s="153"/>
      <c r="F591" s="69"/>
      <c r="G591" s="155"/>
      <c r="H591" s="4"/>
      <c r="I591" s="4"/>
      <c r="J591" s="4"/>
      <c r="K591" s="4"/>
      <c r="L591" s="155"/>
      <c r="M591" s="4"/>
      <c r="N591" s="4"/>
      <c r="O591" s="4"/>
      <c r="P591" s="4"/>
      <c r="Q591" s="4"/>
      <c r="R591" s="109"/>
      <c r="S591" s="4"/>
      <c r="T591" s="4"/>
      <c r="U591" s="4"/>
      <c r="V591" s="4"/>
      <c r="W591" s="4"/>
      <c r="X591" s="4"/>
      <c r="Y591" s="4"/>
      <c r="Z591" s="4"/>
      <c r="AA591" s="4"/>
      <c r="AB591" s="4"/>
      <c r="AC591" s="4"/>
      <c r="AD591" s="4"/>
      <c r="AE591" s="4"/>
      <c r="AF591" s="4"/>
    </row>
    <row r="592">
      <c r="A592" s="4"/>
      <c r="B592" s="4"/>
      <c r="C592" s="69"/>
      <c r="D592" s="153"/>
      <c r="E592" s="153"/>
      <c r="F592" s="69"/>
      <c r="G592" s="155"/>
      <c r="H592" s="4"/>
      <c r="I592" s="4"/>
      <c r="J592" s="4"/>
      <c r="K592" s="4"/>
      <c r="L592" s="155"/>
      <c r="M592" s="4"/>
      <c r="N592" s="4"/>
      <c r="O592" s="4"/>
      <c r="P592" s="4"/>
      <c r="Q592" s="4"/>
      <c r="R592" s="109"/>
      <c r="S592" s="4"/>
      <c r="T592" s="4"/>
      <c r="U592" s="4"/>
      <c r="V592" s="4"/>
      <c r="W592" s="4"/>
      <c r="X592" s="4"/>
      <c r="Y592" s="4"/>
      <c r="Z592" s="4"/>
      <c r="AA592" s="4"/>
      <c r="AB592" s="4"/>
      <c r="AC592" s="4"/>
      <c r="AD592" s="4"/>
      <c r="AE592" s="4"/>
      <c r="AF592" s="4"/>
    </row>
    <row r="593">
      <c r="A593" s="4"/>
      <c r="B593" s="4"/>
      <c r="C593" s="69"/>
      <c r="D593" s="153"/>
      <c r="E593" s="153"/>
      <c r="F593" s="69"/>
      <c r="G593" s="155"/>
      <c r="H593" s="4"/>
      <c r="I593" s="4"/>
      <c r="J593" s="4"/>
      <c r="K593" s="4"/>
      <c r="L593" s="155"/>
      <c r="M593" s="4"/>
      <c r="N593" s="4"/>
      <c r="O593" s="4"/>
      <c r="P593" s="4"/>
      <c r="Q593" s="4"/>
      <c r="R593" s="109"/>
      <c r="S593" s="4"/>
      <c r="T593" s="4"/>
      <c r="U593" s="4"/>
      <c r="V593" s="4"/>
      <c r="W593" s="4"/>
      <c r="X593" s="4"/>
      <c r="Y593" s="4"/>
      <c r="Z593" s="4"/>
      <c r="AA593" s="4"/>
      <c r="AB593" s="4"/>
      <c r="AC593" s="4"/>
      <c r="AD593" s="4"/>
      <c r="AE593" s="4"/>
      <c r="AF593" s="4"/>
    </row>
    <row r="594">
      <c r="A594" s="4"/>
      <c r="B594" s="4"/>
      <c r="C594" s="69"/>
      <c r="D594" s="153"/>
      <c r="E594" s="153"/>
      <c r="F594" s="69"/>
      <c r="G594" s="155"/>
      <c r="H594" s="4"/>
      <c r="I594" s="4"/>
      <c r="J594" s="4"/>
      <c r="K594" s="4"/>
      <c r="L594" s="155"/>
      <c r="M594" s="4"/>
      <c r="N594" s="4"/>
      <c r="O594" s="4"/>
      <c r="P594" s="4"/>
      <c r="Q594" s="4"/>
      <c r="R594" s="109"/>
      <c r="S594" s="4"/>
      <c r="T594" s="4"/>
      <c r="U594" s="4"/>
      <c r="V594" s="4"/>
      <c r="W594" s="4"/>
      <c r="X594" s="4"/>
      <c r="Y594" s="4"/>
      <c r="Z594" s="4"/>
      <c r="AA594" s="4"/>
      <c r="AB594" s="4"/>
      <c r="AC594" s="4"/>
      <c r="AD594" s="4"/>
      <c r="AE594" s="4"/>
      <c r="AF594" s="4"/>
    </row>
    <row r="595">
      <c r="A595" s="4"/>
      <c r="B595" s="4"/>
      <c r="C595" s="69"/>
      <c r="D595" s="153"/>
      <c r="E595" s="153"/>
      <c r="F595" s="69"/>
      <c r="G595" s="155"/>
      <c r="H595" s="4"/>
      <c r="I595" s="4"/>
      <c r="J595" s="4"/>
      <c r="K595" s="4"/>
      <c r="L595" s="155"/>
      <c r="M595" s="4"/>
      <c r="N595" s="4"/>
      <c r="O595" s="4"/>
      <c r="P595" s="4"/>
      <c r="Q595" s="4"/>
      <c r="R595" s="109"/>
      <c r="S595" s="4"/>
      <c r="T595" s="4"/>
      <c r="U595" s="4"/>
      <c r="V595" s="4"/>
      <c r="W595" s="4"/>
      <c r="X595" s="4"/>
      <c r="Y595" s="4"/>
      <c r="Z595" s="4"/>
      <c r="AA595" s="4"/>
      <c r="AB595" s="4"/>
      <c r="AC595" s="4"/>
      <c r="AD595" s="4"/>
      <c r="AE595" s="4"/>
      <c r="AF595" s="4"/>
    </row>
    <row r="596">
      <c r="A596" s="4"/>
      <c r="B596" s="4"/>
      <c r="C596" s="69"/>
      <c r="D596" s="153"/>
      <c r="E596" s="153"/>
      <c r="F596" s="69"/>
      <c r="G596" s="155"/>
      <c r="H596" s="4"/>
      <c r="I596" s="4"/>
      <c r="J596" s="4"/>
      <c r="K596" s="4"/>
      <c r="L596" s="155"/>
      <c r="M596" s="4"/>
      <c r="N596" s="4"/>
      <c r="O596" s="4"/>
      <c r="P596" s="4"/>
      <c r="Q596" s="4"/>
      <c r="R596" s="109"/>
      <c r="S596" s="4"/>
      <c r="T596" s="4"/>
      <c r="U596" s="4"/>
      <c r="V596" s="4"/>
      <c r="W596" s="4"/>
      <c r="X596" s="4"/>
      <c r="Y596" s="4"/>
      <c r="Z596" s="4"/>
      <c r="AA596" s="4"/>
      <c r="AB596" s="4"/>
      <c r="AC596" s="4"/>
      <c r="AD596" s="4"/>
      <c r="AE596" s="4"/>
      <c r="AF596" s="4"/>
    </row>
    <row r="597">
      <c r="A597" s="4"/>
      <c r="B597" s="4"/>
      <c r="C597" s="69"/>
      <c r="D597" s="153"/>
      <c r="E597" s="153"/>
      <c r="F597" s="69"/>
      <c r="G597" s="155"/>
      <c r="H597" s="4"/>
      <c r="I597" s="4"/>
      <c r="J597" s="4"/>
      <c r="K597" s="4"/>
      <c r="L597" s="155"/>
      <c r="M597" s="4"/>
      <c r="N597" s="4"/>
      <c r="O597" s="4"/>
      <c r="P597" s="4"/>
      <c r="Q597" s="4"/>
      <c r="R597" s="109"/>
      <c r="S597" s="4"/>
      <c r="T597" s="4"/>
      <c r="U597" s="4"/>
      <c r="V597" s="4"/>
      <c r="W597" s="4"/>
      <c r="X597" s="4"/>
      <c r="Y597" s="4"/>
      <c r="Z597" s="4"/>
      <c r="AA597" s="4"/>
      <c r="AB597" s="4"/>
      <c r="AC597" s="4"/>
      <c r="AD597" s="4"/>
      <c r="AE597" s="4"/>
      <c r="AF597" s="4"/>
    </row>
    <row r="598">
      <c r="A598" s="4"/>
      <c r="B598" s="4"/>
      <c r="C598" s="69"/>
      <c r="D598" s="153"/>
      <c r="E598" s="153"/>
      <c r="F598" s="69"/>
      <c r="G598" s="155"/>
      <c r="H598" s="4"/>
      <c r="I598" s="4"/>
      <c r="J598" s="4"/>
      <c r="K598" s="4"/>
      <c r="L598" s="155"/>
      <c r="M598" s="4"/>
      <c r="N598" s="4"/>
      <c r="O598" s="4"/>
      <c r="P598" s="4"/>
      <c r="Q598" s="4"/>
      <c r="R598" s="109"/>
      <c r="S598" s="4"/>
      <c r="T598" s="4"/>
      <c r="U598" s="4"/>
      <c r="V598" s="4"/>
      <c r="W598" s="4"/>
      <c r="X598" s="4"/>
      <c r="Y598" s="4"/>
      <c r="Z598" s="4"/>
      <c r="AA598" s="4"/>
      <c r="AB598" s="4"/>
      <c r="AC598" s="4"/>
      <c r="AD598" s="4"/>
      <c r="AE598" s="4"/>
      <c r="AF598" s="4"/>
    </row>
    <row r="599">
      <c r="A599" s="4"/>
      <c r="B599" s="4"/>
      <c r="C599" s="69"/>
      <c r="D599" s="153"/>
      <c r="E599" s="153"/>
      <c r="F599" s="69"/>
      <c r="G599" s="155"/>
      <c r="H599" s="4"/>
      <c r="I599" s="4"/>
      <c r="J599" s="4"/>
      <c r="K599" s="4"/>
      <c r="L599" s="155"/>
      <c r="M599" s="4"/>
      <c r="N599" s="4"/>
      <c r="O599" s="4"/>
      <c r="P599" s="4"/>
      <c r="Q599" s="4"/>
      <c r="R599" s="109"/>
      <c r="S599" s="4"/>
      <c r="T599" s="4"/>
      <c r="U599" s="4"/>
      <c r="V599" s="4"/>
      <c r="W599" s="4"/>
      <c r="X599" s="4"/>
      <c r="Y599" s="4"/>
      <c r="Z599" s="4"/>
      <c r="AA599" s="4"/>
      <c r="AB599" s="4"/>
      <c r="AC599" s="4"/>
      <c r="AD599" s="4"/>
      <c r="AE599" s="4"/>
      <c r="AF599" s="4"/>
    </row>
    <row r="600">
      <c r="A600" s="4"/>
      <c r="B600" s="4"/>
      <c r="C600" s="69"/>
      <c r="D600" s="153"/>
      <c r="E600" s="153"/>
      <c r="F600" s="69"/>
      <c r="G600" s="155"/>
      <c r="H600" s="4"/>
      <c r="I600" s="4"/>
      <c r="J600" s="4"/>
      <c r="K600" s="4"/>
      <c r="L600" s="155"/>
      <c r="M600" s="4"/>
      <c r="N600" s="4"/>
      <c r="O600" s="4"/>
      <c r="P600" s="4"/>
      <c r="Q600" s="4"/>
      <c r="R600" s="109"/>
      <c r="S600" s="4"/>
      <c r="T600" s="4"/>
      <c r="U600" s="4"/>
      <c r="V600" s="4"/>
      <c r="W600" s="4"/>
      <c r="X600" s="4"/>
      <c r="Y600" s="4"/>
      <c r="Z600" s="4"/>
      <c r="AA600" s="4"/>
      <c r="AB600" s="4"/>
      <c r="AC600" s="4"/>
      <c r="AD600" s="4"/>
      <c r="AE600" s="4"/>
      <c r="AF600" s="4"/>
    </row>
    <row r="601">
      <c r="A601" s="4"/>
      <c r="B601" s="4"/>
      <c r="C601" s="69"/>
      <c r="D601" s="153"/>
      <c r="E601" s="153"/>
      <c r="F601" s="69"/>
      <c r="G601" s="155"/>
      <c r="H601" s="4"/>
      <c r="I601" s="4"/>
      <c r="J601" s="4"/>
      <c r="K601" s="4"/>
      <c r="L601" s="155"/>
      <c r="M601" s="4"/>
      <c r="N601" s="4"/>
      <c r="O601" s="4"/>
      <c r="P601" s="4"/>
      <c r="Q601" s="4"/>
      <c r="R601" s="109"/>
      <c r="S601" s="4"/>
      <c r="T601" s="4"/>
      <c r="U601" s="4"/>
      <c r="V601" s="4"/>
      <c r="W601" s="4"/>
      <c r="X601" s="4"/>
      <c r="Y601" s="4"/>
      <c r="Z601" s="4"/>
      <c r="AA601" s="4"/>
      <c r="AB601" s="4"/>
      <c r="AC601" s="4"/>
      <c r="AD601" s="4"/>
      <c r="AE601" s="4"/>
      <c r="AF601" s="4"/>
    </row>
    <row r="602">
      <c r="A602" s="4"/>
      <c r="B602" s="4"/>
      <c r="C602" s="69"/>
      <c r="D602" s="153"/>
      <c r="E602" s="153"/>
      <c r="F602" s="69"/>
      <c r="G602" s="155"/>
      <c r="H602" s="4"/>
      <c r="I602" s="4"/>
      <c r="J602" s="4"/>
      <c r="K602" s="4"/>
      <c r="L602" s="155"/>
      <c r="M602" s="4"/>
      <c r="N602" s="4"/>
      <c r="O602" s="4"/>
      <c r="P602" s="4"/>
      <c r="Q602" s="4"/>
      <c r="R602" s="109"/>
      <c r="S602" s="4"/>
      <c r="T602" s="4"/>
      <c r="U602" s="4"/>
      <c r="V602" s="4"/>
      <c r="W602" s="4"/>
      <c r="X602" s="4"/>
      <c r="Y602" s="4"/>
      <c r="Z602" s="4"/>
      <c r="AA602" s="4"/>
      <c r="AB602" s="4"/>
      <c r="AC602" s="4"/>
      <c r="AD602" s="4"/>
      <c r="AE602" s="4"/>
      <c r="AF602" s="4"/>
    </row>
    <row r="603">
      <c r="A603" s="4"/>
      <c r="B603" s="4"/>
      <c r="C603" s="69"/>
      <c r="D603" s="153"/>
      <c r="E603" s="153"/>
      <c r="F603" s="69"/>
      <c r="G603" s="155"/>
      <c r="H603" s="4"/>
      <c r="I603" s="4"/>
      <c r="J603" s="4"/>
      <c r="K603" s="4"/>
      <c r="L603" s="155"/>
      <c r="M603" s="4"/>
      <c r="N603" s="4"/>
      <c r="O603" s="4"/>
      <c r="P603" s="4"/>
      <c r="Q603" s="4"/>
      <c r="R603" s="109"/>
      <c r="S603" s="4"/>
      <c r="T603" s="4"/>
      <c r="U603" s="4"/>
      <c r="V603" s="4"/>
      <c r="W603" s="4"/>
      <c r="X603" s="4"/>
      <c r="Y603" s="4"/>
      <c r="Z603" s="4"/>
      <c r="AA603" s="4"/>
      <c r="AB603" s="4"/>
      <c r="AC603" s="4"/>
      <c r="AD603" s="4"/>
      <c r="AE603" s="4"/>
      <c r="AF603" s="4"/>
    </row>
    <row r="604">
      <c r="A604" s="4"/>
      <c r="B604" s="4"/>
      <c r="C604" s="69"/>
      <c r="D604" s="153"/>
      <c r="E604" s="153"/>
      <c r="F604" s="69"/>
      <c r="G604" s="155"/>
      <c r="H604" s="4"/>
      <c r="I604" s="4"/>
      <c r="J604" s="4"/>
      <c r="K604" s="4"/>
      <c r="L604" s="155"/>
      <c r="M604" s="4"/>
      <c r="N604" s="4"/>
      <c r="O604" s="4"/>
      <c r="P604" s="4"/>
      <c r="Q604" s="4"/>
      <c r="R604" s="109"/>
      <c r="S604" s="4"/>
      <c r="T604" s="4"/>
      <c r="U604" s="4"/>
      <c r="V604" s="4"/>
      <c r="W604" s="4"/>
      <c r="X604" s="4"/>
      <c r="Y604" s="4"/>
      <c r="Z604" s="4"/>
      <c r="AA604" s="4"/>
      <c r="AB604" s="4"/>
      <c r="AC604" s="4"/>
      <c r="AD604" s="4"/>
      <c r="AE604" s="4"/>
      <c r="AF604" s="4"/>
    </row>
    <row r="605">
      <c r="A605" s="4"/>
      <c r="B605" s="4"/>
      <c r="C605" s="69"/>
      <c r="D605" s="153"/>
      <c r="E605" s="153"/>
      <c r="F605" s="69"/>
      <c r="G605" s="155"/>
      <c r="H605" s="4"/>
      <c r="I605" s="4"/>
      <c r="J605" s="4"/>
      <c r="K605" s="4"/>
      <c r="L605" s="155"/>
      <c r="M605" s="4"/>
      <c r="N605" s="4"/>
      <c r="O605" s="4"/>
      <c r="P605" s="4"/>
      <c r="Q605" s="4"/>
      <c r="R605" s="109"/>
      <c r="S605" s="4"/>
      <c r="T605" s="4"/>
      <c r="U605" s="4"/>
      <c r="V605" s="4"/>
      <c r="W605" s="4"/>
      <c r="X605" s="4"/>
      <c r="Y605" s="4"/>
      <c r="Z605" s="4"/>
      <c r="AA605" s="4"/>
      <c r="AB605" s="4"/>
      <c r="AC605" s="4"/>
      <c r="AD605" s="4"/>
      <c r="AE605" s="4"/>
      <c r="AF605" s="4"/>
    </row>
    <row r="606">
      <c r="A606" s="4"/>
      <c r="B606" s="4"/>
      <c r="C606" s="69"/>
      <c r="D606" s="153"/>
      <c r="E606" s="153"/>
      <c r="F606" s="69"/>
      <c r="G606" s="155"/>
      <c r="H606" s="4"/>
      <c r="I606" s="4"/>
      <c r="J606" s="4"/>
      <c r="K606" s="4"/>
      <c r="L606" s="155"/>
      <c r="M606" s="4"/>
      <c r="N606" s="4"/>
      <c r="O606" s="4"/>
      <c r="P606" s="4"/>
      <c r="Q606" s="4"/>
      <c r="R606" s="109"/>
      <c r="S606" s="4"/>
      <c r="T606" s="4"/>
      <c r="U606" s="4"/>
      <c r="V606" s="4"/>
      <c r="W606" s="4"/>
      <c r="X606" s="4"/>
      <c r="Y606" s="4"/>
      <c r="Z606" s="4"/>
      <c r="AA606" s="4"/>
      <c r="AB606" s="4"/>
      <c r="AC606" s="4"/>
      <c r="AD606" s="4"/>
      <c r="AE606" s="4"/>
      <c r="AF606" s="4"/>
    </row>
    <row r="607">
      <c r="A607" s="4"/>
      <c r="B607" s="4"/>
      <c r="C607" s="69"/>
      <c r="D607" s="153"/>
      <c r="E607" s="153"/>
      <c r="F607" s="69"/>
      <c r="G607" s="155"/>
      <c r="H607" s="4"/>
      <c r="I607" s="4"/>
      <c r="J607" s="4"/>
      <c r="K607" s="4"/>
      <c r="L607" s="155"/>
      <c r="M607" s="4"/>
      <c r="N607" s="4"/>
      <c r="O607" s="4"/>
      <c r="P607" s="4"/>
      <c r="Q607" s="4"/>
      <c r="R607" s="109"/>
      <c r="S607" s="4"/>
      <c r="T607" s="4"/>
      <c r="U607" s="4"/>
      <c r="V607" s="4"/>
      <c r="W607" s="4"/>
      <c r="X607" s="4"/>
      <c r="Y607" s="4"/>
      <c r="Z607" s="4"/>
      <c r="AA607" s="4"/>
      <c r="AB607" s="4"/>
      <c r="AC607" s="4"/>
      <c r="AD607" s="4"/>
      <c r="AE607" s="4"/>
      <c r="AF607" s="4"/>
    </row>
    <row r="608">
      <c r="A608" s="4"/>
      <c r="B608" s="4"/>
      <c r="C608" s="69"/>
      <c r="D608" s="153"/>
      <c r="E608" s="153"/>
      <c r="F608" s="69"/>
      <c r="G608" s="155"/>
      <c r="H608" s="4"/>
      <c r="I608" s="4"/>
      <c r="J608" s="4"/>
      <c r="K608" s="4"/>
      <c r="L608" s="155"/>
      <c r="M608" s="4"/>
      <c r="N608" s="4"/>
      <c r="O608" s="4"/>
      <c r="P608" s="4"/>
      <c r="Q608" s="4"/>
      <c r="R608" s="109"/>
      <c r="S608" s="4"/>
      <c r="T608" s="4"/>
      <c r="U608" s="4"/>
      <c r="V608" s="4"/>
      <c r="W608" s="4"/>
      <c r="X608" s="4"/>
      <c r="Y608" s="4"/>
      <c r="Z608" s="4"/>
      <c r="AA608" s="4"/>
      <c r="AB608" s="4"/>
      <c r="AC608" s="4"/>
      <c r="AD608" s="4"/>
      <c r="AE608" s="4"/>
      <c r="AF608" s="4"/>
    </row>
    <row r="609">
      <c r="A609" s="4"/>
      <c r="B609" s="4"/>
      <c r="C609" s="69"/>
      <c r="D609" s="153"/>
      <c r="E609" s="153"/>
      <c r="F609" s="69"/>
      <c r="G609" s="155"/>
      <c r="H609" s="4"/>
      <c r="I609" s="4"/>
      <c r="J609" s="4"/>
      <c r="K609" s="4"/>
      <c r="L609" s="155"/>
      <c r="M609" s="4"/>
      <c r="N609" s="4"/>
      <c r="O609" s="4"/>
      <c r="P609" s="4"/>
      <c r="Q609" s="4"/>
      <c r="R609" s="109"/>
      <c r="S609" s="4"/>
      <c r="T609" s="4"/>
      <c r="U609" s="4"/>
      <c r="V609" s="4"/>
      <c r="W609" s="4"/>
      <c r="X609" s="4"/>
      <c r="Y609" s="4"/>
      <c r="Z609" s="4"/>
      <c r="AA609" s="4"/>
      <c r="AB609" s="4"/>
      <c r="AC609" s="4"/>
      <c r="AD609" s="4"/>
      <c r="AE609" s="4"/>
      <c r="AF609" s="4"/>
    </row>
    <row r="610">
      <c r="A610" s="4"/>
      <c r="B610" s="4"/>
      <c r="C610" s="69"/>
      <c r="D610" s="153"/>
      <c r="E610" s="153"/>
      <c r="F610" s="69"/>
      <c r="G610" s="155"/>
      <c r="H610" s="4"/>
      <c r="I610" s="4"/>
      <c r="J610" s="4"/>
      <c r="K610" s="4"/>
      <c r="L610" s="155"/>
      <c r="M610" s="4"/>
      <c r="N610" s="4"/>
      <c r="O610" s="4"/>
      <c r="P610" s="4"/>
      <c r="Q610" s="4"/>
      <c r="R610" s="109"/>
      <c r="S610" s="4"/>
      <c r="T610" s="4"/>
      <c r="U610" s="4"/>
      <c r="V610" s="4"/>
      <c r="W610" s="4"/>
      <c r="X610" s="4"/>
      <c r="Y610" s="4"/>
      <c r="Z610" s="4"/>
      <c r="AA610" s="4"/>
      <c r="AB610" s="4"/>
      <c r="AC610" s="4"/>
      <c r="AD610" s="4"/>
      <c r="AE610" s="4"/>
      <c r="AF610" s="4"/>
    </row>
    <row r="611">
      <c r="A611" s="4"/>
      <c r="B611" s="4"/>
      <c r="C611" s="69"/>
      <c r="D611" s="153"/>
      <c r="E611" s="153"/>
      <c r="F611" s="69"/>
      <c r="G611" s="155"/>
      <c r="H611" s="4"/>
      <c r="I611" s="4"/>
      <c r="J611" s="4"/>
      <c r="K611" s="4"/>
      <c r="L611" s="155"/>
      <c r="M611" s="4"/>
      <c r="N611" s="4"/>
      <c r="O611" s="4"/>
      <c r="P611" s="4"/>
      <c r="Q611" s="4"/>
      <c r="R611" s="109"/>
      <c r="S611" s="4"/>
      <c r="T611" s="4"/>
      <c r="U611" s="4"/>
      <c r="V611" s="4"/>
      <c r="W611" s="4"/>
      <c r="X611" s="4"/>
      <c r="Y611" s="4"/>
      <c r="Z611" s="4"/>
      <c r="AA611" s="4"/>
      <c r="AB611" s="4"/>
      <c r="AC611" s="4"/>
      <c r="AD611" s="4"/>
      <c r="AE611" s="4"/>
      <c r="AF611" s="4"/>
    </row>
    <row r="612">
      <c r="A612" s="4"/>
      <c r="B612" s="4"/>
      <c r="C612" s="69"/>
      <c r="D612" s="153"/>
      <c r="E612" s="153"/>
      <c r="F612" s="69"/>
      <c r="G612" s="155"/>
      <c r="H612" s="4"/>
      <c r="I612" s="4"/>
      <c r="J612" s="4"/>
      <c r="K612" s="4"/>
      <c r="L612" s="155"/>
      <c r="M612" s="4"/>
      <c r="N612" s="4"/>
      <c r="O612" s="4"/>
      <c r="P612" s="4"/>
      <c r="Q612" s="4"/>
      <c r="R612" s="109"/>
      <c r="S612" s="4"/>
      <c r="T612" s="4"/>
      <c r="U612" s="4"/>
      <c r="V612" s="4"/>
      <c r="W612" s="4"/>
      <c r="X612" s="4"/>
      <c r="Y612" s="4"/>
      <c r="Z612" s="4"/>
      <c r="AA612" s="4"/>
      <c r="AB612" s="4"/>
      <c r="AC612" s="4"/>
      <c r="AD612" s="4"/>
      <c r="AE612" s="4"/>
      <c r="AF612" s="4"/>
    </row>
    <row r="613">
      <c r="A613" s="4"/>
      <c r="B613" s="4"/>
      <c r="C613" s="69"/>
      <c r="D613" s="153"/>
      <c r="E613" s="153"/>
      <c r="F613" s="69"/>
      <c r="G613" s="155"/>
      <c r="H613" s="4"/>
      <c r="I613" s="4"/>
      <c r="J613" s="4"/>
      <c r="K613" s="4"/>
      <c r="L613" s="155"/>
      <c r="M613" s="4"/>
      <c r="N613" s="4"/>
      <c r="O613" s="4"/>
      <c r="P613" s="4"/>
      <c r="Q613" s="4"/>
      <c r="R613" s="109"/>
      <c r="S613" s="4"/>
      <c r="T613" s="4"/>
      <c r="U613" s="4"/>
      <c r="V613" s="4"/>
      <c r="W613" s="4"/>
      <c r="X613" s="4"/>
      <c r="Y613" s="4"/>
      <c r="Z613" s="4"/>
      <c r="AA613" s="4"/>
      <c r="AB613" s="4"/>
      <c r="AC613" s="4"/>
      <c r="AD613" s="4"/>
      <c r="AE613" s="4"/>
      <c r="AF613" s="4"/>
    </row>
    <row r="614">
      <c r="A614" s="4"/>
      <c r="B614" s="4"/>
      <c r="C614" s="69"/>
      <c r="D614" s="153"/>
      <c r="E614" s="153"/>
      <c r="F614" s="69"/>
      <c r="G614" s="155"/>
      <c r="H614" s="4"/>
      <c r="I614" s="4"/>
      <c r="J614" s="4"/>
      <c r="K614" s="4"/>
      <c r="L614" s="155"/>
      <c r="M614" s="4"/>
      <c r="N614" s="4"/>
      <c r="O614" s="4"/>
      <c r="P614" s="4"/>
      <c r="Q614" s="4"/>
      <c r="R614" s="109"/>
      <c r="S614" s="4"/>
      <c r="T614" s="4"/>
      <c r="U614" s="4"/>
      <c r="V614" s="4"/>
      <c r="W614" s="4"/>
      <c r="X614" s="4"/>
      <c r="Y614" s="4"/>
      <c r="Z614" s="4"/>
      <c r="AA614" s="4"/>
      <c r="AB614" s="4"/>
      <c r="AC614" s="4"/>
      <c r="AD614" s="4"/>
      <c r="AE614" s="4"/>
      <c r="AF614" s="4"/>
    </row>
    <row r="615">
      <c r="A615" s="4"/>
      <c r="B615" s="4"/>
      <c r="C615" s="69"/>
      <c r="D615" s="153"/>
      <c r="E615" s="153"/>
      <c r="F615" s="69"/>
      <c r="G615" s="155"/>
      <c r="H615" s="4"/>
      <c r="I615" s="4"/>
      <c r="J615" s="4"/>
      <c r="K615" s="4"/>
      <c r="L615" s="155"/>
      <c r="M615" s="4"/>
      <c r="N615" s="4"/>
      <c r="O615" s="4"/>
      <c r="P615" s="4"/>
      <c r="Q615" s="4"/>
      <c r="R615" s="109"/>
      <c r="S615" s="4"/>
      <c r="T615" s="4"/>
      <c r="U615" s="4"/>
      <c r="V615" s="4"/>
      <c r="W615" s="4"/>
      <c r="X615" s="4"/>
      <c r="Y615" s="4"/>
      <c r="Z615" s="4"/>
      <c r="AA615" s="4"/>
      <c r="AB615" s="4"/>
      <c r="AC615" s="4"/>
      <c r="AD615" s="4"/>
      <c r="AE615" s="4"/>
      <c r="AF615" s="4"/>
    </row>
    <row r="616">
      <c r="A616" s="4"/>
      <c r="B616" s="4"/>
      <c r="C616" s="69"/>
      <c r="D616" s="153"/>
      <c r="E616" s="153"/>
      <c r="F616" s="69"/>
      <c r="G616" s="155"/>
      <c r="H616" s="4"/>
      <c r="I616" s="4"/>
      <c r="J616" s="4"/>
      <c r="K616" s="4"/>
      <c r="L616" s="155"/>
      <c r="M616" s="4"/>
      <c r="N616" s="4"/>
      <c r="O616" s="4"/>
      <c r="P616" s="4"/>
      <c r="Q616" s="4"/>
      <c r="R616" s="109"/>
      <c r="S616" s="4"/>
      <c r="T616" s="4"/>
      <c r="U616" s="4"/>
      <c r="V616" s="4"/>
      <c r="W616" s="4"/>
      <c r="X616" s="4"/>
      <c r="Y616" s="4"/>
      <c r="Z616" s="4"/>
      <c r="AA616" s="4"/>
      <c r="AB616" s="4"/>
      <c r="AC616" s="4"/>
      <c r="AD616" s="4"/>
      <c r="AE616" s="4"/>
      <c r="AF616" s="4"/>
    </row>
    <row r="617">
      <c r="A617" s="4"/>
      <c r="B617" s="4"/>
      <c r="C617" s="69"/>
      <c r="D617" s="153"/>
      <c r="E617" s="153"/>
      <c r="F617" s="69"/>
      <c r="G617" s="155"/>
      <c r="H617" s="4"/>
      <c r="I617" s="4"/>
      <c r="J617" s="4"/>
      <c r="K617" s="4"/>
      <c r="L617" s="155"/>
      <c r="M617" s="4"/>
      <c r="N617" s="4"/>
      <c r="O617" s="4"/>
      <c r="P617" s="4"/>
      <c r="Q617" s="4"/>
      <c r="R617" s="109"/>
      <c r="S617" s="4"/>
      <c r="T617" s="4"/>
      <c r="U617" s="4"/>
      <c r="V617" s="4"/>
      <c r="W617" s="4"/>
      <c r="X617" s="4"/>
      <c r="Y617" s="4"/>
      <c r="Z617" s="4"/>
      <c r="AA617" s="4"/>
      <c r="AB617" s="4"/>
      <c r="AC617" s="4"/>
      <c r="AD617" s="4"/>
      <c r="AE617" s="4"/>
      <c r="AF617" s="4"/>
    </row>
    <row r="618">
      <c r="A618" s="4"/>
      <c r="B618" s="4"/>
      <c r="C618" s="69"/>
      <c r="D618" s="153"/>
      <c r="E618" s="153"/>
      <c r="F618" s="69"/>
      <c r="G618" s="155"/>
      <c r="H618" s="4"/>
      <c r="I618" s="4"/>
      <c r="J618" s="4"/>
      <c r="K618" s="4"/>
      <c r="L618" s="155"/>
      <c r="M618" s="4"/>
      <c r="N618" s="4"/>
      <c r="O618" s="4"/>
      <c r="P618" s="4"/>
      <c r="Q618" s="4"/>
      <c r="R618" s="109"/>
      <c r="S618" s="4"/>
      <c r="T618" s="4"/>
      <c r="U618" s="4"/>
      <c r="V618" s="4"/>
      <c r="W618" s="4"/>
      <c r="X618" s="4"/>
      <c r="Y618" s="4"/>
      <c r="Z618" s="4"/>
      <c r="AA618" s="4"/>
      <c r="AB618" s="4"/>
      <c r="AC618" s="4"/>
      <c r="AD618" s="4"/>
      <c r="AE618" s="4"/>
      <c r="AF618" s="4"/>
    </row>
    <row r="619">
      <c r="A619" s="4"/>
      <c r="B619" s="4"/>
      <c r="C619" s="69"/>
      <c r="D619" s="153"/>
      <c r="E619" s="153"/>
      <c r="F619" s="69"/>
      <c r="G619" s="155"/>
      <c r="H619" s="4"/>
      <c r="I619" s="4"/>
      <c r="J619" s="4"/>
      <c r="K619" s="4"/>
      <c r="L619" s="155"/>
      <c r="M619" s="4"/>
      <c r="N619" s="4"/>
      <c r="O619" s="4"/>
      <c r="P619" s="4"/>
      <c r="Q619" s="4"/>
      <c r="R619" s="109"/>
      <c r="S619" s="4"/>
      <c r="T619" s="4"/>
      <c r="U619" s="4"/>
      <c r="V619" s="4"/>
      <c r="W619" s="4"/>
      <c r="X619" s="4"/>
      <c r="Y619" s="4"/>
      <c r="Z619" s="4"/>
      <c r="AA619" s="4"/>
      <c r="AB619" s="4"/>
      <c r="AC619" s="4"/>
      <c r="AD619" s="4"/>
      <c r="AE619" s="4"/>
      <c r="AF619" s="4"/>
    </row>
    <row r="620">
      <c r="A620" s="4"/>
      <c r="B620" s="4"/>
      <c r="C620" s="69"/>
      <c r="D620" s="153"/>
      <c r="E620" s="153"/>
      <c r="F620" s="69"/>
      <c r="G620" s="155"/>
      <c r="H620" s="4"/>
      <c r="I620" s="4"/>
      <c r="J620" s="4"/>
      <c r="K620" s="4"/>
      <c r="L620" s="155"/>
      <c r="M620" s="4"/>
      <c r="N620" s="4"/>
      <c r="O620" s="4"/>
      <c r="P620" s="4"/>
      <c r="Q620" s="4"/>
      <c r="R620" s="109"/>
      <c r="S620" s="4"/>
      <c r="T620" s="4"/>
      <c r="U620" s="4"/>
      <c r="V620" s="4"/>
      <c r="W620" s="4"/>
      <c r="X620" s="4"/>
      <c r="Y620" s="4"/>
      <c r="Z620" s="4"/>
      <c r="AA620" s="4"/>
      <c r="AB620" s="4"/>
      <c r="AC620" s="4"/>
      <c r="AD620" s="4"/>
      <c r="AE620" s="4"/>
      <c r="AF620" s="4"/>
    </row>
    <row r="621">
      <c r="A621" s="4"/>
      <c r="B621" s="4"/>
      <c r="C621" s="69"/>
      <c r="D621" s="153"/>
      <c r="E621" s="153"/>
      <c r="F621" s="69"/>
      <c r="G621" s="155"/>
      <c r="H621" s="4"/>
      <c r="I621" s="4"/>
      <c r="J621" s="4"/>
      <c r="K621" s="4"/>
      <c r="L621" s="155"/>
      <c r="M621" s="4"/>
      <c r="N621" s="4"/>
      <c r="O621" s="4"/>
      <c r="P621" s="4"/>
      <c r="Q621" s="4"/>
      <c r="R621" s="109"/>
      <c r="S621" s="4"/>
      <c r="T621" s="4"/>
      <c r="U621" s="4"/>
      <c r="V621" s="4"/>
      <c r="W621" s="4"/>
      <c r="X621" s="4"/>
      <c r="Y621" s="4"/>
      <c r="Z621" s="4"/>
      <c r="AA621" s="4"/>
      <c r="AB621" s="4"/>
      <c r="AC621" s="4"/>
      <c r="AD621" s="4"/>
      <c r="AE621" s="4"/>
      <c r="AF621" s="4"/>
    </row>
    <row r="622">
      <c r="A622" s="4"/>
      <c r="B622" s="4"/>
      <c r="C622" s="69"/>
      <c r="D622" s="153"/>
      <c r="E622" s="153"/>
      <c r="F622" s="69"/>
      <c r="G622" s="155"/>
      <c r="H622" s="4"/>
      <c r="I622" s="4"/>
      <c r="J622" s="4"/>
      <c r="K622" s="4"/>
      <c r="L622" s="155"/>
      <c r="M622" s="4"/>
      <c r="N622" s="4"/>
      <c r="O622" s="4"/>
      <c r="P622" s="4"/>
      <c r="Q622" s="4"/>
      <c r="R622" s="109"/>
      <c r="S622" s="4"/>
      <c r="T622" s="4"/>
      <c r="U622" s="4"/>
      <c r="V622" s="4"/>
      <c r="W622" s="4"/>
      <c r="X622" s="4"/>
      <c r="Y622" s="4"/>
      <c r="Z622" s="4"/>
      <c r="AA622" s="4"/>
      <c r="AB622" s="4"/>
      <c r="AC622" s="4"/>
      <c r="AD622" s="4"/>
      <c r="AE622" s="4"/>
      <c r="AF622" s="4"/>
    </row>
    <row r="623">
      <c r="A623" s="4"/>
      <c r="B623" s="4"/>
      <c r="C623" s="69"/>
      <c r="D623" s="153"/>
      <c r="E623" s="153"/>
      <c r="F623" s="69"/>
      <c r="G623" s="155"/>
      <c r="H623" s="4"/>
      <c r="I623" s="4"/>
      <c r="J623" s="4"/>
      <c r="K623" s="4"/>
      <c r="L623" s="155"/>
      <c r="M623" s="4"/>
      <c r="N623" s="4"/>
      <c r="O623" s="4"/>
      <c r="P623" s="4"/>
      <c r="Q623" s="4"/>
      <c r="R623" s="109"/>
      <c r="S623" s="4"/>
      <c r="T623" s="4"/>
      <c r="U623" s="4"/>
      <c r="V623" s="4"/>
      <c r="W623" s="4"/>
      <c r="X623" s="4"/>
      <c r="Y623" s="4"/>
      <c r="Z623" s="4"/>
      <c r="AA623" s="4"/>
      <c r="AB623" s="4"/>
      <c r="AC623" s="4"/>
      <c r="AD623" s="4"/>
      <c r="AE623" s="4"/>
      <c r="AF623" s="4"/>
    </row>
    <row r="624">
      <c r="A624" s="4"/>
      <c r="B624" s="4"/>
      <c r="C624" s="69"/>
      <c r="D624" s="153"/>
      <c r="E624" s="153"/>
      <c r="F624" s="69"/>
      <c r="G624" s="155"/>
      <c r="H624" s="4"/>
      <c r="I624" s="4"/>
      <c r="J624" s="4"/>
      <c r="K624" s="4"/>
      <c r="L624" s="155"/>
      <c r="M624" s="4"/>
      <c r="N624" s="4"/>
      <c r="O624" s="4"/>
      <c r="P624" s="4"/>
      <c r="Q624" s="4"/>
      <c r="R624" s="109"/>
      <c r="S624" s="4"/>
      <c r="T624" s="4"/>
      <c r="U624" s="4"/>
      <c r="V624" s="4"/>
      <c r="W624" s="4"/>
      <c r="X624" s="4"/>
      <c r="Y624" s="4"/>
      <c r="Z624" s="4"/>
      <c r="AA624" s="4"/>
      <c r="AB624" s="4"/>
      <c r="AC624" s="4"/>
      <c r="AD624" s="4"/>
      <c r="AE624" s="4"/>
      <c r="AF624" s="4"/>
    </row>
    <row r="625">
      <c r="A625" s="4"/>
      <c r="B625" s="4"/>
      <c r="C625" s="69"/>
      <c r="D625" s="153"/>
      <c r="E625" s="153"/>
      <c r="F625" s="69"/>
      <c r="G625" s="155"/>
      <c r="H625" s="4"/>
      <c r="I625" s="4"/>
      <c r="J625" s="4"/>
      <c r="K625" s="4"/>
      <c r="L625" s="155"/>
      <c r="M625" s="4"/>
      <c r="N625" s="4"/>
      <c r="O625" s="4"/>
      <c r="P625" s="4"/>
      <c r="Q625" s="4"/>
      <c r="R625" s="109"/>
      <c r="S625" s="4"/>
      <c r="T625" s="4"/>
      <c r="U625" s="4"/>
      <c r="V625" s="4"/>
      <c r="W625" s="4"/>
      <c r="X625" s="4"/>
      <c r="Y625" s="4"/>
      <c r="Z625" s="4"/>
      <c r="AA625" s="4"/>
      <c r="AB625" s="4"/>
      <c r="AC625" s="4"/>
      <c r="AD625" s="4"/>
      <c r="AE625" s="4"/>
      <c r="AF625" s="4"/>
    </row>
    <row r="626">
      <c r="A626" s="4"/>
      <c r="B626" s="4"/>
      <c r="C626" s="69"/>
      <c r="D626" s="153"/>
      <c r="E626" s="153"/>
      <c r="F626" s="69"/>
      <c r="G626" s="155"/>
      <c r="H626" s="4"/>
      <c r="I626" s="4"/>
      <c r="J626" s="4"/>
      <c r="K626" s="4"/>
      <c r="L626" s="155"/>
      <c r="M626" s="4"/>
      <c r="N626" s="4"/>
      <c r="O626" s="4"/>
      <c r="P626" s="4"/>
      <c r="Q626" s="4"/>
      <c r="R626" s="109"/>
      <c r="S626" s="4"/>
      <c r="T626" s="4"/>
      <c r="U626" s="4"/>
      <c r="V626" s="4"/>
      <c r="W626" s="4"/>
      <c r="X626" s="4"/>
      <c r="Y626" s="4"/>
      <c r="Z626" s="4"/>
      <c r="AA626" s="4"/>
      <c r="AB626" s="4"/>
      <c r="AC626" s="4"/>
      <c r="AD626" s="4"/>
      <c r="AE626" s="4"/>
      <c r="AF626" s="4"/>
    </row>
    <row r="627">
      <c r="A627" s="4"/>
      <c r="B627" s="4"/>
      <c r="C627" s="69"/>
      <c r="D627" s="153"/>
      <c r="E627" s="153"/>
      <c r="F627" s="69"/>
      <c r="G627" s="155"/>
      <c r="H627" s="4"/>
      <c r="I627" s="4"/>
      <c r="J627" s="4"/>
      <c r="K627" s="4"/>
      <c r="L627" s="155"/>
      <c r="M627" s="4"/>
      <c r="N627" s="4"/>
      <c r="O627" s="4"/>
      <c r="P627" s="4"/>
      <c r="Q627" s="4"/>
      <c r="R627" s="109"/>
      <c r="S627" s="4"/>
      <c r="T627" s="4"/>
      <c r="U627" s="4"/>
      <c r="V627" s="4"/>
      <c r="W627" s="4"/>
      <c r="X627" s="4"/>
      <c r="Y627" s="4"/>
      <c r="Z627" s="4"/>
      <c r="AA627" s="4"/>
      <c r="AB627" s="4"/>
      <c r="AC627" s="4"/>
      <c r="AD627" s="4"/>
      <c r="AE627" s="4"/>
      <c r="AF627" s="4"/>
    </row>
    <row r="628">
      <c r="A628" s="4"/>
      <c r="B628" s="4"/>
      <c r="C628" s="69"/>
      <c r="D628" s="153"/>
      <c r="E628" s="153"/>
      <c r="F628" s="69"/>
      <c r="G628" s="155"/>
      <c r="H628" s="4"/>
      <c r="I628" s="4"/>
      <c r="J628" s="4"/>
      <c r="K628" s="4"/>
      <c r="L628" s="155"/>
      <c r="M628" s="4"/>
      <c r="N628" s="4"/>
      <c r="O628" s="4"/>
      <c r="P628" s="4"/>
      <c r="Q628" s="4"/>
      <c r="R628" s="109"/>
      <c r="S628" s="4"/>
      <c r="T628" s="4"/>
      <c r="U628" s="4"/>
      <c r="V628" s="4"/>
      <c r="W628" s="4"/>
      <c r="X628" s="4"/>
      <c r="Y628" s="4"/>
      <c r="Z628" s="4"/>
      <c r="AA628" s="4"/>
      <c r="AB628" s="4"/>
      <c r="AC628" s="4"/>
      <c r="AD628" s="4"/>
      <c r="AE628" s="4"/>
      <c r="AF628" s="4"/>
    </row>
    <row r="629">
      <c r="A629" s="4"/>
      <c r="B629" s="4"/>
      <c r="C629" s="69"/>
      <c r="D629" s="153"/>
      <c r="E629" s="153"/>
      <c r="F629" s="69"/>
      <c r="G629" s="155"/>
      <c r="H629" s="4"/>
      <c r="I629" s="4"/>
      <c r="J629" s="4"/>
      <c r="K629" s="4"/>
      <c r="L629" s="155"/>
      <c r="M629" s="4"/>
      <c r="N629" s="4"/>
      <c r="O629" s="4"/>
      <c r="P629" s="4"/>
      <c r="Q629" s="4"/>
      <c r="R629" s="109"/>
      <c r="S629" s="4"/>
      <c r="T629" s="4"/>
      <c r="U629" s="4"/>
      <c r="V629" s="4"/>
      <c r="W629" s="4"/>
      <c r="X629" s="4"/>
      <c r="Y629" s="4"/>
      <c r="Z629" s="4"/>
      <c r="AA629" s="4"/>
      <c r="AB629" s="4"/>
      <c r="AC629" s="4"/>
      <c r="AD629" s="4"/>
      <c r="AE629" s="4"/>
      <c r="AF629" s="4"/>
    </row>
    <row r="630">
      <c r="A630" s="4"/>
      <c r="B630" s="4"/>
      <c r="C630" s="69"/>
      <c r="D630" s="153"/>
      <c r="E630" s="153"/>
      <c r="F630" s="69"/>
      <c r="G630" s="155"/>
      <c r="H630" s="4"/>
      <c r="I630" s="4"/>
      <c r="J630" s="4"/>
      <c r="K630" s="4"/>
      <c r="L630" s="155"/>
      <c r="M630" s="4"/>
      <c r="N630" s="4"/>
      <c r="O630" s="4"/>
      <c r="P630" s="4"/>
      <c r="Q630" s="4"/>
      <c r="R630" s="109"/>
      <c r="S630" s="4"/>
      <c r="T630" s="4"/>
      <c r="U630" s="4"/>
      <c r="V630" s="4"/>
      <c r="W630" s="4"/>
      <c r="X630" s="4"/>
      <c r="Y630" s="4"/>
      <c r="Z630" s="4"/>
      <c r="AA630" s="4"/>
      <c r="AB630" s="4"/>
      <c r="AC630" s="4"/>
      <c r="AD630" s="4"/>
      <c r="AE630" s="4"/>
      <c r="AF630" s="4"/>
    </row>
    <row r="631">
      <c r="A631" s="4"/>
      <c r="B631" s="4"/>
      <c r="C631" s="69"/>
      <c r="D631" s="153"/>
      <c r="E631" s="153"/>
      <c r="F631" s="69"/>
      <c r="G631" s="155"/>
      <c r="H631" s="4"/>
      <c r="I631" s="4"/>
      <c r="J631" s="4"/>
      <c r="K631" s="4"/>
      <c r="L631" s="155"/>
      <c r="M631" s="4"/>
      <c r="N631" s="4"/>
      <c r="O631" s="4"/>
      <c r="P631" s="4"/>
      <c r="Q631" s="4"/>
      <c r="R631" s="109"/>
      <c r="S631" s="4"/>
      <c r="T631" s="4"/>
      <c r="U631" s="4"/>
      <c r="V631" s="4"/>
      <c r="W631" s="4"/>
      <c r="X631" s="4"/>
      <c r="Y631" s="4"/>
      <c r="Z631" s="4"/>
      <c r="AA631" s="4"/>
      <c r="AB631" s="4"/>
      <c r="AC631" s="4"/>
      <c r="AD631" s="4"/>
      <c r="AE631" s="4"/>
      <c r="AF631" s="4"/>
    </row>
    <row r="632">
      <c r="A632" s="4"/>
      <c r="B632" s="4"/>
      <c r="C632" s="69"/>
      <c r="D632" s="153"/>
      <c r="E632" s="153"/>
      <c r="F632" s="69"/>
      <c r="G632" s="155"/>
      <c r="H632" s="4"/>
      <c r="I632" s="4"/>
      <c r="J632" s="4"/>
      <c r="K632" s="4"/>
      <c r="L632" s="155"/>
      <c r="M632" s="4"/>
      <c r="N632" s="4"/>
      <c r="O632" s="4"/>
      <c r="P632" s="4"/>
      <c r="Q632" s="4"/>
      <c r="R632" s="109"/>
      <c r="S632" s="4"/>
      <c r="T632" s="4"/>
      <c r="U632" s="4"/>
      <c r="V632" s="4"/>
      <c r="W632" s="4"/>
      <c r="X632" s="4"/>
      <c r="Y632" s="4"/>
      <c r="Z632" s="4"/>
      <c r="AA632" s="4"/>
      <c r="AB632" s="4"/>
      <c r="AC632" s="4"/>
      <c r="AD632" s="4"/>
      <c r="AE632" s="4"/>
      <c r="AF632" s="4"/>
    </row>
    <row r="633">
      <c r="A633" s="4"/>
      <c r="B633" s="4"/>
      <c r="C633" s="69"/>
      <c r="D633" s="153"/>
      <c r="E633" s="153"/>
      <c r="F633" s="69"/>
      <c r="G633" s="155"/>
      <c r="H633" s="4"/>
      <c r="I633" s="4"/>
      <c r="J633" s="4"/>
      <c r="K633" s="4"/>
      <c r="L633" s="155"/>
      <c r="M633" s="4"/>
      <c r="N633" s="4"/>
      <c r="O633" s="4"/>
      <c r="P633" s="4"/>
      <c r="Q633" s="4"/>
      <c r="R633" s="109"/>
      <c r="S633" s="4"/>
      <c r="T633" s="4"/>
      <c r="U633" s="4"/>
      <c r="V633" s="4"/>
      <c r="W633" s="4"/>
      <c r="X633" s="4"/>
      <c r="Y633" s="4"/>
      <c r="Z633" s="4"/>
      <c r="AA633" s="4"/>
      <c r="AB633" s="4"/>
      <c r="AC633" s="4"/>
      <c r="AD633" s="4"/>
      <c r="AE633" s="4"/>
      <c r="AF633" s="4"/>
    </row>
    <row r="634">
      <c r="A634" s="4"/>
      <c r="B634" s="4"/>
      <c r="C634" s="69"/>
      <c r="D634" s="153"/>
      <c r="E634" s="153"/>
      <c r="F634" s="69"/>
      <c r="G634" s="155"/>
      <c r="H634" s="4"/>
      <c r="I634" s="4"/>
      <c r="J634" s="4"/>
      <c r="K634" s="4"/>
      <c r="L634" s="155"/>
      <c r="M634" s="4"/>
      <c r="N634" s="4"/>
      <c r="O634" s="4"/>
      <c r="P634" s="4"/>
      <c r="Q634" s="4"/>
      <c r="R634" s="109"/>
      <c r="S634" s="4"/>
      <c r="T634" s="4"/>
      <c r="U634" s="4"/>
      <c r="V634" s="4"/>
      <c r="W634" s="4"/>
      <c r="X634" s="4"/>
      <c r="Y634" s="4"/>
      <c r="Z634" s="4"/>
      <c r="AA634" s="4"/>
      <c r="AB634" s="4"/>
      <c r="AC634" s="4"/>
      <c r="AD634" s="4"/>
      <c r="AE634" s="4"/>
      <c r="AF634" s="4"/>
    </row>
    <row r="635">
      <c r="A635" s="4"/>
      <c r="B635" s="4"/>
      <c r="C635" s="69"/>
      <c r="D635" s="153"/>
      <c r="E635" s="153"/>
      <c r="F635" s="69"/>
      <c r="G635" s="155"/>
      <c r="H635" s="4"/>
      <c r="I635" s="4"/>
      <c r="J635" s="4"/>
      <c r="K635" s="4"/>
      <c r="L635" s="155"/>
      <c r="M635" s="4"/>
      <c r="N635" s="4"/>
      <c r="O635" s="4"/>
      <c r="P635" s="4"/>
      <c r="Q635" s="4"/>
      <c r="R635" s="109"/>
      <c r="S635" s="4"/>
      <c r="T635" s="4"/>
      <c r="U635" s="4"/>
      <c r="V635" s="4"/>
      <c r="W635" s="4"/>
      <c r="X635" s="4"/>
      <c r="Y635" s="4"/>
      <c r="Z635" s="4"/>
      <c r="AA635" s="4"/>
      <c r="AB635" s="4"/>
      <c r="AC635" s="4"/>
      <c r="AD635" s="4"/>
      <c r="AE635" s="4"/>
      <c r="AF635" s="4"/>
    </row>
    <row r="636">
      <c r="A636" s="4"/>
      <c r="B636" s="4"/>
      <c r="C636" s="69"/>
      <c r="D636" s="153"/>
      <c r="E636" s="153"/>
      <c r="F636" s="69"/>
      <c r="G636" s="155"/>
      <c r="H636" s="4"/>
      <c r="I636" s="4"/>
      <c r="J636" s="4"/>
      <c r="K636" s="4"/>
      <c r="L636" s="155"/>
      <c r="M636" s="4"/>
      <c r="N636" s="4"/>
      <c r="O636" s="4"/>
      <c r="P636" s="4"/>
      <c r="Q636" s="4"/>
      <c r="R636" s="109"/>
      <c r="S636" s="4"/>
      <c r="T636" s="4"/>
      <c r="U636" s="4"/>
      <c r="V636" s="4"/>
      <c r="W636" s="4"/>
      <c r="X636" s="4"/>
      <c r="Y636" s="4"/>
      <c r="Z636" s="4"/>
      <c r="AA636" s="4"/>
      <c r="AB636" s="4"/>
      <c r="AC636" s="4"/>
      <c r="AD636" s="4"/>
      <c r="AE636" s="4"/>
      <c r="AF636" s="4"/>
    </row>
    <row r="637">
      <c r="A637" s="4"/>
      <c r="B637" s="4"/>
      <c r="C637" s="69"/>
      <c r="D637" s="153"/>
      <c r="E637" s="153"/>
      <c r="F637" s="69"/>
      <c r="G637" s="155"/>
      <c r="H637" s="4"/>
      <c r="I637" s="4"/>
      <c r="J637" s="4"/>
      <c r="K637" s="4"/>
      <c r="L637" s="155"/>
      <c r="M637" s="4"/>
      <c r="N637" s="4"/>
      <c r="O637" s="4"/>
      <c r="P637" s="4"/>
      <c r="Q637" s="4"/>
      <c r="R637" s="109"/>
      <c r="S637" s="4"/>
      <c r="T637" s="4"/>
      <c r="U637" s="4"/>
      <c r="V637" s="4"/>
      <c r="W637" s="4"/>
      <c r="X637" s="4"/>
      <c r="Y637" s="4"/>
      <c r="Z637" s="4"/>
      <c r="AA637" s="4"/>
      <c r="AB637" s="4"/>
      <c r="AC637" s="4"/>
      <c r="AD637" s="4"/>
      <c r="AE637" s="4"/>
      <c r="AF637" s="4"/>
    </row>
    <row r="638">
      <c r="A638" s="4"/>
      <c r="B638" s="4"/>
      <c r="C638" s="69"/>
      <c r="D638" s="153"/>
      <c r="E638" s="153"/>
      <c r="F638" s="69"/>
      <c r="G638" s="155"/>
      <c r="H638" s="4"/>
      <c r="I638" s="4"/>
      <c r="J638" s="4"/>
      <c r="K638" s="4"/>
      <c r="L638" s="155"/>
      <c r="M638" s="4"/>
      <c r="N638" s="4"/>
      <c r="O638" s="4"/>
      <c r="P638" s="4"/>
      <c r="Q638" s="4"/>
      <c r="R638" s="109"/>
      <c r="S638" s="4"/>
      <c r="T638" s="4"/>
      <c r="U638" s="4"/>
      <c r="V638" s="4"/>
      <c r="W638" s="4"/>
      <c r="X638" s="4"/>
      <c r="Y638" s="4"/>
      <c r="Z638" s="4"/>
      <c r="AA638" s="4"/>
      <c r="AB638" s="4"/>
      <c r="AC638" s="4"/>
      <c r="AD638" s="4"/>
      <c r="AE638" s="4"/>
      <c r="AF638" s="4"/>
    </row>
    <row r="639">
      <c r="A639" s="4"/>
      <c r="B639" s="4"/>
      <c r="C639" s="69"/>
      <c r="D639" s="153"/>
      <c r="E639" s="153"/>
      <c r="F639" s="69"/>
      <c r="G639" s="155"/>
      <c r="H639" s="4"/>
      <c r="I639" s="4"/>
      <c r="J639" s="4"/>
      <c r="K639" s="4"/>
      <c r="L639" s="155"/>
      <c r="M639" s="4"/>
      <c r="N639" s="4"/>
      <c r="O639" s="4"/>
      <c r="P639" s="4"/>
      <c r="Q639" s="4"/>
      <c r="R639" s="109"/>
      <c r="S639" s="4"/>
      <c r="T639" s="4"/>
      <c r="U639" s="4"/>
      <c r="V639" s="4"/>
      <c r="W639" s="4"/>
      <c r="X639" s="4"/>
      <c r="Y639" s="4"/>
      <c r="Z639" s="4"/>
      <c r="AA639" s="4"/>
      <c r="AB639" s="4"/>
      <c r="AC639" s="4"/>
      <c r="AD639" s="4"/>
      <c r="AE639" s="4"/>
      <c r="AF639" s="4"/>
    </row>
    <row r="640">
      <c r="A640" s="4"/>
      <c r="B640" s="4"/>
      <c r="C640" s="69"/>
      <c r="D640" s="153"/>
      <c r="E640" s="153"/>
      <c r="F640" s="69"/>
      <c r="G640" s="155"/>
      <c r="H640" s="4"/>
      <c r="I640" s="4"/>
      <c r="J640" s="4"/>
      <c r="K640" s="4"/>
      <c r="L640" s="155"/>
      <c r="M640" s="4"/>
      <c r="N640" s="4"/>
      <c r="O640" s="4"/>
      <c r="P640" s="4"/>
      <c r="Q640" s="4"/>
      <c r="R640" s="109"/>
      <c r="S640" s="4"/>
      <c r="T640" s="4"/>
      <c r="U640" s="4"/>
      <c r="V640" s="4"/>
      <c r="W640" s="4"/>
      <c r="X640" s="4"/>
      <c r="Y640" s="4"/>
      <c r="Z640" s="4"/>
      <c r="AA640" s="4"/>
      <c r="AB640" s="4"/>
      <c r="AC640" s="4"/>
      <c r="AD640" s="4"/>
      <c r="AE640" s="4"/>
      <c r="AF640" s="4"/>
    </row>
    <row r="641">
      <c r="A641" s="4"/>
      <c r="B641" s="4"/>
      <c r="C641" s="69"/>
      <c r="D641" s="153"/>
      <c r="E641" s="153"/>
      <c r="F641" s="69"/>
      <c r="G641" s="155"/>
      <c r="H641" s="4"/>
      <c r="I641" s="4"/>
      <c r="J641" s="4"/>
      <c r="K641" s="4"/>
      <c r="L641" s="155"/>
      <c r="M641" s="4"/>
      <c r="N641" s="4"/>
      <c r="O641" s="4"/>
      <c r="P641" s="4"/>
      <c r="Q641" s="4"/>
      <c r="R641" s="109"/>
      <c r="S641" s="4"/>
      <c r="T641" s="4"/>
      <c r="U641" s="4"/>
      <c r="V641" s="4"/>
      <c r="W641" s="4"/>
      <c r="X641" s="4"/>
      <c r="Y641" s="4"/>
      <c r="Z641" s="4"/>
      <c r="AA641" s="4"/>
      <c r="AB641" s="4"/>
      <c r="AC641" s="4"/>
      <c r="AD641" s="4"/>
      <c r="AE641" s="4"/>
      <c r="AF641" s="4"/>
    </row>
    <row r="642">
      <c r="A642" s="4"/>
      <c r="B642" s="4"/>
      <c r="C642" s="69"/>
      <c r="D642" s="153"/>
      <c r="E642" s="153"/>
      <c r="F642" s="69"/>
      <c r="G642" s="155"/>
      <c r="H642" s="4"/>
      <c r="I642" s="4"/>
      <c r="J642" s="4"/>
      <c r="K642" s="4"/>
      <c r="L642" s="155"/>
      <c r="M642" s="4"/>
      <c r="N642" s="4"/>
      <c r="O642" s="4"/>
      <c r="P642" s="4"/>
      <c r="Q642" s="4"/>
      <c r="R642" s="109"/>
      <c r="S642" s="4"/>
      <c r="T642" s="4"/>
      <c r="U642" s="4"/>
      <c r="V642" s="4"/>
      <c r="W642" s="4"/>
      <c r="X642" s="4"/>
      <c r="Y642" s="4"/>
      <c r="Z642" s="4"/>
      <c r="AA642" s="4"/>
      <c r="AB642" s="4"/>
      <c r="AC642" s="4"/>
      <c r="AD642" s="4"/>
      <c r="AE642" s="4"/>
      <c r="AF642" s="4"/>
    </row>
    <row r="643">
      <c r="A643" s="4"/>
      <c r="B643" s="4"/>
      <c r="C643" s="69"/>
      <c r="D643" s="153"/>
      <c r="E643" s="153"/>
      <c r="F643" s="69"/>
      <c r="G643" s="155"/>
      <c r="H643" s="4"/>
      <c r="I643" s="4"/>
      <c r="J643" s="4"/>
      <c r="K643" s="4"/>
      <c r="L643" s="155"/>
      <c r="M643" s="4"/>
      <c r="N643" s="4"/>
      <c r="O643" s="4"/>
      <c r="P643" s="4"/>
      <c r="Q643" s="4"/>
      <c r="R643" s="109"/>
      <c r="S643" s="4"/>
      <c r="T643" s="4"/>
      <c r="U643" s="4"/>
      <c r="V643" s="4"/>
      <c r="W643" s="4"/>
      <c r="X643" s="4"/>
      <c r="Y643" s="4"/>
      <c r="Z643" s="4"/>
      <c r="AA643" s="4"/>
      <c r="AB643" s="4"/>
      <c r="AC643" s="4"/>
      <c r="AD643" s="4"/>
      <c r="AE643" s="4"/>
      <c r="AF643" s="4"/>
    </row>
    <row r="644">
      <c r="A644" s="4"/>
      <c r="B644" s="4"/>
      <c r="C644" s="69"/>
      <c r="D644" s="153"/>
      <c r="E644" s="153"/>
      <c r="F644" s="69"/>
      <c r="G644" s="155"/>
      <c r="H644" s="4"/>
      <c r="I644" s="4"/>
      <c r="J644" s="4"/>
      <c r="K644" s="4"/>
      <c r="L644" s="155"/>
      <c r="M644" s="4"/>
      <c r="N644" s="4"/>
      <c r="O644" s="4"/>
      <c r="P644" s="4"/>
      <c r="Q644" s="4"/>
      <c r="R644" s="109"/>
      <c r="S644" s="4"/>
      <c r="T644" s="4"/>
      <c r="U644" s="4"/>
      <c r="V644" s="4"/>
      <c r="W644" s="4"/>
      <c r="X644" s="4"/>
      <c r="Y644" s="4"/>
      <c r="Z644" s="4"/>
      <c r="AA644" s="4"/>
      <c r="AB644" s="4"/>
      <c r="AC644" s="4"/>
      <c r="AD644" s="4"/>
      <c r="AE644" s="4"/>
      <c r="AF644" s="4"/>
    </row>
    <row r="645">
      <c r="A645" s="4"/>
      <c r="B645" s="4"/>
      <c r="C645" s="69"/>
      <c r="D645" s="153"/>
      <c r="E645" s="153"/>
      <c r="F645" s="69"/>
      <c r="G645" s="155"/>
      <c r="H645" s="4"/>
      <c r="I645" s="4"/>
      <c r="J645" s="4"/>
      <c r="K645" s="4"/>
      <c r="L645" s="155"/>
      <c r="M645" s="4"/>
      <c r="N645" s="4"/>
      <c r="O645" s="4"/>
      <c r="P645" s="4"/>
      <c r="Q645" s="4"/>
      <c r="R645" s="109"/>
      <c r="S645" s="4"/>
      <c r="T645" s="4"/>
      <c r="U645" s="4"/>
      <c r="V645" s="4"/>
      <c r="W645" s="4"/>
      <c r="X645" s="4"/>
      <c r="Y645" s="4"/>
      <c r="Z645" s="4"/>
      <c r="AA645" s="4"/>
      <c r="AB645" s="4"/>
      <c r="AC645" s="4"/>
      <c r="AD645" s="4"/>
      <c r="AE645" s="4"/>
      <c r="AF645" s="4"/>
    </row>
    <row r="646">
      <c r="A646" s="4"/>
      <c r="B646" s="4"/>
      <c r="C646" s="69"/>
      <c r="D646" s="153"/>
      <c r="E646" s="153"/>
      <c r="F646" s="69"/>
      <c r="G646" s="155"/>
      <c r="H646" s="4"/>
      <c r="I646" s="4"/>
      <c r="J646" s="4"/>
      <c r="K646" s="4"/>
      <c r="L646" s="155"/>
      <c r="M646" s="4"/>
      <c r="N646" s="4"/>
      <c r="O646" s="4"/>
      <c r="P646" s="4"/>
      <c r="Q646" s="4"/>
      <c r="R646" s="109"/>
      <c r="S646" s="4"/>
      <c r="T646" s="4"/>
      <c r="U646" s="4"/>
      <c r="V646" s="4"/>
      <c r="W646" s="4"/>
      <c r="X646" s="4"/>
      <c r="Y646" s="4"/>
      <c r="Z646" s="4"/>
      <c r="AA646" s="4"/>
      <c r="AB646" s="4"/>
      <c r="AC646" s="4"/>
      <c r="AD646" s="4"/>
      <c r="AE646" s="4"/>
      <c r="AF646" s="4"/>
    </row>
    <row r="647">
      <c r="A647" s="4"/>
      <c r="B647" s="4"/>
      <c r="C647" s="69"/>
      <c r="D647" s="153"/>
      <c r="E647" s="153"/>
      <c r="F647" s="69"/>
      <c r="G647" s="155"/>
      <c r="H647" s="4"/>
      <c r="I647" s="4"/>
      <c r="J647" s="4"/>
      <c r="K647" s="4"/>
      <c r="L647" s="155"/>
      <c r="M647" s="4"/>
      <c r="N647" s="4"/>
      <c r="O647" s="4"/>
      <c r="P647" s="4"/>
      <c r="Q647" s="4"/>
      <c r="R647" s="109"/>
      <c r="S647" s="4"/>
      <c r="T647" s="4"/>
      <c r="U647" s="4"/>
      <c r="V647" s="4"/>
      <c r="W647" s="4"/>
      <c r="X647" s="4"/>
      <c r="Y647" s="4"/>
      <c r="Z647" s="4"/>
      <c r="AA647" s="4"/>
      <c r="AB647" s="4"/>
      <c r="AC647" s="4"/>
      <c r="AD647" s="4"/>
      <c r="AE647" s="4"/>
      <c r="AF647" s="4"/>
    </row>
    <row r="648">
      <c r="A648" s="4"/>
      <c r="B648" s="4"/>
      <c r="C648" s="69"/>
      <c r="D648" s="153"/>
      <c r="E648" s="153"/>
      <c r="F648" s="69"/>
      <c r="G648" s="155"/>
      <c r="H648" s="4"/>
      <c r="I648" s="4"/>
      <c r="J648" s="4"/>
      <c r="K648" s="4"/>
      <c r="L648" s="155"/>
      <c r="M648" s="4"/>
      <c r="N648" s="4"/>
      <c r="O648" s="4"/>
      <c r="P648" s="4"/>
      <c r="Q648" s="4"/>
      <c r="R648" s="109"/>
      <c r="S648" s="4"/>
      <c r="T648" s="4"/>
      <c r="U648" s="4"/>
      <c r="V648" s="4"/>
      <c r="W648" s="4"/>
      <c r="X648" s="4"/>
      <c r="Y648" s="4"/>
      <c r="Z648" s="4"/>
      <c r="AA648" s="4"/>
      <c r="AB648" s="4"/>
      <c r="AC648" s="4"/>
      <c r="AD648" s="4"/>
      <c r="AE648" s="4"/>
      <c r="AF648" s="4"/>
    </row>
    <row r="649">
      <c r="A649" s="4"/>
      <c r="B649" s="4"/>
      <c r="C649" s="69"/>
      <c r="D649" s="153"/>
      <c r="E649" s="153"/>
      <c r="F649" s="69"/>
      <c r="G649" s="155"/>
      <c r="H649" s="4"/>
      <c r="I649" s="4"/>
      <c r="J649" s="4"/>
      <c r="K649" s="4"/>
      <c r="L649" s="155"/>
      <c r="M649" s="4"/>
      <c r="N649" s="4"/>
      <c r="O649" s="4"/>
      <c r="P649" s="4"/>
      <c r="Q649" s="4"/>
      <c r="R649" s="109"/>
      <c r="S649" s="4"/>
      <c r="T649" s="4"/>
      <c r="U649" s="4"/>
      <c r="V649" s="4"/>
      <c r="W649" s="4"/>
      <c r="X649" s="4"/>
      <c r="Y649" s="4"/>
      <c r="Z649" s="4"/>
      <c r="AA649" s="4"/>
      <c r="AB649" s="4"/>
      <c r="AC649" s="4"/>
      <c r="AD649" s="4"/>
      <c r="AE649" s="4"/>
      <c r="AF649" s="4"/>
    </row>
    <row r="650">
      <c r="A650" s="4"/>
      <c r="B650" s="4"/>
      <c r="C650" s="69"/>
      <c r="D650" s="153"/>
      <c r="E650" s="153"/>
      <c r="F650" s="69"/>
      <c r="G650" s="155"/>
      <c r="H650" s="4"/>
      <c r="I650" s="4"/>
      <c r="J650" s="4"/>
      <c r="K650" s="4"/>
      <c r="L650" s="155"/>
      <c r="M650" s="4"/>
      <c r="N650" s="4"/>
      <c r="O650" s="4"/>
      <c r="P650" s="4"/>
      <c r="Q650" s="4"/>
      <c r="R650" s="109"/>
      <c r="S650" s="4"/>
      <c r="T650" s="4"/>
      <c r="U650" s="4"/>
      <c r="V650" s="4"/>
      <c r="W650" s="4"/>
      <c r="X650" s="4"/>
      <c r="Y650" s="4"/>
      <c r="Z650" s="4"/>
      <c r="AA650" s="4"/>
      <c r="AB650" s="4"/>
      <c r="AC650" s="4"/>
      <c r="AD650" s="4"/>
      <c r="AE650" s="4"/>
      <c r="AF650" s="4"/>
    </row>
    <row r="651">
      <c r="A651" s="4"/>
      <c r="B651" s="4"/>
      <c r="C651" s="69"/>
      <c r="D651" s="153"/>
      <c r="E651" s="153"/>
      <c r="F651" s="69"/>
      <c r="G651" s="155"/>
      <c r="H651" s="4"/>
      <c r="I651" s="4"/>
      <c r="J651" s="4"/>
      <c r="K651" s="4"/>
      <c r="L651" s="155"/>
      <c r="M651" s="4"/>
      <c r="N651" s="4"/>
      <c r="O651" s="4"/>
      <c r="P651" s="4"/>
      <c r="Q651" s="4"/>
      <c r="R651" s="109"/>
      <c r="S651" s="4"/>
      <c r="T651" s="4"/>
      <c r="U651" s="4"/>
      <c r="V651" s="4"/>
      <c r="W651" s="4"/>
      <c r="X651" s="4"/>
      <c r="Y651" s="4"/>
      <c r="Z651" s="4"/>
      <c r="AA651" s="4"/>
      <c r="AB651" s="4"/>
      <c r="AC651" s="4"/>
      <c r="AD651" s="4"/>
      <c r="AE651" s="4"/>
      <c r="AF651" s="4"/>
    </row>
    <row r="652">
      <c r="A652" s="4"/>
      <c r="B652" s="4"/>
      <c r="C652" s="69"/>
      <c r="D652" s="153"/>
      <c r="E652" s="153"/>
      <c r="F652" s="69"/>
      <c r="G652" s="155"/>
      <c r="H652" s="4"/>
      <c r="I652" s="4"/>
      <c r="J652" s="4"/>
      <c r="K652" s="4"/>
      <c r="L652" s="155"/>
      <c r="M652" s="4"/>
      <c r="N652" s="4"/>
      <c r="O652" s="4"/>
      <c r="P652" s="4"/>
      <c r="Q652" s="4"/>
      <c r="R652" s="109"/>
      <c r="S652" s="4"/>
      <c r="T652" s="4"/>
      <c r="U652" s="4"/>
      <c r="V652" s="4"/>
      <c r="W652" s="4"/>
      <c r="X652" s="4"/>
      <c r="Y652" s="4"/>
      <c r="Z652" s="4"/>
      <c r="AA652" s="4"/>
      <c r="AB652" s="4"/>
      <c r="AC652" s="4"/>
      <c r="AD652" s="4"/>
      <c r="AE652" s="4"/>
      <c r="AF652" s="4"/>
    </row>
    <row r="653">
      <c r="A653" s="4"/>
      <c r="B653" s="4"/>
      <c r="C653" s="69"/>
      <c r="D653" s="153"/>
      <c r="E653" s="153"/>
      <c r="F653" s="69"/>
      <c r="G653" s="155"/>
      <c r="H653" s="4"/>
      <c r="I653" s="4"/>
      <c r="J653" s="4"/>
      <c r="K653" s="4"/>
      <c r="L653" s="155"/>
      <c r="M653" s="4"/>
      <c r="N653" s="4"/>
      <c r="O653" s="4"/>
      <c r="P653" s="4"/>
      <c r="Q653" s="4"/>
      <c r="R653" s="109"/>
      <c r="S653" s="4"/>
      <c r="T653" s="4"/>
      <c r="U653" s="4"/>
      <c r="V653" s="4"/>
      <c r="W653" s="4"/>
      <c r="X653" s="4"/>
      <c r="Y653" s="4"/>
      <c r="Z653" s="4"/>
      <c r="AA653" s="4"/>
      <c r="AB653" s="4"/>
      <c r="AC653" s="4"/>
      <c r="AD653" s="4"/>
      <c r="AE653" s="4"/>
      <c r="AF653" s="4"/>
    </row>
    <row r="654">
      <c r="A654" s="4"/>
      <c r="B654" s="4"/>
      <c r="C654" s="69"/>
      <c r="D654" s="153"/>
      <c r="E654" s="153"/>
      <c r="F654" s="69"/>
      <c r="G654" s="155"/>
      <c r="H654" s="4"/>
      <c r="I654" s="4"/>
      <c r="J654" s="4"/>
      <c r="K654" s="4"/>
      <c r="L654" s="155"/>
      <c r="M654" s="4"/>
      <c r="N654" s="4"/>
      <c r="O654" s="4"/>
      <c r="P654" s="4"/>
      <c r="Q654" s="4"/>
      <c r="R654" s="109"/>
      <c r="S654" s="4"/>
      <c r="T654" s="4"/>
      <c r="U654" s="4"/>
      <c r="V654" s="4"/>
      <c r="W654" s="4"/>
      <c r="X654" s="4"/>
      <c r="Y654" s="4"/>
      <c r="Z654" s="4"/>
      <c r="AA654" s="4"/>
      <c r="AB654" s="4"/>
      <c r="AC654" s="4"/>
      <c r="AD654" s="4"/>
      <c r="AE654" s="4"/>
      <c r="AF654" s="4"/>
    </row>
    <row r="655">
      <c r="A655" s="4"/>
      <c r="B655" s="4"/>
      <c r="C655" s="69"/>
      <c r="D655" s="153"/>
      <c r="E655" s="153"/>
      <c r="F655" s="69"/>
      <c r="G655" s="155"/>
      <c r="H655" s="4"/>
      <c r="I655" s="4"/>
      <c r="J655" s="4"/>
      <c r="K655" s="4"/>
      <c r="L655" s="155"/>
      <c r="M655" s="4"/>
      <c r="N655" s="4"/>
      <c r="O655" s="4"/>
      <c r="P655" s="4"/>
      <c r="Q655" s="4"/>
      <c r="R655" s="109"/>
      <c r="S655" s="4"/>
      <c r="T655" s="4"/>
      <c r="U655" s="4"/>
      <c r="V655" s="4"/>
      <c r="W655" s="4"/>
      <c r="X655" s="4"/>
      <c r="Y655" s="4"/>
      <c r="Z655" s="4"/>
      <c r="AA655" s="4"/>
      <c r="AB655" s="4"/>
      <c r="AC655" s="4"/>
      <c r="AD655" s="4"/>
      <c r="AE655" s="4"/>
      <c r="AF655" s="4"/>
    </row>
    <row r="656">
      <c r="A656" s="4"/>
      <c r="B656" s="4"/>
      <c r="C656" s="69"/>
      <c r="D656" s="153"/>
      <c r="E656" s="153"/>
      <c r="F656" s="69"/>
      <c r="G656" s="155"/>
      <c r="H656" s="4"/>
      <c r="I656" s="4"/>
      <c r="J656" s="4"/>
      <c r="K656" s="4"/>
      <c r="L656" s="155"/>
      <c r="M656" s="4"/>
      <c r="N656" s="4"/>
      <c r="O656" s="4"/>
      <c r="P656" s="4"/>
      <c r="Q656" s="4"/>
      <c r="R656" s="109"/>
      <c r="S656" s="4"/>
      <c r="T656" s="4"/>
      <c r="U656" s="4"/>
      <c r="V656" s="4"/>
      <c r="W656" s="4"/>
      <c r="X656" s="4"/>
      <c r="Y656" s="4"/>
      <c r="Z656" s="4"/>
      <c r="AA656" s="4"/>
      <c r="AB656" s="4"/>
      <c r="AC656" s="4"/>
      <c r="AD656" s="4"/>
      <c r="AE656" s="4"/>
      <c r="AF656" s="4"/>
    </row>
    <row r="657">
      <c r="A657" s="4"/>
      <c r="B657" s="4"/>
      <c r="C657" s="69"/>
      <c r="D657" s="153"/>
      <c r="E657" s="153"/>
      <c r="F657" s="69"/>
      <c r="G657" s="155"/>
      <c r="H657" s="4"/>
      <c r="I657" s="4"/>
      <c r="J657" s="4"/>
      <c r="K657" s="4"/>
      <c r="L657" s="155"/>
      <c r="M657" s="4"/>
      <c r="N657" s="4"/>
      <c r="O657" s="4"/>
      <c r="P657" s="4"/>
      <c r="Q657" s="4"/>
      <c r="R657" s="109"/>
      <c r="S657" s="4"/>
      <c r="T657" s="4"/>
      <c r="U657" s="4"/>
      <c r="V657" s="4"/>
      <c r="W657" s="4"/>
      <c r="X657" s="4"/>
      <c r="Y657" s="4"/>
      <c r="Z657" s="4"/>
      <c r="AA657" s="4"/>
      <c r="AB657" s="4"/>
      <c r="AC657" s="4"/>
      <c r="AD657" s="4"/>
      <c r="AE657" s="4"/>
      <c r="AF657" s="4"/>
    </row>
    <row r="658">
      <c r="A658" s="4"/>
      <c r="B658" s="4"/>
      <c r="C658" s="69"/>
      <c r="D658" s="153"/>
      <c r="E658" s="153"/>
      <c r="F658" s="69"/>
      <c r="G658" s="155"/>
      <c r="H658" s="4"/>
      <c r="I658" s="4"/>
      <c r="J658" s="4"/>
      <c r="K658" s="4"/>
      <c r="L658" s="155"/>
      <c r="M658" s="4"/>
      <c r="N658" s="4"/>
      <c r="O658" s="4"/>
      <c r="P658" s="4"/>
      <c r="Q658" s="4"/>
      <c r="R658" s="109"/>
      <c r="S658" s="4"/>
      <c r="T658" s="4"/>
      <c r="U658" s="4"/>
      <c r="V658" s="4"/>
      <c r="W658" s="4"/>
      <c r="X658" s="4"/>
      <c r="Y658" s="4"/>
      <c r="Z658" s="4"/>
      <c r="AA658" s="4"/>
      <c r="AB658" s="4"/>
      <c r="AC658" s="4"/>
      <c r="AD658" s="4"/>
      <c r="AE658" s="4"/>
      <c r="AF658" s="4"/>
    </row>
    <row r="659">
      <c r="A659" s="4"/>
      <c r="B659" s="4"/>
      <c r="C659" s="69"/>
      <c r="D659" s="153"/>
      <c r="E659" s="153"/>
      <c r="F659" s="69"/>
      <c r="G659" s="155"/>
      <c r="H659" s="4"/>
      <c r="I659" s="4"/>
      <c r="J659" s="4"/>
      <c r="K659" s="4"/>
      <c r="L659" s="155"/>
      <c r="M659" s="4"/>
      <c r="N659" s="4"/>
      <c r="O659" s="4"/>
      <c r="P659" s="4"/>
      <c r="Q659" s="4"/>
      <c r="R659" s="109"/>
      <c r="S659" s="4"/>
      <c r="T659" s="4"/>
      <c r="U659" s="4"/>
      <c r="V659" s="4"/>
      <c r="W659" s="4"/>
      <c r="X659" s="4"/>
      <c r="Y659" s="4"/>
      <c r="Z659" s="4"/>
      <c r="AA659" s="4"/>
      <c r="AB659" s="4"/>
      <c r="AC659" s="4"/>
      <c r="AD659" s="4"/>
      <c r="AE659" s="4"/>
      <c r="AF659" s="4"/>
    </row>
    <row r="660">
      <c r="A660" s="4"/>
      <c r="B660" s="4"/>
      <c r="C660" s="69"/>
      <c r="D660" s="153"/>
      <c r="E660" s="153"/>
      <c r="F660" s="69"/>
      <c r="G660" s="155"/>
      <c r="H660" s="4"/>
      <c r="I660" s="4"/>
      <c r="J660" s="4"/>
      <c r="K660" s="4"/>
      <c r="L660" s="155"/>
      <c r="M660" s="4"/>
      <c r="N660" s="4"/>
      <c r="O660" s="4"/>
      <c r="P660" s="4"/>
      <c r="Q660" s="4"/>
      <c r="R660" s="109"/>
      <c r="S660" s="4"/>
      <c r="T660" s="4"/>
      <c r="U660" s="4"/>
      <c r="V660" s="4"/>
      <c r="W660" s="4"/>
      <c r="X660" s="4"/>
      <c r="Y660" s="4"/>
      <c r="Z660" s="4"/>
      <c r="AA660" s="4"/>
      <c r="AB660" s="4"/>
      <c r="AC660" s="4"/>
      <c r="AD660" s="4"/>
      <c r="AE660" s="4"/>
      <c r="AF660" s="4"/>
    </row>
    <row r="661">
      <c r="A661" s="4"/>
      <c r="B661" s="4"/>
      <c r="C661" s="69"/>
      <c r="D661" s="153"/>
      <c r="E661" s="153"/>
      <c r="F661" s="69"/>
      <c r="G661" s="155"/>
      <c r="H661" s="4"/>
      <c r="I661" s="4"/>
      <c r="J661" s="4"/>
      <c r="K661" s="4"/>
      <c r="L661" s="155"/>
      <c r="M661" s="4"/>
      <c r="N661" s="4"/>
      <c r="O661" s="4"/>
      <c r="P661" s="4"/>
      <c r="Q661" s="4"/>
      <c r="R661" s="109"/>
      <c r="S661" s="4"/>
      <c r="T661" s="4"/>
      <c r="U661" s="4"/>
      <c r="V661" s="4"/>
      <c r="W661" s="4"/>
      <c r="X661" s="4"/>
      <c r="Y661" s="4"/>
      <c r="Z661" s="4"/>
      <c r="AA661" s="4"/>
      <c r="AB661" s="4"/>
      <c r="AC661" s="4"/>
      <c r="AD661" s="4"/>
      <c r="AE661" s="4"/>
      <c r="AF661" s="4"/>
    </row>
    <row r="662">
      <c r="A662" s="4"/>
      <c r="B662" s="4"/>
      <c r="C662" s="69"/>
      <c r="D662" s="153"/>
      <c r="E662" s="153"/>
      <c r="F662" s="69"/>
      <c r="G662" s="155"/>
      <c r="H662" s="4"/>
      <c r="I662" s="4"/>
      <c r="J662" s="4"/>
      <c r="K662" s="4"/>
      <c r="L662" s="155"/>
      <c r="M662" s="4"/>
      <c r="N662" s="4"/>
      <c r="O662" s="4"/>
      <c r="P662" s="4"/>
      <c r="Q662" s="4"/>
      <c r="R662" s="109"/>
      <c r="S662" s="4"/>
      <c r="T662" s="4"/>
      <c r="U662" s="4"/>
      <c r="V662" s="4"/>
      <c r="W662" s="4"/>
      <c r="X662" s="4"/>
      <c r="Y662" s="4"/>
      <c r="Z662" s="4"/>
      <c r="AA662" s="4"/>
      <c r="AB662" s="4"/>
      <c r="AC662" s="4"/>
      <c r="AD662" s="4"/>
      <c r="AE662" s="4"/>
      <c r="AF662" s="4"/>
    </row>
    <row r="663">
      <c r="A663" s="4"/>
      <c r="B663" s="4"/>
      <c r="C663" s="69"/>
      <c r="D663" s="153"/>
      <c r="E663" s="153"/>
      <c r="F663" s="69"/>
      <c r="G663" s="155"/>
      <c r="H663" s="4"/>
      <c r="I663" s="4"/>
      <c r="J663" s="4"/>
      <c r="K663" s="4"/>
      <c r="L663" s="155"/>
      <c r="M663" s="4"/>
      <c r="N663" s="4"/>
      <c r="O663" s="4"/>
      <c r="P663" s="4"/>
      <c r="Q663" s="4"/>
      <c r="R663" s="109"/>
      <c r="S663" s="4"/>
      <c r="T663" s="4"/>
      <c r="U663" s="4"/>
      <c r="V663" s="4"/>
      <c r="W663" s="4"/>
      <c r="X663" s="4"/>
      <c r="Y663" s="4"/>
      <c r="Z663" s="4"/>
      <c r="AA663" s="4"/>
      <c r="AB663" s="4"/>
      <c r="AC663" s="4"/>
      <c r="AD663" s="4"/>
      <c r="AE663" s="4"/>
      <c r="AF663" s="4"/>
    </row>
    <row r="664">
      <c r="A664" s="4"/>
      <c r="B664" s="4"/>
      <c r="C664" s="69"/>
      <c r="D664" s="153"/>
      <c r="E664" s="153"/>
      <c r="F664" s="69"/>
      <c r="G664" s="155"/>
      <c r="H664" s="4"/>
      <c r="I664" s="4"/>
      <c r="J664" s="4"/>
      <c r="K664" s="4"/>
      <c r="L664" s="155"/>
      <c r="M664" s="4"/>
      <c r="N664" s="4"/>
      <c r="O664" s="4"/>
      <c r="P664" s="4"/>
      <c r="Q664" s="4"/>
      <c r="R664" s="109"/>
      <c r="S664" s="4"/>
      <c r="T664" s="4"/>
      <c r="U664" s="4"/>
      <c r="V664" s="4"/>
      <c r="W664" s="4"/>
      <c r="X664" s="4"/>
      <c r="Y664" s="4"/>
      <c r="Z664" s="4"/>
      <c r="AA664" s="4"/>
      <c r="AB664" s="4"/>
      <c r="AC664" s="4"/>
      <c r="AD664" s="4"/>
      <c r="AE664" s="4"/>
      <c r="AF664" s="4"/>
    </row>
    <row r="665">
      <c r="A665" s="4"/>
      <c r="B665" s="4"/>
      <c r="C665" s="69"/>
      <c r="D665" s="153"/>
      <c r="E665" s="153"/>
      <c r="F665" s="69"/>
      <c r="G665" s="155"/>
      <c r="H665" s="4"/>
      <c r="I665" s="4"/>
      <c r="J665" s="4"/>
      <c r="K665" s="4"/>
      <c r="L665" s="155"/>
      <c r="M665" s="4"/>
      <c r="N665" s="4"/>
      <c r="O665" s="4"/>
      <c r="P665" s="4"/>
      <c r="Q665" s="4"/>
      <c r="R665" s="109"/>
      <c r="S665" s="4"/>
      <c r="T665" s="4"/>
      <c r="U665" s="4"/>
      <c r="V665" s="4"/>
      <c r="W665" s="4"/>
      <c r="X665" s="4"/>
      <c r="Y665" s="4"/>
      <c r="Z665" s="4"/>
      <c r="AA665" s="4"/>
      <c r="AB665" s="4"/>
      <c r="AC665" s="4"/>
      <c r="AD665" s="4"/>
      <c r="AE665" s="4"/>
      <c r="AF665" s="4"/>
    </row>
    <row r="666">
      <c r="A666" s="4"/>
      <c r="B666" s="4"/>
      <c r="C666" s="69"/>
      <c r="D666" s="153"/>
      <c r="E666" s="153"/>
      <c r="F666" s="69"/>
      <c r="G666" s="155"/>
      <c r="H666" s="4"/>
      <c r="I666" s="4"/>
      <c r="J666" s="4"/>
      <c r="K666" s="4"/>
      <c r="L666" s="155"/>
      <c r="M666" s="4"/>
      <c r="N666" s="4"/>
      <c r="O666" s="4"/>
      <c r="P666" s="4"/>
      <c r="Q666" s="4"/>
      <c r="R666" s="109"/>
      <c r="S666" s="4"/>
      <c r="T666" s="4"/>
      <c r="U666" s="4"/>
      <c r="V666" s="4"/>
      <c r="W666" s="4"/>
      <c r="X666" s="4"/>
      <c r="Y666" s="4"/>
      <c r="Z666" s="4"/>
      <c r="AA666" s="4"/>
      <c r="AB666" s="4"/>
      <c r="AC666" s="4"/>
      <c r="AD666" s="4"/>
      <c r="AE666" s="4"/>
      <c r="AF666" s="4"/>
    </row>
    <row r="667">
      <c r="A667" s="4"/>
      <c r="B667" s="4"/>
      <c r="C667" s="69"/>
      <c r="D667" s="153"/>
      <c r="E667" s="153"/>
      <c r="F667" s="69"/>
      <c r="G667" s="155"/>
      <c r="H667" s="4"/>
      <c r="I667" s="4"/>
      <c r="J667" s="4"/>
      <c r="K667" s="4"/>
      <c r="L667" s="155"/>
      <c r="M667" s="4"/>
      <c r="N667" s="4"/>
      <c r="O667" s="4"/>
      <c r="P667" s="4"/>
      <c r="Q667" s="4"/>
      <c r="R667" s="109"/>
      <c r="S667" s="4"/>
      <c r="T667" s="4"/>
      <c r="U667" s="4"/>
      <c r="V667" s="4"/>
      <c r="W667" s="4"/>
      <c r="X667" s="4"/>
      <c r="Y667" s="4"/>
      <c r="Z667" s="4"/>
      <c r="AA667" s="4"/>
      <c r="AB667" s="4"/>
      <c r="AC667" s="4"/>
      <c r="AD667" s="4"/>
      <c r="AE667" s="4"/>
      <c r="AF667" s="4"/>
    </row>
    <row r="668">
      <c r="A668" s="4"/>
      <c r="B668" s="4"/>
      <c r="C668" s="69"/>
      <c r="D668" s="153"/>
      <c r="E668" s="153"/>
      <c r="F668" s="69"/>
      <c r="G668" s="155"/>
      <c r="H668" s="4"/>
      <c r="I668" s="4"/>
      <c r="J668" s="4"/>
      <c r="K668" s="4"/>
      <c r="L668" s="155"/>
      <c r="M668" s="4"/>
      <c r="N668" s="4"/>
      <c r="O668" s="4"/>
      <c r="P668" s="4"/>
      <c r="Q668" s="4"/>
      <c r="R668" s="109"/>
      <c r="S668" s="4"/>
      <c r="T668" s="4"/>
      <c r="U668" s="4"/>
      <c r="V668" s="4"/>
      <c r="W668" s="4"/>
      <c r="X668" s="4"/>
      <c r="Y668" s="4"/>
      <c r="Z668" s="4"/>
      <c r="AA668" s="4"/>
      <c r="AB668" s="4"/>
      <c r="AC668" s="4"/>
      <c r="AD668" s="4"/>
      <c r="AE668" s="4"/>
      <c r="AF668" s="4"/>
    </row>
    <row r="669">
      <c r="A669" s="4"/>
      <c r="B669" s="4"/>
      <c r="C669" s="69"/>
      <c r="D669" s="153"/>
      <c r="E669" s="153"/>
      <c r="F669" s="69"/>
      <c r="G669" s="155"/>
      <c r="H669" s="4"/>
      <c r="I669" s="4"/>
      <c r="J669" s="4"/>
      <c r="K669" s="4"/>
      <c r="L669" s="155"/>
      <c r="M669" s="4"/>
      <c r="N669" s="4"/>
      <c r="O669" s="4"/>
      <c r="P669" s="4"/>
      <c r="Q669" s="4"/>
      <c r="R669" s="109"/>
      <c r="S669" s="4"/>
      <c r="T669" s="4"/>
      <c r="U669" s="4"/>
      <c r="V669" s="4"/>
      <c r="W669" s="4"/>
      <c r="X669" s="4"/>
      <c r="Y669" s="4"/>
      <c r="Z669" s="4"/>
      <c r="AA669" s="4"/>
      <c r="AB669" s="4"/>
      <c r="AC669" s="4"/>
      <c r="AD669" s="4"/>
      <c r="AE669" s="4"/>
      <c r="AF669" s="4"/>
    </row>
    <row r="670">
      <c r="A670" s="4"/>
      <c r="B670" s="4"/>
      <c r="C670" s="69"/>
      <c r="D670" s="153"/>
      <c r="E670" s="153"/>
      <c r="F670" s="69"/>
      <c r="G670" s="155"/>
      <c r="H670" s="4"/>
      <c r="I670" s="4"/>
      <c r="J670" s="4"/>
      <c r="K670" s="4"/>
      <c r="L670" s="155"/>
      <c r="M670" s="4"/>
      <c r="N670" s="4"/>
      <c r="O670" s="4"/>
      <c r="P670" s="4"/>
      <c r="Q670" s="4"/>
      <c r="R670" s="109"/>
      <c r="S670" s="4"/>
      <c r="T670" s="4"/>
      <c r="U670" s="4"/>
      <c r="V670" s="4"/>
      <c r="W670" s="4"/>
      <c r="X670" s="4"/>
      <c r="Y670" s="4"/>
      <c r="Z670" s="4"/>
      <c r="AA670" s="4"/>
      <c r="AB670" s="4"/>
      <c r="AC670" s="4"/>
      <c r="AD670" s="4"/>
      <c r="AE670" s="4"/>
      <c r="AF670" s="4"/>
    </row>
    <row r="671">
      <c r="A671" s="4"/>
      <c r="B671" s="4"/>
      <c r="C671" s="69"/>
      <c r="D671" s="153"/>
      <c r="E671" s="153"/>
      <c r="F671" s="69"/>
      <c r="G671" s="155"/>
      <c r="H671" s="4"/>
      <c r="I671" s="4"/>
      <c r="J671" s="4"/>
      <c r="K671" s="4"/>
      <c r="L671" s="155"/>
      <c r="M671" s="4"/>
      <c r="N671" s="4"/>
      <c r="O671" s="4"/>
      <c r="P671" s="4"/>
      <c r="Q671" s="4"/>
      <c r="R671" s="109"/>
      <c r="S671" s="4"/>
      <c r="T671" s="4"/>
      <c r="U671" s="4"/>
      <c r="V671" s="4"/>
      <c r="W671" s="4"/>
      <c r="X671" s="4"/>
      <c r="Y671" s="4"/>
      <c r="Z671" s="4"/>
      <c r="AA671" s="4"/>
      <c r="AB671" s="4"/>
      <c r="AC671" s="4"/>
      <c r="AD671" s="4"/>
      <c r="AE671" s="4"/>
      <c r="AF671" s="4"/>
    </row>
    <row r="672">
      <c r="A672" s="4"/>
      <c r="B672" s="4"/>
      <c r="C672" s="69"/>
      <c r="D672" s="153"/>
      <c r="E672" s="153"/>
      <c r="F672" s="69"/>
      <c r="G672" s="155"/>
      <c r="H672" s="4"/>
      <c r="I672" s="4"/>
      <c r="J672" s="4"/>
      <c r="K672" s="4"/>
      <c r="L672" s="155"/>
      <c r="M672" s="4"/>
      <c r="N672" s="4"/>
      <c r="O672" s="4"/>
      <c r="P672" s="4"/>
      <c r="Q672" s="4"/>
      <c r="R672" s="109"/>
      <c r="S672" s="4"/>
      <c r="T672" s="4"/>
      <c r="U672" s="4"/>
      <c r="V672" s="4"/>
      <c r="W672" s="4"/>
      <c r="X672" s="4"/>
      <c r="Y672" s="4"/>
      <c r="Z672" s="4"/>
      <c r="AA672" s="4"/>
      <c r="AB672" s="4"/>
      <c r="AC672" s="4"/>
      <c r="AD672" s="4"/>
      <c r="AE672" s="4"/>
      <c r="AF672" s="4"/>
    </row>
    <row r="673">
      <c r="A673" s="4"/>
      <c r="B673" s="4"/>
      <c r="C673" s="69"/>
      <c r="D673" s="153"/>
      <c r="E673" s="153"/>
      <c r="F673" s="69"/>
      <c r="G673" s="155"/>
      <c r="H673" s="4"/>
      <c r="I673" s="4"/>
      <c r="J673" s="4"/>
      <c r="K673" s="4"/>
      <c r="L673" s="155"/>
      <c r="M673" s="4"/>
      <c r="N673" s="4"/>
      <c r="O673" s="4"/>
      <c r="P673" s="4"/>
      <c r="Q673" s="4"/>
      <c r="R673" s="109"/>
      <c r="S673" s="4"/>
      <c r="T673" s="4"/>
      <c r="U673" s="4"/>
      <c r="V673" s="4"/>
      <c r="W673" s="4"/>
      <c r="X673" s="4"/>
      <c r="Y673" s="4"/>
      <c r="Z673" s="4"/>
      <c r="AA673" s="4"/>
      <c r="AB673" s="4"/>
      <c r="AC673" s="4"/>
      <c r="AD673" s="4"/>
      <c r="AE673" s="4"/>
      <c r="AF673" s="4"/>
    </row>
    <row r="674">
      <c r="A674" s="4"/>
      <c r="B674" s="4"/>
      <c r="C674" s="69"/>
      <c r="D674" s="153"/>
      <c r="E674" s="153"/>
      <c r="F674" s="69"/>
      <c r="G674" s="155"/>
      <c r="H674" s="4"/>
      <c r="I674" s="4"/>
      <c r="J674" s="4"/>
      <c r="K674" s="4"/>
      <c r="L674" s="155"/>
      <c r="M674" s="4"/>
      <c r="N674" s="4"/>
      <c r="O674" s="4"/>
      <c r="P674" s="4"/>
      <c r="Q674" s="4"/>
      <c r="R674" s="109"/>
      <c r="S674" s="4"/>
      <c r="T674" s="4"/>
      <c r="U674" s="4"/>
      <c r="V674" s="4"/>
      <c r="W674" s="4"/>
      <c r="X674" s="4"/>
      <c r="Y674" s="4"/>
      <c r="Z674" s="4"/>
      <c r="AA674" s="4"/>
      <c r="AB674" s="4"/>
      <c r="AC674" s="4"/>
      <c r="AD674" s="4"/>
      <c r="AE674" s="4"/>
      <c r="AF674" s="4"/>
    </row>
    <row r="675">
      <c r="A675" s="4"/>
      <c r="B675" s="4"/>
      <c r="C675" s="69"/>
      <c r="D675" s="153"/>
      <c r="E675" s="153"/>
      <c r="F675" s="69"/>
      <c r="G675" s="155"/>
      <c r="H675" s="4"/>
      <c r="I675" s="4"/>
      <c r="J675" s="4"/>
      <c r="K675" s="4"/>
      <c r="L675" s="155"/>
      <c r="M675" s="4"/>
      <c r="N675" s="4"/>
      <c r="O675" s="4"/>
      <c r="P675" s="4"/>
      <c r="Q675" s="4"/>
      <c r="R675" s="109"/>
      <c r="S675" s="4"/>
      <c r="T675" s="4"/>
      <c r="U675" s="4"/>
      <c r="V675" s="4"/>
      <c r="W675" s="4"/>
      <c r="X675" s="4"/>
      <c r="Y675" s="4"/>
      <c r="Z675" s="4"/>
      <c r="AA675" s="4"/>
      <c r="AB675" s="4"/>
      <c r="AC675" s="4"/>
      <c r="AD675" s="4"/>
      <c r="AE675" s="4"/>
      <c r="AF675" s="4"/>
    </row>
    <row r="676">
      <c r="A676" s="4"/>
      <c r="B676" s="4"/>
      <c r="C676" s="69"/>
      <c r="D676" s="153"/>
      <c r="E676" s="153"/>
      <c r="F676" s="69"/>
      <c r="G676" s="155"/>
      <c r="H676" s="4"/>
      <c r="I676" s="4"/>
      <c r="J676" s="4"/>
      <c r="K676" s="4"/>
      <c r="L676" s="155"/>
      <c r="M676" s="4"/>
      <c r="N676" s="4"/>
      <c r="O676" s="4"/>
      <c r="P676" s="4"/>
      <c r="Q676" s="4"/>
      <c r="R676" s="109"/>
      <c r="S676" s="4"/>
      <c r="T676" s="4"/>
      <c r="U676" s="4"/>
      <c r="V676" s="4"/>
      <c r="W676" s="4"/>
      <c r="X676" s="4"/>
      <c r="Y676" s="4"/>
      <c r="Z676" s="4"/>
      <c r="AA676" s="4"/>
      <c r="AB676" s="4"/>
      <c r="AC676" s="4"/>
      <c r="AD676" s="4"/>
      <c r="AE676" s="4"/>
      <c r="AF676" s="4"/>
    </row>
    <row r="677">
      <c r="A677" s="4"/>
      <c r="B677" s="4"/>
      <c r="C677" s="69"/>
      <c r="D677" s="153"/>
      <c r="E677" s="153"/>
      <c r="F677" s="69"/>
      <c r="G677" s="155"/>
      <c r="H677" s="4"/>
      <c r="I677" s="4"/>
      <c r="J677" s="4"/>
      <c r="K677" s="4"/>
      <c r="L677" s="155"/>
      <c r="M677" s="4"/>
      <c r="N677" s="4"/>
      <c r="O677" s="4"/>
      <c r="P677" s="4"/>
      <c r="Q677" s="4"/>
      <c r="R677" s="109"/>
      <c r="S677" s="4"/>
      <c r="T677" s="4"/>
      <c r="U677" s="4"/>
      <c r="V677" s="4"/>
      <c r="W677" s="4"/>
      <c r="X677" s="4"/>
      <c r="Y677" s="4"/>
      <c r="Z677" s="4"/>
      <c r="AA677" s="4"/>
      <c r="AB677" s="4"/>
      <c r="AC677" s="4"/>
      <c r="AD677" s="4"/>
      <c r="AE677" s="4"/>
      <c r="AF677" s="4"/>
    </row>
    <row r="678">
      <c r="A678" s="4"/>
      <c r="B678" s="4"/>
      <c r="C678" s="69"/>
      <c r="D678" s="153"/>
      <c r="E678" s="153"/>
      <c r="F678" s="69"/>
      <c r="G678" s="155"/>
      <c r="H678" s="4"/>
      <c r="I678" s="4"/>
      <c r="J678" s="4"/>
      <c r="K678" s="4"/>
      <c r="L678" s="155"/>
      <c r="M678" s="4"/>
      <c r="N678" s="4"/>
      <c r="O678" s="4"/>
      <c r="P678" s="4"/>
      <c r="Q678" s="4"/>
      <c r="R678" s="109"/>
      <c r="S678" s="4"/>
      <c r="T678" s="4"/>
      <c r="U678" s="4"/>
      <c r="V678" s="4"/>
      <c r="W678" s="4"/>
      <c r="X678" s="4"/>
      <c r="Y678" s="4"/>
      <c r="Z678" s="4"/>
      <c r="AA678" s="4"/>
      <c r="AB678" s="4"/>
      <c r="AC678" s="4"/>
      <c r="AD678" s="4"/>
      <c r="AE678" s="4"/>
      <c r="AF678" s="4"/>
    </row>
    <row r="679">
      <c r="A679" s="4"/>
      <c r="B679" s="4"/>
      <c r="C679" s="69"/>
      <c r="D679" s="153"/>
      <c r="E679" s="153"/>
      <c r="F679" s="69"/>
      <c r="G679" s="155"/>
      <c r="H679" s="4"/>
      <c r="I679" s="4"/>
      <c r="J679" s="4"/>
      <c r="K679" s="4"/>
      <c r="L679" s="155"/>
      <c r="M679" s="4"/>
      <c r="N679" s="4"/>
      <c r="O679" s="4"/>
      <c r="P679" s="4"/>
      <c r="Q679" s="4"/>
      <c r="R679" s="109"/>
      <c r="S679" s="4"/>
      <c r="T679" s="4"/>
      <c r="U679" s="4"/>
      <c r="V679" s="4"/>
      <c r="W679" s="4"/>
      <c r="X679" s="4"/>
      <c r="Y679" s="4"/>
      <c r="Z679" s="4"/>
      <c r="AA679" s="4"/>
      <c r="AB679" s="4"/>
      <c r="AC679" s="4"/>
      <c r="AD679" s="4"/>
      <c r="AE679" s="4"/>
      <c r="AF679" s="4"/>
    </row>
    <row r="680">
      <c r="A680" s="4"/>
      <c r="B680" s="4"/>
      <c r="C680" s="69"/>
      <c r="D680" s="153"/>
      <c r="E680" s="153"/>
      <c r="F680" s="69"/>
      <c r="G680" s="155"/>
      <c r="H680" s="4"/>
      <c r="I680" s="4"/>
      <c r="J680" s="4"/>
      <c r="K680" s="4"/>
      <c r="L680" s="155"/>
      <c r="M680" s="4"/>
      <c r="N680" s="4"/>
      <c r="O680" s="4"/>
      <c r="P680" s="4"/>
      <c r="Q680" s="4"/>
      <c r="R680" s="109"/>
      <c r="S680" s="4"/>
      <c r="T680" s="4"/>
      <c r="U680" s="4"/>
      <c r="V680" s="4"/>
      <c r="W680" s="4"/>
      <c r="X680" s="4"/>
      <c r="Y680" s="4"/>
      <c r="Z680" s="4"/>
      <c r="AA680" s="4"/>
      <c r="AB680" s="4"/>
      <c r="AC680" s="4"/>
      <c r="AD680" s="4"/>
      <c r="AE680" s="4"/>
      <c r="AF680" s="4"/>
    </row>
    <row r="681">
      <c r="A681" s="4"/>
      <c r="B681" s="4"/>
      <c r="C681" s="69"/>
      <c r="D681" s="153"/>
      <c r="E681" s="153"/>
      <c r="F681" s="69"/>
      <c r="G681" s="155"/>
      <c r="H681" s="4"/>
      <c r="I681" s="4"/>
      <c r="J681" s="4"/>
      <c r="K681" s="4"/>
      <c r="L681" s="155"/>
      <c r="M681" s="4"/>
      <c r="N681" s="4"/>
      <c r="O681" s="4"/>
      <c r="P681" s="4"/>
      <c r="Q681" s="4"/>
      <c r="R681" s="109"/>
      <c r="S681" s="4"/>
      <c r="T681" s="4"/>
      <c r="U681" s="4"/>
      <c r="V681" s="4"/>
      <c r="W681" s="4"/>
      <c r="X681" s="4"/>
      <c r="Y681" s="4"/>
      <c r="Z681" s="4"/>
      <c r="AA681" s="4"/>
      <c r="AB681" s="4"/>
      <c r="AC681" s="4"/>
      <c r="AD681" s="4"/>
      <c r="AE681" s="4"/>
      <c r="AF681" s="4"/>
    </row>
    <row r="682">
      <c r="A682" s="4"/>
      <c r="B682" s="4"/>
      <c r="C682" s="69"/>
      <c r="D682" s="153"/>
      <c r="E682" s="153"/>
      <c r="F682" s="69"/>
      <c r="G682" s="155"/>
      <c r="H682" s="4"/>
      <c r="I682" s="4"/>
      <c r="J682" s="4"/>
      <c r="K682" s="4"/>
      <c r="L682" s="155"/>
      <c r="M682" s="4"/>
      <c r="N682" s="4"/>
      <c r="O682" s="4"/>
      <c r="P682" s="4"/>
      <c r="Q682" s="4"/>
      <c r="R682" s="109"/>
      <c r="S682" s="4"/>
      <c r="T682" s="4"/>
      <c r="U682" s="4"/>
      <c r="V682" s="4"/>
      <c r="W682" s="4"/>
      <c r="X682" s="4"/>
      <c r="Y682" s="4"/>
      <c r="Z682" s="4"/>
      <c r="AA682" s="4"/>
      <c r="AB682" s="4"/>
      <c r="AC682" s="4"/>
      <c r="AD682" s="4"/>
      <c r="AE682" s="4"/>
      <c r="AF682" s="4"/>
    </row>
    <row r="683">
      <c r="A683" s="4"/>
      <c r="B683" s="4"/>
      <c r="C683" s="69"/>
      <c r="D683" s="153"/>
      <c r="E683" s="153"/>
      <c r="F683" s="69"/>
      <c r="G683" s="155"/>
      <c r="H683" s="4"/>
      <c r="I683" s="4"/>
      <c r="J683" s="4"/>
      <c r="K683" s="4"/>
      <c r="L683" s="155"/>
      <c r="M683" s="4"/>
      <c r="N683" s="4"/>
      <c r="O683" s="4"/>
      <c r="P683" s="4"/>
      <c r="Q683" s="4"/>
      <c r="R683" s="109"/>
      <c r="S683" s="4"/>
      <c r="T683" s="4"/>
      <c r="U683" s="4"/>
      <c r="V683" s="4"/>
      <c r="W683" s="4"/>
      <c r="X683" s="4"/>
      <c r="Y683" s="4"/>
      <c r="Z683" s="4"/>
      <c r="AA683" s="4"/>
      <c r="AB683" s="4"/>
      <c r="AC683" s="4"/>
      <c r="AD683" s="4"/>
      <c r="AE683" s="4"/>
      <c r="AF683" s="4"/>
    </row>
    <row r="684">
      <c r="A684" s="4"/>
      <c r="B684" s="4"/>
      <c r="C684" s="69"/>
      <c r="D684" s="153"/>
      <c r="E684" s="153"/>
      <c r="F684" s="69"/>
      <c r="G684" s="155"/>
      <c r="H684" s="4"/>
      <c r="I684" s="4"/>
      <c r="J684" s="4"/>
      <c r="K684" s="4"/>
      <c r="L684" s="155"/>
      <c r="M684" s="4"/>
      <c r="N684" s="4"/>
      <c r="O684" s="4"/>
      <c r="P684" s="4"/>
      <c r="Q684" s="4"/>
      <c r="R684" s="109"/>
      <c r="S684" s="4"/>
      <c r="T684" s="4"/>
      <c r="U684" s="4"/>
      <c r="V684" s="4"/>
      <c r="W684" s="4"/>
      <c r="X684" s="4"/>
      <c r="Y684" s="4"/>
      <c r="Z684" s="4"/>
      <c r="AA684" s="4"/>
      <c r="AB684" s="4"/>
      <c r="AC684" s="4"/>
      <c r="AD684" s="4"/>
      <c r="AE684" s="4"/>
      <c r="AF684" s="4"/>
    </row>
    <row r="685">
      <c r="A685" s="4"/>
      <c r="B685" s="4"/>
      <c r="C685" s="69"/>
      <c r="D685" s="153"/>
      <c r="E685" s="153"/>
      <c r="F685" s="69"/>
      <c r="G685" s="155"/>
      <c r="H685" s="4"/>
      <c r="I685" s="4"/>
      <c r="J685" s="4"/>
      <c r="K685" s="4"/>
      <c r="L685" s="155"/>
      <c r="M685" s="4"/>
      <c r="N685" s="4"/>
      <c r="O685" s="4"/>
      <c r="P685" s="4"/>
      <c r="Q685" s="4"/>
      <c r="R685" s="109"/>
      <c r="S685" s="4"/>
      <c r="T685" s="4"/>
      <c r="U685" s="4"/>
      <c r="V685" s="4"/>
      <c r="W685" s="4"/>
      <c r="X685" s="4"/>
      <c r="Y685" s="4"/>
      <c r="Z685" s="4"/>
      <c r="AA685" s="4"/>
      <c r="AB685" s="4"/>
      <c r="AC685" s="4"/>
      <c r="AD685" s="4"/>
      <c r="AE685" s="4"/>
      <c r="AF685" s="4"/>
    </row>
    <row r="686">
      <c r="A686" s="4"/>
      <c r="B686" s="4"/>
      <c r="C686" s="69"/>
      <c r="D686" s="153"/>
      <c r="E686" s="153"/>
      <c r="F686" s="69"/>
      <c r="G686" s="155"/>
      <c r="H686" s="4"/>
      <c r="I686" s="4"/>
      <c r="J686" s="4"/>
      <c r="K686" s="4"/>
      <c r="L686" s="155"/>
      <c r="M686" s="4"/>
      <c r="N686" s="4"/>
      <c r="O686" s="4"/>
      <c r="P686" s="4"/>
      <c r="Q686" s="4"/>
      <c r="R686" s="109"/>
      <c r="S686" s="4"/>
      <c r="T686" s="4"/>
      <c r="U686" s="4"/>
      <c r="V686" s="4"/>
      <c r="W686" s="4"/>
      <c r="X686" s="4"/>
      <c r="Y686" s="4"/>
      <c r="Z686" s="4"/>
      <c r="AA686" s="4"/>
      <c r="AB686" s="4"/>
      <c r="AC686" s="4"/>
      <c r="AD686" s="4"/>
      <c r="AE686" s="4"/>
      <c r="AF686" s="4"/>
    </row>
    <row r="687">
      <c r="A687" s="4"/>
      <c r="B687" s="4"/>
      <c r="C687" s="69"/>
      <c r="D687" s="153"/>
      <c r="E687" s="153"/>
      <c r="F687" s="69"/>
      <c r="G687" s="155"/>
      <c r="H687" s="4"/>
      <c r="I687" s="4"/>
      <c r="J687" s="4"/>
      <c r="K687" s="4"/>
      <c r="L687" s="155"/>
      <c r="M687" s="4"/>
      <c r="N687" s="4"/>
      <c r="O687" s="4"/>
      <c r="P687" s="4"/>
      <c r="Q687" s="4"/>
      <c r="R687" s="109"/>
      <c r="S687" s="4"/>
      <c r="T687" s="4"/>
      <c r="U687" s="4"/>
      <c r="V687" s="4"/>
      <c r="W687" s="4"/>
      <c r="X687" s="4"/>
      <c r="Y687" s="4"/>
      <c r="Z687" s="4"/>
      <c r="AA687" s="4"/>
      <c r="AB687" s="4"/>
      <c r="AC687" s="4"/>
      <c r="AD687" s="4"/>
      <c r="AE687" s="4"/>
      <c r="AF687" s="4"/>
    </row>
    <row r="688">
      <c r="A688" s="4"/>
      <c r="B688" s="4"/>
      <c r="C688" s="69"/>
      <c r="D688" s="153"/>
      <c r="E688" s="153"/>
      <c r="F688" s="69"/>
      <c r="G688" s="155"/>
      <c r="H688" s="4"/>
      <c r="I688" s="4"/>
      <c r="J688" s="4"/>
      <c r="K688" s="4"/>
      <c r="L688" s="155"/>
      <c r="M688" s="4"/>
      <c r="N688" s="4"/>
      <c r="O688" s="4"/>
      <c r="P688" s="4"/>
      <c r="Q688" s="4"/>
      <c r="R688" s="109"/>
      <c r="S688" s="4"/>
      <c r="T688" s="4"/>
      <c r="U688" s="4"/>
      <c r="V688" s="4"/>
      <c r="W688" s="4"/>
      <c r="X688" s="4"/>
      <c r="Y688" s="4"/>
      <c r="Z688" s="4"/>
      <c r="AA688" s="4"/>
      <c r="AB688" s="4"/>
      <c r="AC688" s="4"/>
      <c r="AD688" s="4"/>
      <c r="AE688" s="4"/>
      <c r="AF688" s="4"/>
    </row>
    <row r="689">
      <c r="A689" s="4"/>
      <c r="B689" s="4"/>
      <c r="C689" s="69"/>
      <c r="D689" s="153"/>
      <c r="E689" s="153"/>
      <c r="F689" s="69"/>
      <c r="G689" s="155"/>
      <c r="H689" s="4"/>
      <c r="I689" s="4"/>
      <c r="J689" s="4"/>
      <c r="K689" s="4"/>
      <c r="L689" s="155"/>
      <c r="M689" s="4"/>
      <c r="N689" s="4"/>
      <c r="O689" s="4"/>
      <c r="P689" s="4"/>
      <c r="Q689" s="4"/>
      <c r="R689" s="109"/>
      <c r="S689" s="4"/>
      <c r="T689" s="4"/>
      <c r="U689" s="4"/>
      <c r="V689" s="4"/>
      <c r="W689" s="4"/>
      <c r="X689" s="4"/>
      <c r="Y689" s="4"/>
      <c r="Z689" s="4"/>
      <c r="AA689" s="4"/>
      <c r="AB689" s="4"/>
      <c r="AC689" s="4"/>
      <c r="AD689" s="4"/>
      <c r="AE689" s="4"/>
      <c r="AF689" s="4"/>
    </row>
    <row r="690">
      <c r="A690" s="4"/>
      <c r="B690" s="4"/>
      <c r="C690" s="69"/>
      <c r="D690" s="153"/>
      <c r="E690" s="153"/>
      <c r="F690" s="69"/>
      <c r="G690" s="155"/>
      <c r="H690" s="4"/>
      <c r="I690" s="4"/>
      <c r="J690" s="4"/>
      <c r="K690" s="4"/>
      <c r="L690" s="155"/>
      <c r="M690" s="4"/>
      <c r="N690" s="4"/>
      <c r="O690" s="4"/>
      <c r="P690" s="4"/>
      <c r="Q690" s="4"/>
      <c r="R690" s="109"/>
      <c r="S690" s="4"/>
      <c r="T690" s="4"/>
      <c r="U690" s="4"/>
      <c r="V690" s="4"/>
      <c r="W690" s="4"/>
      <c r="X690" s="4"/>
      <c r="Y690" s="4"/>
      <c r="Z690" s="4"/>
      <c r="AA690" s="4"/>
      <c r="AB690" s="4"/>
      <c r="AC690" s="4"/>
      <c r="AD690" s="4"/>
      <c r="AE690" s="4"/>
      <c r="AF690" s="4"/>
    </row>
    <row r="691">
      <c r="A691" s="4"/>
      <c r="B691" s="4"/>
      <c r="C691" s="69"/>
      <c r="D691" s="153"/>
      <c r="E691" s="153"/>
      <c r="F691" s="69"/>
      <c r="G691" s="155"/>
      <c r="H691" s="4"/>
      <c r="I691" s="4"/>
      <c r="J691" s="4"/>
      <c r="K691" s="4"/>
      <c r="L691" s="155"/>
      <c r="M691" s="4"/>
      <c r="N691" s="4"/>
      <c r="O691" s="4"/>
      <c r="P691" s="4"/>
      <c r="Q691" s="4"/>
      <c r="R691" s="109"/>
      <c r="S691" s="4"/>
      <c r="T691" s="4"/>
      <c r="U691" s="4"/>
      <c r="V691" s="4"/>
      <c r="W691" s="4"/>
      <c r="X691" s="4"/>
      <c r="Y691" s="4"/>
      <c r="Z691" s="4"/>
      <c r="AA691" s="4"/>
      <c r="AB691" s="4"/>
      <c r="AC691" s="4"/>
      <c r="AD691" s="4"/>
      <c r="AE691" s="4"/>
      <c r="AF691" s="4"/>
    </row>
    <row r="692">
      <c r="A692" s="4"/>
      <c r="B692" s="4"/>
      <c r="C692" s="69"/>
      <c r="D692" s="153"/>
      <c r="E692" s="153"/>
      <c r="F692" s="69"/>
      <c r="G692" s="155"/>
      <c r="H692" s="4"/>
      <c r="I692" s="4"/>
      <c r="J692" s="4"/>
      <c r="K692" s="4"/>
      <c r="L692" s="155"/>
      <c r="M692" s="4"/>
      <c r="N692" s="4"/>
      <c r="O692" s="4"/>
      <c r="P692" s="4"/>
      <c r="Q692" s="4"/>
      <c r="R692" s="109"/>
      <c r="S692" s="4"/>
      <c r="T692" s="4"/>
      <c r="U692" s="4"/>
      <c r="V692" s="4"/>
      <c r="W692" s="4"/>
      <c r="X692" s="4"/>
      <c r="Y692" s="4"/>
      <c r="Z692" s="4"/>
      <c r="AA692" s="4"/>
      <c r="AB692" s="4"/>
      <c r="AC692" s="4"/>
      <c r="AD692" s="4"/>
      <c r="AE692" s="4"/>
      <c r="AF692" s="4"/>
    </row>
    <row r="693">
      <c r="A693" s="4"/>
      <c r="B693" s="4"/>
      <c r="C693" s="69"/>
      <c r="D693" s="153"/>
      <c r="E693" s="153"/>
      <c r="F693" s="69"/>
      <c r="G693" s="155"/>
      <c r="H693" s="4"/>
      <c r="I693" s="4"/>
      <c r="J693" s="4"/>
      <c r="K693" s="4"/>
      <c r="L693" s="155"/>
      <c r="M693" s="4"/>
      <c r="N693" s="4"/>
      <c r="O693" s="4"/>
      <c r="P693" s="4"/>
      <c r="Q693" s="4"/>
      <c r="R693" s="109"/>
      <c r="S693" s="4"/>
      <c r="T693" s="4"/>
      <c r="U693" s="4"/>
      <c r="V693" s="4"/>
      <c r="W693" s="4"/>
      <c r="X693" s="4"/>
      <c r="Y693" s="4"/>
      <c r="Z693" s="4"/>
      <c r="AA693" s="4"/>
      <c r="AB693" s="4"/>
      <c r="AC693" s="4"/>
      <c r="AD693" s="4"/>
      <c r="AE693" s="4"/>
      <c r="AF693" s="4"/>
    </row>
    <row r="694">
      <c r="A694" s="4"/>
      <c r="B694" s="4"/>
      <c r="C694" s="69"/>
      <c r="D694" s="153"/>
      <c r="E694" s="153"/>
      <c r="F694" s="69"/>
      <c r="G694" s="155"/>
      <c r="H694" s="4"/>
      <c r="I694" s="4"/>
      <c r="J694" s="4"/>
      <c r="K694" s="4"/>
      <c r="L694" s="155"/>
      <c r="M694" s="4"/>
      <c r="N694" s="4"/>
      <c r="O694" s="4"/>
      <c r="P694" s="4"/>
      <c r="Q694" s="4"/>
      <c r="R694" s="109"/>
      <c r="S694" s="4"/>
      <c r="T694" s="4"/>
      <c r="U694" s="4"/>
      <c r="V694" s="4"/>
      <c r="W694" s="4"/>
      <c r="X694" s="4"/>
      <c r="Y694" s="4"/>
      <c r="Z694" s="4"/>
      <c r="AA694" s="4"/>
      <c r="AB694" s="4"/>
      <c r="AC694" s="4"/>
      <c r="AD694" s="4"/>
      <c r="AE694" s="4"/>
      <c r="AF694" s="4"/>
    </row>
    <row r="695">
      <c r="A695" s="4"/>
      <c r="B695" s="4"/>
      <c r="C695" s="69"/>
      <c r="D695" s="153"/>
      <c r="E695" s="153"/>
      <c r="F695" s="69"/>
      <c r="G695" s="155"/>
      <c r="H695" s="4"/>
      <c r="I695" s="4"/>
      <c r="J695" s="4"/>
      <c r="K695" s="4"/>
      <c r="L695" s="155"/>
      <c r="M695" s="4"/>
      <c r="N695" s="4"/>
      <c r="O695" s="4"/>
      <c r="P695" s="4"/>
      <c r="Q695" s="4"/>
      <c r="R695" s="109"/>
      <c r="S695" s="4"/>
      <c r="T695" s="4"/>
      <c r="U695" s="4"/>
      <c r="V695" s="4"/>
      <c r="W695" s="4"/>
      <c r="X695" s="4"/>
      <c r="Y695" s="4"/>
      <c r="Z695" s="4"/>
      <c r="AA695" s="4"/>
      <c r="AB695" s="4"/>
      <c r="AC695" s="4"/>
      <c r="AD695" s="4"/>
      <c r="AE695" s="4"/>
      <c r="AF695" s="4"/>
    </row>
    <row r="696">
      <c r="A696" s="4"/>
      <c r="B696" s="4"/>
      <c r="C696" s="69"/>
      <c r="D696" s="153"/>
      <c r="E696" s="153"/>
      <c r="F696" s="69"/>
      <c r="G696" s="155"/>
      <c r="H696" s="4"/>
      <c r="I696" s="4"/>
      <c r="J696" s="4"/>
      <c r="K696" s="4"/>
      <c r="L696" s="155"/>
      <c r="M696" s="4"/>
      <c r="N696" s="4"/>
      <c r="O696" s="4"/>
      <c r="P696" s="4"/>
      <c r="Q696" s="4"/>
      <c r="R696" s="109"/>
      <c r="S696" s="4"/>
      <c r="T696" s="4"/>
      <c r="U696" s="4"/>
      <c r="V696" s="4"/>
      <c r="W696" s="4"/>
      <c r="X696" s="4"/>
      <c r="Y696" s="4"/>
      <c r="Z696" s="4"/>
      <c r="AA696" s="4"/>
      <c r="AB696" s="4"/>
      <c r="AC696" s="4"/>
      <c r="AD696" s="4"/>
      <c r="AE696" s="4"/>
      <c r="AF696" s="4"/>
    </row>
    <row r="697">
      <c r="A697" s="4"/>
      <c r="B697" s="4"/>
      <c r="C697" s="69"/>
      <c r="D697" s="153"/>
      <c r="E697" s="153"/>
      <c r="F697" s="69"/>
      <c r="G697" s="155"/>
      <c r="H697" s="4"/>
      <c r="I697" s="4"/>
      <c r="J697" s="4"/>
      <c r="K697" s="4"/>
      <c r="L697" s="155"/>
      <c r="M697" s="4"/>
      <c r="N697" s="4"/>
      <c r="O697" s="4"/>
      <c r="P697" s="4"/>
      <c r="Q697" s="4"/>
      <c r="R697" s="109"/>
      <c r="S697" s="4"/>
      <c r="T697" s="4"/>
      <c r="U697" s="4"/>
      <c r="V697" s="4"/>
      <c r="W697" s="4"/>
      <c r="X697" s="4"/>
      <c r="Y697" s="4"/>
      <c r="Z697" s="4"/>
      <c r="AA697" s="4"/>
      <c r="AB697" s="4"/>
      <c r="AC697" s="4"/>
      <c r="AD697" s="4"/>
      <c r="AE697" s="4"/>
      <c r="AF697" s="4"/>
    </row>
    <row r="698">
      <c r="A698" s="4"/>
      <c r="B698" s="4"/>
      <c r="C698" s="69"/>
      <c r="D698" s="153"/>
      <c r="E698" s="153"/>
      <c r="F698" s="69"/>
      <c r="G698" s="155"/>
      <c r="H698" s="4"/>
      <c r="I698" s="4"/>
      <c r="J698" s="4"/>
      <c r="K698" s="4"/>
      <c r="L698" s="155"/>
      <c r="M698" s="4"/>
      <c r="N698" s="4"/>
      <c r="O698" s="4"/>
      <c r="P698" s="4"/>
      <c r="Q698" s="4"/>
      <c r="R698" s="109"/>
      <c r="S698" s="4"/>
      <c r="T698" s="4"/>
      <c r="U698" s="4"/>
      <c r="V698" s="4"/>
      <c r="W698" s="4"/>
      <c r="X698" s="4"/>
      <c r="Y698" s="4"/>
      <c r="Z698" s="4"/>
      <c r="AA698" s="4"/>
      <c r="AB698" s="4"/>
      <c r="AC698" s="4"/>
      <c r="AD698" s="4"/>
      <c r="AE698" s="4"/>
      <c r="AF698" s="4"/>
    </row>
    <row r="699">
      <c r="A699" s="4"/>
      <c r="B699" s="4"/>
      <c r="C699" s="69"/>
      <c r="D699" s="153"/>
      <c r="E699" s="153"/>
      <c r="F699" s="69"/>
      <c r="G699" s="155"/>
      <c r="H699" s="4"/>
      <c r="I699" s="4"/>
      <c r="J699" s="4"/>
      <c r="K699" s="4"/>
      <c r="L699" s="155"/>
      <c r="M699" s="4"/>
      <c r="N699" s="4"/>
      <c r="O699" s="4"/>
      <c r="P699" s="4"/>
      <c r="Q699" s="4"/>
      <c r="R699" s="109"/>
      <c r="S699" s="4"/>
      <c r="T699" s="4"/>
      <c r="U699" s="4"/>
      <c r="V699" s="4"/>
      <c r="W699" s="4"/>
      <c r="X699" s="4"/>
      <c r="Y699" s="4"/>
      <c r="Z699" s="4"/>
      <c r="AA699" s="4"/>
      <c r="AB699" s="4"/>
      <c r="AC699" s="4"/>
      <c r="AD699" s="4"/>
      <c r="AE699" s="4"/>
      <c r="AF699" s="4"/>
    </row>
    <row r="700">
      <c r="A700" s="4"/>
      <c r="B700" s="4"/>
      <c r="C700" s="69"/>
      <c r="D700" s="153"/>
      <c r="E700" s="153"/>
      <c r="F700" s="69"/>
      <c r="G700" s="155"/>
      <c r="H700" s="4"/>
      <c r="I700" s="4"/>
      <c r="J700" s="4"/>
      <c r="K700" s="4"/>
      <c r="L700" s="155"/>
      <c r="M700" s="4"/>
      <c r="N700" s="4"/>
      <c r="O700" s="4"/>
      <c r="P700" s="4"/>
      <c r="Q700" s="4"/>
      <c r="R700" s="109"/>
      <c r="S700" s="4"/>
      <c r="T700" s="4"/>
      <c r="U700" s="4"/>
      <c r="V700" s="4"/>
      <c r="W700" s="4"/>
      <c r="X700" s="4"/>
      <c r="Y700" s="4"/>
      <c r="Z700" s="4"/>
      <c r="AA700" s="4"/>
      <c r="AB700" s="4"/>
      <c r="AC700" s="4"/>
      <c r="AD700" s="4"/>
      <c r="AE700" s="4"/>
      <c r="AF700" s="4"/>
    </row>
    <row r="701">
      <c r="A701" s="4"/>
      <c r="B701" s="4"/>
      <c r="C701" s="69"/>
      <c r="D701" s="153"/>
      <c r="E701" s="153"/>
      <c r="F701" s="69"/>
      <c r="G701" s="155"/>
      <c r="H701" s="4"/>
      <c r="I701" s="4"/>
      <c r="J701" s="4"/>
      <c r="K701" s="4"/>
      <c r="L701" s="155"/>
      <c r="M701" s="4"/>
      <c r="N701" s="4"/>
      <c r="O701" s="4"/>
      <c r="P701" s="4"/>
      <c r="Q701" s="4"/>
      <c r="R701" s="109"/>
      <c r="S701" s="4"/>
      <c r="T701" s="4"/>
      <c r="U701" s="4"/>
      <c r="V701" s="4"/>
      <c r="W701" s="4"/>
      <c r="X701" s="4"/>
      <c r="Y701" s="4"/>
      <c r="Z701" s="4"/>
      <c r="AA701" s="4"/>
      <c r="AB701" s="4"/>
      <c r="AC701" s="4"/>
      <c r="AD701" s="4"/>
      <c r="AE701" s="4"/>
      <c r="AF701" s="4"/>
    </row>
    <row r="702">
      <c r="A702" s="4"/>
      <c r="B702" s="4"/>
      <c r="C702" s="69"/>
      <c r="D702" s="153"/>
      <c r="E702" s="153"/>
      <c r="F702" s="69"/>
      <c r="G702" s="155"/>
      <c r="H702" s="4"/>
      <c r="I702" s="4"/>
      <c r="J702" s="4"/>
      <c r="K702" s="4"/>
      <c r="L702" s="155"/>
      <c r="M702" s="4"/>
      <c r="N702" s="4"/>
      <c r="O702" s="4"/>
      <c r="P702" s="4"/>
      <c r="Q702" s="4"/>
      <c r="R702" s="109"/>
      <c r="S702" s="4"/>
      <c r="T702" s="4"/>
      <c r="U702" s="4"/>
      <c r="V702" s="4"/>
      <c r="W702" s="4"/>
      <c r="X702" s="4"/>
      <c r="Y702" s="4"/>
      <c r="Z702" s="4"/>
      <c r="AA702" s="4"/>
      <c r="AB702" s="4"/>
      <c r="AC702" s="4"/>
      <c r="AD702" s="4"/>
      <c r="AE702" s="4"/>
      <c r="AF702" s="4"/>
    </row>
    <row r="703">
      <c r="A703" s="4"/>
      <c r="B703" s="4"/>
      <c r="C703" s="69"/>
      <c r="D703" s="153"/>
      <c r="E703" s="153"/>
      <c r="F703" s="69"/>
      <c r="G703" s="155"/>
      <c r="H703" s="4"/>
      <c r="I703" s="4"/>
      <c r="J703" s="4"/>
      <c r="K703" s="4"/>
      <c r="L703" s="155"/>
      <c r="M703" s="4"/>
      <c r="N703" s="4"/>
      <c r="O703" s="4"/>
      <c r="P703" s="4"/>
      <c r="Q703" s="4"/>
      <c r="R703" s="109"/>
      <c r="S703" s="4"/>
      <c r="T703" s="4"/>
      <c r="U703" s="4"/>
      <c r="V703" s="4"/>
      <c r="W703" s="4"/>
      <c r="X703" s="4"/>
      <c r="Y703" s="4"/>
      <c r="Z703" s="4"/>
      <c r="AA703" s="4"/>
      <c r="AB703" s="4"/>
      <c r="AC703" s="4"/>
      <c r="AD703" s="4"/>
      <c r="AE703" s="4"/>
      <c r="AF703" s="4"/>
    </row>
    <row r="704">
      <c r="A704" s="4"/>
      <c r="B704" s="4"/>
      <c r="C704" s="69"/>
      <c r="D704" s="153"/>
      <c r="E704" s="153"/>
      <c r="F704" s="69"/>
      <c r="G704" s="155"/>
      <c r="H704" s="4"/>
      <c r="I704" s="4"/>
      <c r="J704" s="4"/>
      <c r="K704" s="4"/>
      <c r="L704" s="155"/>
      <c r="M704" s="4"/>
      <c r="N704" s="4"/>
      <c r="O704" s="4"/>
      <c r="P704" s="4"/>
      <c r="Q704" s="4"/>
      <c r="R704" s="109"/>
      <c r="S704" s="4"/>
      <c r="T704" s="4"/>
      <c r="U704" s="4"/>
      <c r="V704" s="4"/>
      <c r="W704" s="4"/>
      <c r="X704" s="4"/>
      <c r="Y704" s="4"/>
      <c r="Z704" s="4"/>
      <c r="AA704" s="4"/>
      <c r="AB704" s="4"/>
      <c r="AC704" s="4"/>
      <c r="AD704" s="4"/>
      <c r="AE704" s="4"/>
      <c r="AF704" s="4"/>
    </row>
    <row r="705">
      <c r="A705" s="4"/>
      <c r="B705" s="4"/>
      <c r="C705" s="69"/>
      <c r="D705" s="153"/>
      <c r="E705" s="153"/>
      <c r="F705" s="69"/>
      <c r="G705" s="155"/>
      <c r="H705" s="4"/>
      <c r="I705" s="4"/>
      <c r="J705" s="4"/>
      <c r="K705" s="4"/>
      <c r="L705" s="155"/>
      <c r="M705" s="4"/>
      <c r="N705" s="4"/>
      <c r="O705" s="4"/>
      <c r="P705" s="4"/>
      <c r="Q705" s="4"/>
      <c r="R705" s="109"/>
      <c r="S705" s="4"/>
      <c r="T705" s="4"/>
      <c r="U705" s="4"/>
      <c r="V705" s="4"/>
      <c r="W705" s="4"/>
      <c r="X705" s="4"/>
      <c r="Y705" s="4"/>
      <c r="Z705" s="4"/>
      <c r="AA705" s="4"/>
      <c r="AB705" s="4"/>
      <c r="AC705" s="4"/>
      <c r="AD705" s="4"/>
      <c r="AE705" s="4"/>
      <c r="AF705" s="4"/>
    </row>
    <row r="706">
      <c r="A706" s="4"/>
      <c r="B706" s="4"/>
      <c r="C706" s="69"/>
      <c r="D706" s="153"/>
      <c r="E706" s="153"/>
      <c r="F706" s="69"/>
      <c r="G706" s="155"/>
      <c r="H706" s="4"/>
      <c r="I706" s="4"/>
      <c r="J706" s="4"/>
      <c r="K706" s="4"/>
      <c r="L706" s="155"/>
      <c r="M706" s="4"/>
      <c r="N706" s="4"/>
      <c r="O706" s="4"/>
      <c r="P706" s="4"/>
      <c r="Q706" s="4"/>
      <c r="R706" s="109"/>
      <c r="S706" s="4"/>
      <c r="T706" s="4"/>
      <c r="U706" s="4"/>
      <c r="V706" s="4"/>
      <c r="W706" s="4"/>
      <c r="X706" s="4"/>
      <c r="Y706" s="4"/>
      <c r="Z706" s="4"/>
      <c r="AA706" s="4"/>
      <c r="AB706" s="4"/>
      <c r="AC706" s="4"/>
      <c r="AD706" s="4"/>
      <c r="AE706" s="4"/>
      <c r="AF706" s="4"/>
    </row>
    <row r="707">
      <c r="A707" s="4"/>
      <c r="B707" s="4"/>
      <c r="C707" s="69"/>
      <c r="D707" s="153"/>
      <c r="E707" s="153"/>
      <c r="F707" s="69"/>
      <c r="G707" s="155"/>
      <c r="H707" s="4"/>
      <c r="I707" s="4"/>
      <c r="J707" s="4"/>
      <c r="K707" s="4"/>
      <c r="L707" s="155"/>
      <c r="M707" s="4"/>
      <c r="N707" s="4"/>
      <c r="O707" s="4"/>
      <c r="P707" s="4"/>
      <c r="Q707" s="4"/>
      <c r="R707" s="109"/>
      <c r="S707" s="4"/>
      <c r="T707" s="4"/>
      <c r="U707" s="4"/>
      <c r="V707" s="4"/>
      <c r="W707" s="4"/>
      <c r="X707" s="4"/>
      <c r="Y707" s="4"/>
      <c r="Z707" s="4"/>
      <c r="AA707" s="4"/>
      <c r="AB707" s="4"/>
      <c r="AC707" s="4"/>
      <c r="AD707" s="4"/>
      <c r="AE707" s="4"/>
      <c r="AF707" s="4"/>
    </row>
    <row r="708">
      <c r="A708" s="4"/>
      <c r="B708" s="4"/>
      <c r="C708" s="69"/>
      <c r="D708" s="153"/>
      <c r="E708" s="153"/>
      <c r="F708" s="69"/>
      <c r="G708" s="155"/>
      <c r="H708" s="4"/>
      <c r="I708" s="4"/>
      <c r="J708" s="4"/>
      <c r="K708" s="4"/>
      <c r="L708" s="155"/>
      <c r="M708" s="4"/>
      <c r="N708" s="4"/>
      <c r="O708" s="4"/>
      <c r="P708" s="4"/>
      <c r="Q708" s="4"/>
      <c r="R708" s="109"/>
      <c r="S708" s="4"/>
      <c r="T708" s="4"/>
      <c r="U708" s="4"/>
      <c r="V708" s="4"/>
      <c r="W708" s="4"/>
      <c r="X708" s="4"/>
      <c r="Y708" s="4"/>
      <c r="Z708" s="4"/>
      <c r="AA708" s="4"/>
      <c r="AB708" s="4"/>
      <c r="AC708" s="4"/>
      <c r="AD708" s="4"/>
      <c r="AE708" s="4"/>
      <c r="AF708" s="4"/>
    </row>
    <row r="709">
      <c r="A709" s="4"/>
      <c r="B709" s="4"/>
      <c r="C709" s="69"/>
      <c r="D709" s="153"/>
      <c r="E709" s="153"/>
      <c r="F709" s="69"/>
      <c r="G709" s="155"/>
      <c r="H709" s="4"/>
      <c r="I709" s="4"/>
      <c r="J709" s="4"/>
      <c r="K709" s="4"/>
      <c r="L709" s="155"/>
      <c r="M709" s="4"/>
      <c r="N709" s="4"/>
      <c r="O709" s="4"/>
      <c r="P709" s="4"/>
      <c r="Q709" s="4"/>
      <c r="R709" s="109"/>
      <c r="S709" s="4"/>
      <c r="T709" s="4"/>
      <c r="U709" s="4"/>
      <c r="V709" s="4"/>
      <c r="W709" s="4"/>
      <c r="X709" s="4"/>
      <c r="Y709" s="4"/>
      <c r="Z709" s="4"/>
      <c r="AA709" s="4"/>
      <c r="AB709" s="4"/>
      <c r="AC709" s="4"/>
      <c r="AD709" s="4"/>
      <c r="AE709" s="4"/>
      <c r="AF709" s="4"/>
    </row>
    <row r="710">
      <c r="A710" s="4"/>
      <c r="B710" s="4"/>
      <c r="C710" s="69"/>
      <c r="D710" s="153"/>
      <c r="E710" s="153"/>
      <c r="F710" s="69"/>
      <c r="G710" s="155"/>
      <c r="H710" s="4"/>
      <c r="I710" s="4"/>
      <c r="J710" s="4"/>
      <c r="K710" s="4"/>
      <c r="L710" s="155"/>
      <c r="M710" s="4"/>
      <c r="N710" s="4"/>
      <c r="O710" s="4"/>
      <c r="P710" s="4"/>
      <c r="Q710" s="4"/>
      <c r="R710" s="109"/>
      <c r="S710" s="4"/>
      <c r="T710" s="4"/>
      <c r="U710" s="4"/>
      <c r="V710" s="4"/>
      <c r="W710" s="4"/>
      <c r="X710" s="4"/>
      <c r="Y710" s="4"/>
      <c r="Z710" s="4"/>
      <c r="AA710" s="4"/>
      <c r="AB710" s="4"/>
      <c r="AC710" s="4"/>
      <c r="AD710" s="4"/>
      <c r="AE710" s="4"/>
      <c r="AF710" s="4"/>
    </row>
    <row r="711">
      <c r="A711" s="4"/>
      <c r="B711" s="4"/>
      <c r="C711" s="69"/>
      <c r="D711" s="153"/>
      <c r="E711" s="153"/>
      <c r="F711" s="69"/>
      <c r="G711" s="155"/>
      <c r="H711" s="4"/>
      <c r="I711" s="4"/>
      <c r="J711" s="4"/>
      <c r="K711" s="4"/>
      <c r="L711" s="155"/>
      <c r="M711" s="4"/>
      <c r="N711" s="4"/>
      <c r="O711" s="4"/>
      <c r="P711" s="4"/>
      <c r="Q711" s="4"/>
      <c r="R711" s="109"/>
      <c r="S711" s="4"/>
      <c r="T711" s="4"/>
      <c r="U711" s="4"/>
      <c r="V711" s="4"/>
      <c r="W711" s="4"/>
      <c r="X711" s="4"/>
      <c r="Y711" s="4"/>
      <c r="Z711" s="4"/>
      <c r="AA711" s="4"/>
      <c r="AB711" s="4"/>
      <c r="AC711" s="4"/>
      <c r="AD711" s="4"/>
      <c r="AE711" s="4"/>
      <c r="AF711" s="4"/>
    </row>
    <row r="712">
      <c r="A712" s="4"/>
      <c r="B712" s="4"/>
      <c r="C712" s="69"/>
      <c r="D712" s="153"/>
      <c r="E712" s="153"/>
      <c r="F712" s="69"/>
      <c r="G712" s="155"/>
      <c r="H712" s="4"/>
      <c r="I712" s="4"/>
      <c r="J712" s="4"/>
      <c r="K712" s="4"/>
      <c r="L712" s="155"/>
      <c r="M712" s="4"/>
      <c r="N712" s="4"/>
      <c r="O712" s="4"/>
      <c r="P712" s="4"/>
      <c r="Q712" s="4"/>
      <c r="R712" s="109"/>
      <c r="S712" s="4"/>
      <c r="T712" s="4"/>
      <c r="U712" s="4"/>
      <c r="V712" s="4"/>
      <c r="W712" s="4"/>
      <c r="X712" s="4"/>
      <c r="Y712" s="4"/>
      <c r="Z712" s="4"/>
      <c r="AA712" s="4"/>
      <c r="AB712" s="4"/>
      <c r="AC712" s="4"/>
      <c r="AD712" s="4"/>
      <c r="AE712" s="4"/>
      <c r="AF712" s="4"/>
    </row>
    <row r="713">
      <c r="A713" s="4"/>
      <c r="B713" s="4"/>
      <c r="C713" s="69"/>
      <c r="D713" s="153"/>
      <c r="E713" s="153"/>
      <c r="F713" s="69"/>
      <c r="G713" s="155"/>
      <c r="H713" s="4"/>
      <c r="I713" s="4"/>
      <c r="J713" s="4"/>
      <c r="K713" s="4"/>
      <c r="L713" s="155"/>
      <c r="M713" s="4"/>
      <c r="N713" s="4"/>
      <c r="O713" s="4"/>
      <c r="P713" s="4"/>
      <c r="Q713" s="4"/>
      <c r="R713" s="109"/>
      <c r="S713" s="4"/>
      <c r="T713" s="4"/>
      <c r="U713" s="4"/>
      <c r="V713" s="4"/>
      <c r="W713" s="4"/>
      <c r="X713" s="4"/>
      <c r="Y713" s="4"/>
      <c r="Z713" s="4"/>
      <c r="AA713" s="4"/>
      <c r="AB713" s="4"/>
      <c r="AC713" s="4"/>
      <c r="AD713" s="4"/>
      <c r="AE713" s="4"/>
      <c r="AF713" s="4"/>
    </row>
    <row r="714">
      <c r="A714" s="4"/>
      <c r="B714" s="4"/>
      <c r="C714" s="69"/>
      <c r="D714" s="153"/>
      <c r="E714" s="153"/>
      <c r="F714" s="69"/>
      <c r="G714" s="155"/>
      <c r="H714" s="4"/>
      <c r="I714" s="4"/>
      <c r="J714" s="4"/>
      <c r="K714" s="4"/>
      <c r="L714" s="155"/>
      <c r="M714" s="4"/>
      <c r="N714" s="4"/>
      <c r="O714" s="4"/>
      <c r="P714" s="4"/>
      <c r="Q714" s="4"/>
      <c r="R714" s="109"/>
      <c r="S714" s="4"/>
      <c r="T714" s="4"/>
      <c r="U714" s="4"/>
      <c r="V714" s="4"/>
      <c r="W714" s="4"/>
      <c r="X714" s="4"/>
      <c r="Y714" s="4"/>
      <c r="Z714" s="4"/>
      <c r="AA714" s="4"/>
      <c r="AB714" s="4"/>
      <c r="AC714" s="4"/>
      <c r="AD714" s="4"/>
      <c r="AE714" s="4"/>
      <c r="AF714" s="4"/>
    </row>
    <row r="715">
      <c r="A715" s="4"/>
      <c r="B715" s="4"/>
      <c r="C715" s="69"/>
      <c r="D715" s="153"/>
      <c r="E715" s="153"/>
      <c r="F715" s="69"/>
      <c r="G715" s="155"/>
      <c r="H715" s="4"/>
      <c r="I715" s="4"/>
      <c r="J715" s="4"/>
      <c r="K715" s="4"/>
      <c r="L715" s="155"/>
      <c r="M715" s="4"/>
      <c r="N715" s="4"/>
      <c r="O715" s="4"/>
      <c r="P715" s="4"/>
      <c r="Q715" s="4"/>
      <c r="R715" s="109"/>
      <c r="S715" s="4"/>
      <c r="T715" s="4"/>
      <c r="U715" s="4"/>
      <c r="V715" s="4"/>
      <c r="W715" s="4"/>
      <c r="X715" s="4"/>
      <c r="Y715" s="4"/>
      <c r="Z715" s="4"/>
      <c r="AA715" s="4"/>
      <c r="AB715" s="4"/>
      <c r="AC715" s="4"/>
      <c r="AD715" s="4"/>
      <c r="AE715" s="4"/>
      <c r="AF715" s="4"/>
    </row>
    <row r="716">
      <c r="A716" s="4"/>
      <c r="B716" s="4"/>
      <c r="C716" s="69"/>
      <c r="D716" s="153"/>
      <c r="E716" s="153"/>
      <c r="F716" s="69"/>
      <c r="G716" s="155"/>
      <c r="H716" s="4"/>
      <c r="I716" s="4"/>
      <c r="J716" s="4"/>
      <c r="K716" s="4"/>
      <c r="L716" s="155"/>
      <c r="M716" s="4"/>
      <c r="N716" s="4"/>
      <c r="O716" s="4"/>
      <c r="P716" s="4"/>
      <c r="Q716" s="4"/>
      <c r="R716" s="109"/>
      <c r="S716" s="4"/>
      <c r="T716" s="4"/>
      <c r="U716" s="4"/>
      <c r="V716" s="4"/>
      <c r="W716" s="4"/>
      <c r="X716" s="4"/>
      <c r="Y716" s="4"/>
      <c r="Z716" s="4"/>
      <c r="AA716" s="4"/>
      <c r="AB716" s="4"/>
      <c r="AC716" s="4"/>
      <c r="AD716" s="4"/>
      <c r="AE716" s="4"/>
      <c r="AF716" s="4"/>
    </row>
    <row r="717">
      <c r="A717" s="4"/>
      <c r="B717" s="4"/>
      <c r="C717" s="69"/>
      <c r="D717" s="153"/>
      <c r="E717" s="153"/>
      <c r="F717" s="69"/>
      <c r="G717" s="155"/>
      <c r="H717" s="4"/>
      <c r="I717" s="4"/>
      <c r="J717" s="4"/>
      <c r="K717" s="4"/>
      <c r="L717" s="155"/>
      <c r="M717" s="4"/>
      <c r="N717" s="4"/>
      <c r="O717" s="4"/>
      <c r="P717" s="4"/>
      <c r="Q717" s="4"/>
      <c r="R717" s="109"/>
      <c r="S717" s="4"/>
      <c r="T717" s="4"/>
      <c r="U717" s="4"/>
      <c r="V717" s="4"/>
      <c r="W717" s="4"/>
      <c r="X717" s="4"/>
      <c r="Y717" s="4"/>
      <c r="Z717" s="4"/>
      <c r="AA717" s="4"/>
      <c r="AB717" s="4"/>
      <c r="AC717" s="4"/>
      <c r="AD717" s="4"/>
      <c r="AE717" s="4"/>
      <c r="AF717" s="4"/>
    </row>
    <row r="718">
      <c r="A718" s="4"/>
      <c r="B718" s="4"/>
      <c r="C718" s="69"/>
      <c r="D718" s="153"/>
      <c r="E718" s="153"/>
      <c r="F718" s="69"/>
      <c r="G718" s="155"/>
      <c r="H718" s="4"/>
      <c r="I718" s="4"/>
      <c r="J718" s="4"/>
      <c r="K718" s="4"/>
      <c r="L718" s="155"/>
      <c r="M718" s="4"/>
      <c r="N718" s="4"/>
      <c r="O718" s="4"/>
      <c r="P718" s="4"/>
      <c r="Q718" s="4"/>
      <c r="R718" s="109"/>
      <c r="S718" s="4"/>
      <c r="T718" s="4"/>
      <c r="U718" s="4"/>
      <c r="V718" s="4"/>
      <c r="W718" s="4"/>
      <c r="X718" s="4"/>
      <c r="Y718" s="4"/>
      <c r="Z718" s="4"/>
      <c r="AA718" s="4"/>
      <c r="AB718" s="4"/>
      <c r="AC718" s="4"/>
      <c r="AD718" s="4"/>
      <c r="AE718" s="4"/>
      <c r="AF718" s="4"/>
    </row>
    <row r="719">
      <c r="A719" s="4"/>
      <c r="B719" s="4"/>
      <c r="C719" s="69"/>
      <c r="D719" s="153"/>
      <c r="E719" s="153"/>
      <c r="F719" s="69"/>
      <c r="G719" s="155"/>
      <c r="H719" s="4"/>
      <c r="I719" s="4"/>
      <c r="J719" s="4"/>
      <c r="K719" s="4"/>
      <c r="L719" s="155"/>
      <c r="M719" s="4"/>
      <c r="N719" s="4"/>
      <c r="O719" s="4"/>
      <c r="P719" s="4"/>
      <c r="Q719" s="4"/>
      <c r="R719" s="109"/>
      <c r="S719" s="4"/>
      <c r="T719" s="4"/>
      <c r="U719" s="4"/>
      <c r="V719" s="4"/>
      <c r="W719" s="4"/>
      <c r="X719" s="4"/>
      <c r="Y719" s="4"/>
      <c r="Z719" s="4"/>
      <c r="AA719" s="4"/>
      <c r="AB719" s="4"/>
      <c r="AC719" s="4"/>
      <c r="AD719" s="4"/>
      <c r="AE719" s="4"/>
      <c r="AF719" s="4"/>
    </row>
    <row r="720">
      <c r="A720" s="4"/>
      <c r="B720" s="4"/>
      <c r="C720" s="69"/>
      <c r="D720" s="153"/>
      <c r="E720" s="153"/>
      <c r="F720" s="69"/>
      <c r="G720" s="155"/>
      <c r="H720" s="4"/>
      <c r="I720" s="4"/>
      <c r="J720" s="4"/>
      <c r="K720" s="4"/>
      <c r="L720" s="155"/>
      <c r="M720" s="4"/>
      <c r="N720" s="4"/>
      <c r="O720" s="4"/>
      <c r="P720" s="4"/>
      <c r="Q720" s="4"/>
      <c r="R720" s="109"/>
      <c r="S720" s="4"/>
      <c r="T720" s="4"/>
      <c r="U720" s="4"/>
      <c r="V720" s="4"/>
      <c r="W720" s="4"/>
      <c r="X720" s="4"/>
      <c r="Y720" s="4"/>
      <c r="Z720" s="4"/>
      <c r="AA720" s="4"/>
      <c r="AB720" s="4"/>
      <c r="AC720" s="4"/>
      <c r="AD720" s="4"/>
      <c r="AE720" s="4"/>
      <c r="AF720" s="4"/>
    </row>
    <row r="721">
      <c r="A721" s="4"/>
      <c r="B721" s="4"/>
      <c r="C721" s="69"/>
      <c r="D721" s="153"/>
      <c r="E721" s="153"/>
      <c r="F721" s="69"/>
      <c r="G721" s="155"/>
      <c r="H721" s="4"/>
      <c r="I721" s="4"/>
      <c r="J721" s="4"/>
      <c r="K721" s="4"/>
      <c r="L721" s="155"/>
      <c r="M721" s="4"/>
      <c r="N721" s="4"/>
      <c r="O721" s="4"/>
      <c r="P721" s="4"/>
      <c r="Q721" s="4"/>
      <c r="R721" s="109"/>
      <c r="S721" s="4"/>
      <c r="T721" s="4"/>
      <c r="U721" s="4"/>
      <c r="V721" s="4"/>
      <c r="W721" s="4"/>
      <c r="X721" s="4"/>
      <c r="Y721" s="4"/>
      <c r="Z721" s="4"/>
      <c r="AA721" s="4"/>
      <c r="AB721" s="4"/>
      <c r="AC721" s="4"/>
      <c r="AD721" s="4"/>
      <c r="AE721" s="4"/>
      <c r="AF721" s="4"/>
    </row>
    <row r="722">
      <c r="A722" s="4"/>
      <c r="B722" s="4"/>
      <c r="C722" s="69"/>
      <c r="D722" s="153"/>
      <c r="E722" s="153"/>
      <c r="F722" s="69"/>
      <c r="G722" s="155"/>
      <c r="H722" s="4"/>
      <c r="I722" s="4"/>
      <c r="J722" s="4"/>
      <c r="K722" s="4"/>
      <c r="L722" s="155"/>
      <c r="M722" s="4"/>
      <c r="N722" s="4"/>
      <c r="O722" s="4"/>
      <c r="P722" s="4"/>
      <c r="Q722" s="4"/>
      <c r="R722" s="109"/>
      <c r="S722" s="4"/>
      <c r="T722" s="4"/>
      <c r="U722" s="4"/>
      <c r="V722" s="4"/>
      <c r="W722" s="4"/>
      <c r="X722" s="4"/>
      <c r="Y722" s="4"/>
      <c r="Z722" s="4"/>
      <c r="AA722" s="4"/>
      <c r="AB722" s="4"/>
      <c r="AC722" s="4"/>
      <c r="AD722" s="4"/>
      <c r="AE722" s="4"/>
      <c r="AF722" s="4"/>
    </row>
    <row r="723">
      <c r="A723" s="4"/>
      <c r="B723" s="4"/>
      <c r="C723" s="69"/>
      <c r="D723" s="153"/>
      <c r="E723" s="153"/>
      <c r="F723" s="69"/>
      <c r="G723" s="155"/>
      <c r="H723" s="4"/>
      <c r="I723" s="4"/>
      <c r="J723" s="4"/>
      <c r="K723" s="4"/>
      <c r="L723" s="155"/>
      <c r="M723" s="4"/>
      <c r="N723" s="4"/>
      <c r="O723" s="4"/>
      <c r="P723" s="4"/>
      <c r="Q723" s="4"/>
      <c r="R723" s="109"/>
      <c r="S723" s="4"/>
      <c r="T723" s="4"/>
      <c r="U723" s="4"/>
      <c r="V723" s="4"/>
      <c r="W723" s="4"/>
      <c r="X723" s="4"/>
      <c r="Y723" s="4"/>
      <c r="Z723" s="4"/>
      <c r="AA723" s="4"/>
      <c r="AB723" s="4"/>
      <c r="AC723" s="4"/>
      <c r="AD723" s="4"/>
      <c r="AE723" s="4"/>
      <c r="AF723" s="4"/>
    </row>
    <row r="724">
      <c r="A724" s="4"/>
      <c r="B724" s="4"/>
      <c r="C724" s="69"/>
      <c r="D724" s="153"/>
      <c r="E724" s="153"/>
      <c r="F724" s="69"/>
      <c r="G724" s="155"/>
      <c r="H724" s="4"/>
      <c r="I724" s="4"/>
      <c r="J724" s="4"/>
      <c r="K724" s="4"/>
      <c r="L724" s="155"/>
      <c r="M724" s="4"/>
      <c r="N724" s="4"/>
      <c r="O724" s="4"/>
      <c r="P724" s="4"/>
      <c r="Q724" s="4"/>
      <c r="R724" s="109"/>
      <c r="S724" s="4"/>
      <c r="T724" s="4"/>
      <c r="U724" s="4"/>
      <c r="V724" s="4"/>
      <c r="W724" s="4"/>
      <c r="X724" s="4"/>
      <c r="Y724" s="4"/>
      <c r="Z724" s="4"/>
      <c r="AA724" s="4"/>
      <c r="AB724" s="4"/>
      <c r="AC724" s="4"/>
      <c r="AD724" s="4"/>
      <c r="AE724" s="4"/>
      <c r="AF724" s="4"/>
    </row>
    <row r="725">
      <c r="A725" s="4"/>
      <c r="B725" s="4"/>
      <c r="C725" s="69"/>
      <c r="D725" s="153"/>
      <c r="E725" s="153"/>
      <c r="F725" s="69"/>
      <c r="G725" s="155"/>
      <c r="H725" s="4"/>
      <c r="I725" s="4"/>
      <c r="J725" s="4"/>
      <c r="K725" s="4"/>
      <c r="L725" s="155"/>
      <c r="M725" s="4"/>
      <c r="N725" s="4"/>
      <c r="O725" s="4"/>
      <c r="P725" s="4"/>
      <c r="Q725" s="4"/>
      <c r="R725" s="109"/>
      <c r="S725" s="4"/>
      <c r="T725" s="4"/>
      <c r="U725" s="4"/>
      <c r="V725" s="4"/>
      <c r="W725" s="4"/>
      <c r="X725" s="4"/>
      <c r="Y725" s="4"/>
      <c r="Z725" s="4"/>
      <c r="AA725" s="4"/>
      <c r="AB725" s="4"/>
      <c r="AC725" s="4"/>
      <c r="AD725" s="4"/>
      <c r="AE725" s="4"/>
      <c r="AF725" s="4"/>
    </row>
    <row r="726">
      <c r="A726" s="4"/>
      <c r="B726" s="4"/>
      <c r="C726" s="69"/>
      <c r="D726" s="153"/>
      <c r="E726" s="153"/>
      <c r="F726" s="69"/>
      <c r="G726" s="155"/>
      <c r="H726" s="4"/>
      <c r="I726" s="4"/>
      <c r="J726" s="4"/>
      <c r="K726" s="4"/>
      <c r="L726" s="155"/>
      <c r="M726" s="4"/>
      <c r="N726" s="4"/>
      <c r="O726" s="4"/>
      <c r="P726" s="4"/>
      <c r="Q726" s="4"/>
      <c r="R726" s="109"/>
      <c r="S726" s="4"/>
      <c r="T726" s="4"/>
      <c r="U726" s="4"/>
      <c r="V726" s="4"/>
      <c r="W726" s="4"/>
      <c r="X726" s="4"/>
      <c r="Y726" s="4"/>
      <c r="Z726" s="4"/>
      <c r="AA726" s="4"/>
      <c r="AB726" s="4"/>
      <c r="AC726" s="4"/>
      <c r="AD726" s="4"/>
      <c r="AE726" s="4"/>
      <c r="AF726" s="4"/>
    </row>
    <row r="727">
      <c r="A727" s="4"/>
      <c r="B727" s="4"/>
      <c r="C727" s="69"/>
      <c r="D727" s="153"/>
      <c r="E727" s="153"/>
      <c r="F727" s="69"/>
      <c r="G727" s="155"/>
      <c r="H727" s="4"/>
      <c r="I727" s="4"/>
      <c r="J727" s="4"/>
      <c r="K727" s="4"/>
      <c r="L727" s="155"/>
      <c r="M727" s="4"/>
      <c r="N727" s="4"/>
      <c r="O727" s="4"/>
      <c r="P727" s="4"/>
      <c r="Q727" s="4"/>
      <c r="R727" s="109"/>
      <c r="S727" s="4"/>
      <c r="T727" s="4"/>
      <c r="U727" s="4"/>
      <c r="V727" s="4"/>
      <c r="W727" s="4"/>
      <c r="X727" s="4"/>
      <c r="Y727" s="4"/>
      <c r="Z727" s="4"/>
      <c r="AA727" s="4"/>
      <c r="AB727" s="4"/>
      <c r="AC727" s="4"/>
      <c r="AD727" s="4"/>
      <c r="AE727" s="4"/>
      <c r="AF727" s="4"/>
    </row>
    <row r="728">
      <c r="A728" s="4"/>
      <c r="B728" s="4"/>
      <c r="C728" s="69"/>
      <c r="D728" s="153"/>
      <c r="E728" s="153"/>
      <c r="F728" s="69"/>
      <c r="G728" s="155"/>
      <c r="H728" s="4"/>
      <c r="I728" s="4"/>
      <c r="J728" s="4"/>
      <c r="K728" s="4"/>
      <c r="L728" s="155"/>
      <c r="M728" s="4"/>
      <c r="N728" s="4"/>
      <c r="O728" s="4"/>
      <c r="P728" s="4"/>
      <c r="Q728" s="4"/>
      <c r="R728" s="109"/>
      <c r="S728" s="4"/>
      <c r="T728" s="4"/>
      <c r="U728" s="4"/>
      <c r="V728" s="4"/>
      <c r="W728" s="4"/>
      <c r="X728" s="4"/>
      <c r="Y728" s="4"/>
      <c r="Z728" s="4"/>
      <c r="AA728" s="4"/>
      <c r="AB728" s="4"/>
      <c r="AC728" s="4"/>
      <c r="AD728" s="4"/>
      <c r="AE728" s="4"/>
      <c r="AF728" s="4"/>
    </row>
    <row r="729">
      <c r="A729" s="4"/>
      <c r="B729" s="4"/>
      <c r="C729" s="69"/>
      <c r="D729" s="153"/>
      <c r="E729" s="153"/>
      <c r="F729" s="69"/>
      <c r="G729" s="155"/>
      <c r="H729" s="4"/>
      <c r="I729" s="4"/>
      <c r="J729" s="4"/>
      <c r="K729" s="4"/>
      <c r="L729" s="155"/>
      <c r="M729" s="4"/>
      <c r="N729" s="4"/>
      <c r="O729" s="4"/>
      <c r="P729" s="4"/>
      <c r="Q729" s="4"/>
      <c r="R729" s="109"/>
      <c r="S729" s="4"/>
      <c r="T729" s="4"/>
      <c r="U729" s="4"/>
      <c r="V729" s="4"/>
      <c r="W729" s="4"/>
      <c r="X729" s="4"/>
      <c r="Y729" s="4"/>
      <c r="Z729" s="4"/>
      <c r="AA729" s="4"/>
      <c r="AB729" s="4"/>
      <c r="AC729" s="4"/>
      <c r="AD729" s="4"/>
      <c r="AE729" s="4"/>
      <c r="AF729" s="4"/>
    </row>
    <row r="730">
      <c r="A730" s="4"/>
      <c r="B730" s="4"/>
      <c r="C730" s="69"/>
      <c r="D730" s="153"/>
      <c r="E730" s="153"/>
      <c r="F730" s="69"/>
      <c r="G730" s="155"/>
      <c r="H730" s="4"/>
      <c r="I730" s="4"/>
      <c r="J730" s="4"/>
      <c r="K730" s="4"/>
      <c r="L730" s="155"/>
      <c r="M730" s="4"/>
      <c r="N730" s="4"/>
      <c r="O730" s="4"/>
      <c r="P730" s="4"/>
      <c r="Q730" s="4"/>
      <c r="R730" s="109"/>
      <c r="S730" s="4"/>
      <c r="T730" s="4"/>
      <c r="U730" s="4"/>
      <c r="V730" s="4"/>
      <c r="W730" s="4"/>
      <c r="X730" s="4"/>
      <c r="Y730" s="4"/>
      <c r="Z730" s="4"/>
      <c r="AA730" s="4"/>
      <c r="AB730" s="4"/>
      <c r="AC730" s="4"/>
      <c r="AD730" s="4"/>
      <c r="AE730" s="4"/>
      <c r="AF730" s="4"/>
    </row>
    <row r="731">
      <c r="A731" s="4"/>
      <c r="B731" s="4"/>
      <c r="C731" s="69"/>
      <c r="D731" s="153"/>
      <c r="E731" s="153"/>
      <c r="F731" s="69"/>
      <c r="G731" s="155"/>
      <c r="H731" s="4"/>
      <c r="I731" s="4"/>
      <c r="J731" s="4"/>
      <c r="K731" s="4"/>
      <c r="L731" s="155"/>
      <c r="M731" s="4"/>
      <c r="N731" s="4"/>
      <c r="O731" s="4"/>
      <c r="P731" s="4"/>
      <c r="Q731" s="4"/>
      <c r="R731" s="109"/>
      <c r="S731" s="4"/>
      <c r="T731" s="4"/>
      <c r="U731" s="4"/>
      <c r="V731" s="4"/>
      <c r="W731" s="4"/>
      <c r="X731" s="4"/>
      <c r="Y731" s="4"/>
      <c r="Z731" s="4"/>
      <c r="AA731" s="4"/>
      <c r="AB731" s="4"/>
      <c r="AC731" s="4"/>
      <c r="AD731" s="4"/>
      <c r="AE731" s="4"/>
      <c r="AF731" s="4"/>
    </row>
    <row r="732">
      <c r="A732" s="4"/>
      <c r="B732" s="4"/>
      <c r="C732" s="69"/>
      <c r="D732" s="153"/>
      <c r="E732" s="153"/>
      <c r="F732" s="69"/>
      <c r="G732" s="155"/>
      <c r="H732" s="4"/>
      <c r="I732" s="4"/>
      <c r="J732" s="4"/>
      <c r="K732" s="4"/>
      <c r="L732" s="155"/>
      <c r="M732" s="4"/>
      <c r="N732" s="4"/>
      <c r="O732" s="4"/>
      <c r="P732" s="4"/>
      <c r="Q732" s="4"/>
      <c r="R732" s="109"/>
      <c r="S732" s="4"/>
      <c r="T732" s="4"/>
      <c r="U732" s="4"/>
      <c r="V732" s="4"/>
      <c r="W732" s="4"/>
      <c r="X732" s="4"/>
      <c r="Y732" s="4"/>
      <c r="Z732" s="4"/>
      <c r="AA732" s="4"/>
      <c r="AB732" s="4"/>
      <c r="AC732" s="4"/>
      <c r="AD732" s="4"/>
      <c r="AE732" s="4"/>
      <c r="AF732" s="4"/>
    </row>
    <row r="733">
      <c r="A733" s="4"/>
      <c r="B733" s="4"/>
      <c r="C733" s="69"/>
      <c r="D733" s="153"/>
      <c r="E733" s="153"/>
      <c r="F733" s="69"/>
      <c r="G733" s="155"/>
      <c r="H733" s="4"/>
      <c r="I733" s="4"/>
      <c r="J733" s="4"/>
      <c r="K733" s="4"/>
      <c r="L733" s="155"/>
      <c r="M733" s="4"/>
      <c r="N733" s="4"/>
      <c r="O733" s="4"/>
      <c r="P733" s="4"/>
      <c r="Q733" s="4"/>
      <c r="R733" s="109"/>
      <c r="S733" s="4"/>
      <c r="T733" s="4"/>
      <c r="U733" s="4"/>
      <c r="V733" s="4"/>
      <c r="W733" s="4"/>
      <c r="X733" s="4"/>
      <c r="Y733" s="4"/>
      <c r="Z733" s="4"/>
      <c r="AA733" s="4"/>
      <c r="AB733" s="4"/>
      <c r="AC733" s="4"/>
      <c r="AD733" s="4"/>
      <c r="AE733" s="4"/>
      <c r="AF733" s="4"/>
    </row>
    <row r="734">
      <c r="A734" s="4"/>
      <c r="B734" s="4"/>
      <c r="C734" s="69"/>
      <c r="D734" s="153"/>
      <c r="E734" s="153"/>
      <c r="F734" s="69"/>
      <c r="G734" s="155"/>
      <c r="H734" s="4"/>
      <c r="I734" s="4"/>
      <c r="J734" s="4"/>
      <c r="K734" s="4"/>
      <c r="L734" s="155"/>
      <c r="M734" s="4"/>
      <c r="N734" s="4"/>
      <c r="O734" s="4"/>
      <c r="P734" s="4"/>
      <c r="Q734" s="4"/>
      <c r="R734" s="109"/>
      <c r="S734" s="4"/>
      <c r="T734" s="4"/>
      <c r="U734" s="4"/>
      <c r="V734" s="4"/>
      <c r="W734" s="4"/>
      <c r="X734" s="4"/>
      <c r="Y734" s="4"/>
      <c r="Z734" s="4"/>
      <c r="AA734" s="4"/>
      <c r="AB734" s="4"/>
      <c r="AC734" s="4"/>
      <c r="AD734" s="4"/>
      <c r="AE734" s="4"/>
      <c r="AF734" s="4"/>
    </row>
    <row r="735">
      <c r="A735" s="4"/>
      <c r="B735" s="4"/>
      <c r="C735" s="69"/>
      <c r="D735" s="153"/>
      <c r="E735" s="153"/>
      <c r="F735" s="69"/>
      <c r="G735" s="155"/>
      <c r="H735" s="4"/>
      <c r="I735" s="4"/>
      <c r="J735" s="4"/>
      <c r="K735" s="4"/>
      <c r="L735" s="155"/>
      <c r="M735" s="4"/>
      <c r="N735" s="4"/>
      <c r="O735" s="4"/>
      <c r="P735" s="4"/>
      <c r="Q735" s="4"/>
      <c r="R735" s="109"/>
      <c r="S735" s="4"/>
      <c r="T735" s="4"/>
      <c r="U735" s="4"/>
      <c r="V735" s="4"/>
      <c r="W735" s="4"/>
      <c r="X735" s="4"/>
      <c r="Y735" s="4"/>
      <c r="Z735" s="4"/>
      <c r="AA735" s="4"/>
      <c r="AB735" s="4"/>
      <c r="AC735" s="4"/>
      <c r="AD735" s="4"/>
      <c r="AE735" s="4"/>
      <c r="AF735" s="4"/>
    </row>
    <row r="736">
      <c r="A736" s="4"/>
      <c r="B736" s="4"/>
      <c r="C736" s="69"/>
      <c r="D736" s="153"/>
      <c r="E736" s="153"/>
      <c r="F736" s="69"/>
      <c r="G736" s="155"/>
      <c r="H736" s="4"/>
      <c r="I736" s="4"/>
      <c r="J736" s="4"/>
      <c r="K736" s="4"/>
      <c r="L736" s="155"/>
      <c r="M736" s="4"/>
      <c r="N736" s="4"/>
      <c r="O736" s="4"/>
      <c r="P736" s="4"/>
      <c r="Q736" s="4"/>
      <c r="R736" s="109"/>
      <c r="S736" s="4"/>
      <c r="T736" s="4"/>
      <c r="U736" s="4"/>
      <c r="V736" s="4"/>
      <c r="W736" s="4"/>
      <c r="X736" s="4"/>
      <c r="Y736" s="4"/>
      <c r="Z736" s="4"/>
      <c r="AA736" s="4"/>
      <c r="AB736" s="4"/>
      <c r="AC736" s="4"/>
      <c r="AD736" s="4"/>
      <c r="AE736" s="4"/>
      <c r="AF736" s="4"/>
    </row>
    <row r="737">
      <c r="A737" s="4"/>
      <c r="B737" s="4"/>
      <c r="C737" s="69"/>
      <c r="D737" s="153"/>
      <c r="E737" s="153"/>
      <c r="F737" s="69"/>
      <c r="G737" s="155"/>
      <c r="H737" s="4"/>
      <c r="I737" s="4"/>
      <c r="J737" s="4"/>
      <c r="K737" s="4"/>
      <c r="L737" s="155"/>
      <c r="M737" s="4"/>
      <c r="N737" s="4"/>
      <c r="O737" s="4"/>
      <c r="P737" s="4"/>
      <c r="Q737" s="4"/>
      <c r="R737" s="109"/>
      <c r="S737" s="4"/>
      <c r="T737" s="4"/>
      <c r="U737" s="4"/>
      <c r="V737" s="4"/>
      <c r="W737" s="4"/>
      <c r="X737" s="4"/>
      <c r="Y737" s="4"/>
      <c r="Z737" s="4"/>
      <c r="AA737" s="4"/>
      <c r="AB737" s="4"/>
      <c r="AC737" s="4"/>
      <c r="AD737" s="4"/>
      <c r="AE737" s="4"/>
      <c r="AF737" s="4"/>
    </row>
    <row r="738">
      <c r="A738" s="4"/>
      <c r="B738" s="4"/>
      <c r="C738" s="69"/>
      <c r="D738" s="153"/>
      <c r="E738" s="153"/>
      <c r="F738" s="69"/>
      <c r="G738" s="155"/>
      <c r="H738" s="4"/>
      <c r="I738" s="4"/>
      <c r="J738" s="4"/>
      <c r="K738" s="4"/>
      <c r="L738" s="155"/>
      <c r="M738" s="4"/>
      <c r="N738" s="4"/>
      <c r="O738" s="4"/>
      <c r="P738" s="4"/>
      <c r="Q738" s="4"/>
      <c r="R738" s="109"/>
      <c r="S738" s="4"/>
      <c r="T738" s="4"/>
      <c r="U738" s="4"/>
      <c r="V738" s="4"/>
      <c r="W738" s="4"/>
      <c r="X738" s="4"/>
      <c r="Y738" s="4"/>
      <c r="Z738" s="4"/>
      <c r="AA738" s="4"/>
      <c r="AB738" s="4"/>
      <c r="AC738" s="4"/>
      <c r="AD738" s="4"/>
      <c r="AE738" s="4"/>
      <c r="AF738" s="4"/>
    </row>
    <row r="739">
      <c r="A739" s="4"/>
      <c r="B739" s="4"/>
      <c r="C739" s="69"/>
      <c r="D739" s="153"/>
      <c r="E739" s="153"/>
      <c r="F739" s="69"/>
      <c r="G739" s="155"/>
      <c r="H739" s="4"/>
      <c r="I739" s="4"/>
      <c r="J739" s="4"/>
      <c r="K739" s="4"/>
      <c r="L739" s="155"/>
      <c r="M739" s="4"/>
      <c r="N739" s="4"/>
      <c r="O739" s="4"/>
      <c r="P739" s="4"/>
      <c r="Q739" s="4"/>
      <c r="R739" s="109"/>
      <c r="S739" s="4"/>
      <c r="T739" s="4"/>
      <c r="U739" s="4"/>
      <c r="V739" s="4"/>
      <c r="W739" s="4"/>
      <c r="X739" s="4"/>
      <c r="Y739" s="4"/>
      <c r="Z739" s="4"/>
      <c r="AA739" s="4"/>
      <c r="AB739" s="4"/>
      <c r="AC739" s="4"/>
      <c r="AD739" s="4"/>
      <c r="AE739" s="4"/>
      <c r="AF739" s="4"/>
    </row>
    <row r="740">
      <c r="A740" s="4"/>
      <c r="B740" s="4"/>
      <c r="C740" s="69"/>
      <c r="D740" s="153"/>
      <c r="E740" s="153"/>
      <c r="F740" s="69"/>
      <c r="G740" s="155"/>
      <c r="H740" s="4"/>
      <c r="I740" s="4"/>
      <c r="J740" s="4"/>
      <c r="K740" s="4"/>
      <c r="L740" s="155"/>
      <c r="M740" s="4"/>
      <c r="N740" s="4"/>
      <c r="O740" s="4"/>
      <c r="P740" s="4"/>
      <c r="Q740" s="4"/>
      <c r="R740" s="109"/>
      <c r="S740" s="4"/>
      <c r="T740" s="4"/>
      <c r="U740" s="4"/>
      <c r="V740" s="4"/>
      <c r="W740" s="4"/>
      <c r="X740" s="4"/>
      <c r="Y740" s="4"/>
      <c r="Z740" s="4"/>
      <c r="AA740" s="4"/>
      <c r="AB740" s="4"/>
      <c r="AC740" s="4"/>
      <c r="AD740" s="4"/>
      <c r="AE740" s="4"/>
      <c r="AF740" s="4"/>
    </row>
    <row r="741">
      <c r="A741" s="4"/>
      <c r="B741" s="4"/>
      <c r="C741" s="69"/>
      <c r="D741" s="153"/>
      <c r="E741" s="153"/>
      <c r="F741" s="69"/>
      <c r="G741" s="155"/>
      <c r="H741" s="4"/>
      <c r="I741" s="4"/>
      <c r="J741" s="4"/>
      <c r="K741" s="4"/>
      <c r="L741" s="155"/>
      <c r="M741" s="4"/>
      <c r="N741" s="4"/>
      <c r="O741" s="4"/>
      <c r="P741" s="4"/>
      <c r="Q741" s="4"/>
      <c r="R741" s="109"/>
      <c r="S741" s="4"/>
      <c r="T741" s="4"/>
      <c r="U741" s="4"/>
      <c r="V741" s="4"/>
      <c r="W741" s="4"/>
      <c r="X741" s="4"/>
      <c r="Y741" s="4"/>
      <c r="Z741" s="4"/>
      <c r="AA741" s="4"/>
      <c r="AB741" s="4"/>
      <c r="AC741" s="4"/>
      <c r="AD741" s="4"/>
      <c r="AE741" s="4"/>
      <c r="AF741" s="4"/>
    </row>
    <row r="742">
      <c r="A742" s="4"/>
      <c r="B742" s="4"/>
      <c r="C742" s="69"/>
      <c r="D742" s="153"/>
      <c r="E742" s="153"/>
      <c r="F742" s="69"/>
      <c r="G742" s="155"/>
      <c r="H742" s="4"/>
      <c r="I742" s="4"/>
      <c r="J742" s="4"/>
      <c r="K742" s="4"/>
      <c r="L742" s="155"/>
      <c r="M742" s="4"/>
      <c r="N742" s="4"/>
      <c r="O742" s="4"/>
      <c r="P742" s="4"/>
      <c r="Q742" s="4"/>
      <c r="R742" s="109"/>
      <c r="S742" s="4"/>
      <c r="T742" s="4"/>
      <c r="U742" s="4"/>
      <c r="V742" s="4"/>
      <c r="W742" s="4"/>
      <c r="X742" s="4"/>
      <c r="Y742" s="4"/>
      <c r="Z742" s="4"/>
      <c r="AA742" s="4"/>
      <c r="AB742" s="4"/>
      <c r="AC742" s="4"/>
      <c r="AD742" s="4"/>
      <c r="AE742" s="4"/>
      <c r="AF742" s="4"/>
    </row>
    <row r="743">
      <c r="A743" s="4"/>
      <c r="B743" s="4"/>
      <c r="C743" s="69"/>
      <c r="D743" s="153"/>
      <c r="E743" s="153"/>
      <c r="F743" s="69"/>
      <c r="G743" s="155"/>
      <c r="H743" s="4"/>
      <c r="I743" s="4"/>
      <c r="J743" s="4"/>
      <c r="K743" s="4"/>
      <c r="L743" s="155"/>
      <c r="M743" s="4"/>
      <c r="N743" s="4"/>
      <c r="O743" s="4"/>
      <c r="P743" s="4"/>
      <c r="Q743" s="4"/>
      <c r="R743" s="109"/>
      <c r="S743" s="4"/>
      <c r="T743" s="4"/>
      <c r="U743" s="4"/>
      <c r="V743" s="4"/>
      <c r="W743" s="4"/>
      <c r="X743" s="4"/>
      <c r="Y743" s="4"/>
      <c r="Z743" s="4"/>
      <c r="AA743" s="4"/>
      <c r="AB743" s="4"/>
      <c r="AC743" s="4"/>
      <c r="AD743" s="4"/>
      <c r="AE743" s="4"/>
      <c r="AF743" s="4"/>
    </row>
    <row r="744">
      <c r="A744" s="4"/>
      <c r="B744" s="4"/>
      <c r="C744" s="69"/>
      <c r="D744" s="153"/>
      <c r="E744" s="153"/>
      <c r="F744" s="69"/>
      <c r="G744" s="155"/>
      <c r="H744" s="4"/>
      <c r="I744" s="4"/>
      <c r="J744" s="4"/>
      <c r="K744" s="4"/>
      <c r="L744" s="155"/>
      <c r="M744" s="4"/>
      <c r="N744" s="4"/>
      <c r="O744" s="4"/>
      <c r="P744" s="4"/>
      <c r="Q744" s="4"/>
      <c r="R744" s="109"/>
      <c r="S744" s="4"/>
      <c r="T744" s="4"/>
      <c r="U744" s="4"/>
      <c r="V744" s="4"/>
      <c r="W744" s="4"/>
      <c r="X744" s="4"/>
      <c r="Y744" s="4"/>
      <c r="Z744" s="4"/>
      <c r="AA744" s="4"/>
      <c r="AB744" s="4"/>
      <c r="AC744" s="4"/>
      <c r="AD744" s="4"/>
      <c r="AE744" s="4"/>
      <c r="AF744" s="4"/>
    </row>
    <row r="745">
      <c r="A745" s="4"/>
      <c r="B745" s="4"/>
      <c r="C745" s="69"/>
      <c r="D745" s="153"/>
      <c r="E745" s="153"/>
      <c r="F745" s="69"/>
      <c r="G745" s="155"/>
      <c r="H745" s="4"/>
      <c r="I745" s="4"/>
      <c r="J745" s="4"/>
      <c r="K745" s="4"/>
      <c r="L745" s="155"/>
      <c r="M745" s="4"/>
      <c r="N745" s="4"/>
      <c r="O745" s="4"/>
      <c r="P745" s="4"/>
      <c r="Q745" s="4"/>
      <c r="R745" s="109"/>
      <c r="S745" s="4"/>
      <c r="T745" s="4"/>
      <c r="U745" s="4"/>
      <c r="V745" s="4"/>
      <c r="W745" s="4"/>
      <c r="X745" s="4"/>
      <c r="Y745" s="4"/>
      <c r="Z745" s="4"/>
      <c r="AA745" s="4"/>
      <c r="AB745" s="4"/>
      <c r="AC745" s="4"/>
      <c r="AD745" s="4"/>
      <c r="AE745" s="4"/>
      <c r="AF745" s="4"/>
    </row>
    <row r="746">
      <c r="A746" s="4"/>
      <c r="B746" s="4"/>
      <c r="C746" s="69"/>
      <c r="D746" s="153"/>
      <c r="E746" s="153"/>
      <c r="F746" s="69"/>
      <c r="G746" s="155"/>
      <c r="H746" s="4"/>
      <c r="I746" s="4"/>
      <c r="J746" s="4"/>
      <c r="K746" s="4"/>
      <c r="L746" s="155"/>
      <c r="M746" s="4"/>
      <c r="N746" s="4"/>
      <c r="O746" s="4"/>
      <c r="P746" s="4"/>
      <c r="Q746" s="4"/>
      <c r="R746" s="109"/>
      <c r="S746" s="4"/>
      <c r="T746" s="4"/>
      <c r="U746" s="4"/>
      <c r="V746" s="4"/>
      <c r="W746" s="4"/>
      <c r="X746" s="4"/>
      <c r="Y746" s="4"/>
      <c r="Z746" s="4"/>
      <c r="AA746" s="4"/>
      <c r="AB746" s="4"/>
      <c r="AC746" s="4"/>
      <c r="AD746" s="4"/>
      <c r="AE746" s="4"/>
      <c r="AF746" s="4"/>
    </row>
    <row r="747">
      <c r="A747" s="4"/>
      <c r="B747" s="4"/>
      <c r="C747" s="69"/>
      <c r="D747" s="153"/>
      <c r="E747" s="153"/>
      <c r="F747" s="69"/>
      <c r="G747" s="155"/>
      <c r="H747" s="4"/>
      <c r="I747" s="4"/>
      <c r="J747" s="4"/>
      <c r="K747" s="4"/>
      <c r="L747" s="155"/>
      <c r="M747" s="4"/>
      <c r="N747" s="4"/>
      <c r="O747" s="4"/>
      <c r="P747" s="4"/>
      <c r="Q747" s="4"/>
      <c r="R747" s="109"/>
      <c r="S747" s="4"/>
      <c r="T747" s="4"/>
      <c r="U747" s="4"/>
      <c r="V747" s="4"/>
      <c r="W747" s="4"/>
      <c r="X747" s="4"/>
      <c r="Y747" s="4"/>
      <c r="Z747" s="4"/>
      <c r="AA747" s="4"/>
      <c r="AB747" s="4"/>
      <c r="AC747" s="4"/>
      <c r="AD747" s="4"/>
      <c r="AE747" s="4"/>
      <c r="AF747" s="4"/>
    </row>
    <row r="748">
      <c r="A748" s="4"/>
      <c r="B748" s="4"/>
      <c r="C748" s="69"/>
      <c r="D748" s="153"/>
      <c r="E748" s="153"/>
      <c r="F748" s="69"/>
      <c r="G748" s="155"/>
      <c r="H748" s="4"/>
      <c r="I748" s="4"/>
      <c r="J748" s="4"/>
      <c r="K748" s="4"/>
      <c r="L748" s="155"/>
      <c r="M748" s="4"/>
      <c r="N748" s="4"/>
      <c r="O748" s="4"/>
      <c r="P748" s="4"/>
      <c r="Q748" s="4"/>
      <c r="R748" s="109"/>
      <c r="S748" s="4"/>
      <c r="T748" s="4"/>
      <c r="U748" s="4"/>
      <c r="V748" s="4"/>
      <c r="W748" s="4"/>
      <c r="X748" s="4"/>
      <c r="Y748" s="4"/>
      <c r="Z748" s="4"/>
      <c r="AA748" s="4"/>
      <c r="AB748" s="4"/>
      <c r="AC748" s="4"/>
      <c r="AD748" s="4"/>
      <c r="AE748" s="4"/>
      <c r="AF748" s="4"/>
    </row>
    <row r="749">
      <c r="A749" s="4"/>
      <c r="B749" s="4"/>
      <c r="C749" s="69"/>
      <c r="D749" s="153"/>
      <c r="E749" s="153"/>
      <c r="F749" s="69"/>
      <c r="G749" s="155"/>
      <c r="H749" s="4"/>
      <c r="I749" s="4"/>
      <c r="J749" s="4"/>
      <c r="K749" s="4"/>
      <c r="L749" s="155"/>
      <c r="M749" s="4"/>
      <c r="N749" s="4"/>
      <c r="O749" s="4"/>
      <c r="P749" s="4"/>
      <c r="Q749" s="4"/>
      <c r="R749" s="109"/>
      <c r="S749" s="4"/>
      <c r="T749" s="4"/>
      <c r="U749" s="4"/>
      <c r="V749" s="4"/>
      <c r="W749" s="4"/>
      <c r="X749" s="4"/>
      <c r="Y749" s="4"/>
      <c r="Z749" s="4"/>
      <c r="AA749" s="4"/>
      <c r="AB749" s="4"/>
      <c r="AC749" s="4"/>
      <c r="AD749" s="4"/>
      <c r="AE749" s="4"/>
      <c r="AF749" s="4"/>
    </row>
    <row r="750">
      <c r="A750" s="4"/>
      <c r="B750" s="4"/>
      <c r="C750" s="69"/>
      <c r="D750" s="153"/>
      <c r="E750" s="153"/>
      <c r="F750" s="69"/>
      <c r="G750" s="155"/>
      <c r="H750" s="4"/>
      <c r="I750" s="4"/>
      <c r="J750" s="4"/>
      <c r="K750" s="4"/>
      <c r="L750" s="155"/>
      <c r="M750" s="4"/>
      <c r="N750" s="4"/>
      <c r="O750" s="4"/>
      <c r="P750" s="4"/>
      <c r="Q750" s="4"/>
      <c r="R750" s="109"/>
      <c r="S750" s="4"/>
      <c r="T750" s="4"/>
      <c r="U750" s="4"/>
      <c r="V750" s="4"/>
      <c r="W750" s="4"/>
      <c r="X750" s="4"/>
      <c r="Y750" s="4"/>
      <c r="Z750" s="4"/>
      <c r="AA750" s="4"/>
      <c r="AB750" s="4"/>
      <c r="AC750" s="4"/>
      <c r="AD750" s="4"/>
      <c r="AE750" s="4"/>
      <c r="AF750" s="4"/>
    </row>
    <row r="751">
      <c r="A751" s="4"/>
      <c r="B751" s="4"/>
      <c r="C751" s="69"/>
      <c r="D751" s="153"/>
      <c r="E751" s="153"/>
      <c r="F751" s="69"/>
      <c r="G751" s="155"/>
      <c r="H751" s="4"/>
      <c r="I751" s="4"/>
      <c r="J751" s="4"/>
      <c r="K751" s="4"/>
      <c r="L751" s="155"/>
      <c r="M751" s="4"/>
      <c r="N751" s="4"/>
      <c r="O751" s="4"/>
      <c r="P751" s="4"/>
      <c r="Q751" s="4"/>
      <c r="R751" s="109"/>
      <c r="S751" s="4"/>
      <c r="T751" s="4"/>
      <c r="U751" s="4"/>
      <c r="V751" s="4"/>
      <c r="W751" s="4"/>
      <c r="X751" s="4"/>
      <c r="Y751" s="4"/>
      <c r="Z751" s="4"/>
      <c r="AA751" s="4"/>
      <c r="AB751" s="4"/>
      <c r="AC751" s="4"/>
      <c r="AD751" s="4"/>
      <c r="AE751" s="4"/>
      <c r="AF751" s="4"/>
    </row>
    <row r="752">
      <c r="A752" s="4"/>
      <c r="B752" s="4"/>
      <c r="C752" s="69"/>
      <c r="D752" s="153"/>
      <c r="E752" s="153"/>
      <c r="F752" s="69"/>
      <c r="G752" s="155"/>
      <c r="H752" s="4"/>
      <c r="I752" s="4"/>
      <c r="J752" s="4"/>
      <c r="K752" s="4"/>
      <c r="L752" s="155"/>
      <c r="M752" s="4"/>
      <c r="N752" s="4"/>
      <c r="O752" s="4"/>
      <c r="P752" s="4"/>
      <c r="Q752" s="4"/>
      <c r="R752" s="109"/>
      <c r="S752" s="4"/>
      <c r="T752" s="4"/>
      <c r="U752" s="4"/>
      <c r="V752" s="4"/>
      <c r="W752" s="4"/>
      <c r="X752" s="4"/>
      <c r="Y752" s="4"/>
      <c r="Z752" s="4"/>
      <c r="AA752" s="4"/>
      <c r="AB752" s="4"/>
      <c r="AC752" s="4"/>
      <c r="AD752" s="4"/>
      <c r="AE752" s="4"/>
      <c r="AF752" s="4"/>
    </row>
    <row r="753">
      <c r="A753" s="4"/>
      <c r="B753" s="4"/>
      <c r="C753" s="69"/>
      <c r="D753" s="153"/>
      <c r="E753" s="153"/>
      <c r="F753" s="69"/>
      <c r="G753" s="155"/>
      <c r="H753" s="4"/>
      <c r="I753" s="4"/>
      <c r="J753" s="4"/>
      <c r="K753" s="4"/>
      <c r="L753" s="155"/>
      <c r="M753" s="4"/>
      <c r="N753" s="4"/>
      <c r="O753" s="4"/>
      <c r="P753" s="4"/>
      <c r="Q753" s="4"/>
      <c r="R753" s="109"/>
      <c r="S753" s="4"/>
      <c r="T753" s="4"/>
      <c r="U753" s="4"/>
      <c r="V753" s="4"/>
      <c r="W753" s="4"/>
      <c r="X753" s="4"/>
      <c r="Y753" s="4"/>
      <c r="Z753" s="4"/>
      <c r="AA753" s="4"/>
      <c r="AB753" s="4"/>
      <c r="AC753" s="4"/>
      <c r="AD753" s="4"/>
      <c r="AE753" s="4"/>
      <c r="AF753" s="4"/>
    </row>
    <row r="754">
      <c r="A754" s="4"/>
      <c r="B754" s="4"/>
      <c r="C754" s="69"/>
      <c r="D754" s="153"/>
      <c r="E754" s="153"/>
      <c r="F754" s="69"/>
      <c r="G754" s="155"/>
      <c r="H754" s="4"/>
      <c r="I754" s="4"/>
      <c r="J754" s="4"/>
      <c r="K754" s="4"/>
      <c r="L754" s="155"/>
      <c r="M754" s="4"/>
      <c r="N754" s="4"/>
      <c r="O754" s="4"/>
      <c r="P754" s="4"/>
      <c r="Q754" s="4"/>
      <c r="R754" s="109"/>
      <c r="S754" s="4"/>
      <c r="T754" s="4"/>
      <c r="U754" s="4"/>
      <c r="V754" s="4"/>
      <c r="W754" s="4"/>
      <c r="X754" s="4"/>
      <c r="Y754" s="4"/>
      <c r="Z754" s="4"/>
      <c r="AA754" s="4"/>
      <c r="AB754" s="4"/>
      <c r="AC754" s="4"/>
      <c r="AD754" s="4"/>
      <c r="AE754" s="4"/>
      <c r="AF754" s="4"/>
    </row>
    <row r="755">
      <c r="A755" s="4"/>
      <c r="B755" s="4"/>
      <c r="C755" s="69"/>
      <c r="D755" s="153"/>
      <c r="E755" s="153"/>
      <c r="F755" s="69"/>
      <c r="G755" s="155"/>
      <c r="H755" s="4"/>
      <c r="I755" s="4"/>
      <c r="J755" s="4"/>
      <c r="K755" s="4"/>
      <c r="L755" s="155"/>
      <c r="M755" s="4"/>
      <c r="N755" s="4"/>
      <c r="O755" s="4"/>
      <c r="P755" s="4"/>
      <c r="Q755" s="4"/>
      <c r="R755" s="109"/>
      <c r="S755" s="4"/>
      <c r="T755" s="4"/>
      <c r="U755" s="4"/>
      <c r="V755" s="4"/>
      <c r="W755" s="4"/>
      <c r="X755" s="4"/>
      <c r="Y755" s="4"/>
      <c r="Z755" s="4"/>
      <c r="AA755" s="4"/>
      <c r="AB755" s="4"/>
      <c r="AC755" s="4"/>
      <c r="AD755" s="4"/>
      <c r="AE755" s="4"/>
      <c r="AF755" s="4"/>
    </row>
    <row r="756">
      <c r="A756" s="4"/>
      <c r="B756" s="4"/>
      <c r="C756" s="69"/>
      <c r="D756" s="153"/>
      <c r="E756" s="153"/>
      <c r="F756" s="69"/>
      <c r="G756" s="155"/>
      <c r="H756" s="4"/>
      <c r="I756" s="4"/>
      <c r="J756" s="4"/>
      <c r="K756" s="4"/>
      <c r="L756" s="155"/>
      <c r="M756" s="4"/>
      <c r="N756" s="4"/>
      <c r="O756" s="4"/>
      <c r="P756" s="4"/>
      <c r="Q756" s="4"/>
      <c r="R756" s="109"/>
      <c r="S756" s="4"/>
      <c r="T756" s="4"/>
      <c r="U756" s="4"/>
      <c r="V756" s="4"/>
      <c r="W756" s="4"/>
      <c r="X756" s="4"/>
      <c r="Y756" s="4"/>
      <c r="Z756" s="4"/>
      <c r="AA756" s="4"/>
      <c r="AB756" s="4"/>
      <c r="AC756" s="4"/>
      <c r="AD756" s="4"/>
      <c r="AE756" s="4"/>
      <c r="AF756" s="4"/>
    </row>
    <row r="757">
      <c r="A757" s="4"/>
      <c r="B757" s="4"/>
      <c r="C757" s="69"/>
      <c r="D757" s="153"/>
      <c r="E757" s="153"/>
      <c r="F757" s="69"/>
      <c r="G757" s="155"/>
      <c r="H757" s="4"/>
      <c r="I757" s="4"/>
      <c r="J757" s="4"/>
      <c r="K757" s="4"/>
      <c r="L757" s="155"/>
      <c r="M757" s="4"/>
      <c r="N757" s="4"/>
      <c r="O757" s="4"/>
      <c r="P757" s="4"/>
      <c r="Q757" s="4"/>
      <c r="R757" s="109"/>
      <c r="S757" s="4"/>
      <c r="T757" s="4"/>
      <c r="U757" s="4"/>
      <c r="V757" s="4"/>
      <c r="W757" s="4"/>
      <c r="X757" s="4"/>
      <c r="Y757" s="4"/>
      <c r="Z757" s="4"/>
      <c r="AA757" s="4"/>
      <c r="AB757" s="4"/>
      <c r="AC757" s="4"/>
      <c r="AD757" s="4"/>
      <c r="AE757" s="4"/>
      <c r="AF757" s="4"/>
    </row>
    <row r="758">
      <c r="A758" s="4"/>
      <c r="B758" s="4"/>
      <c r="C758" s="69"/>
      <c r="D758" s="153"/>
      <c r="E758" s="153"/>
      <c r="F758" s="69"/>
      <c r="G758" s="155"/>
      <c r="H758" s="4"/>
      <c r="I758" s="4"/>
      <c r="J758" s="4"/>
      <c r="K758" s="4"/>
      <c r="L758" s="155"/>
      <c r="M758" s="4"/>
      <c r="N758" s="4"/>
      <c r="O758" s="4"/>
      <c r="P758" s="4"/>
      <c r="Q758" s="4"/>
      <c r="R758" s="109"/>
      <c r="S758" s="4"/>
      <c r="T758" s="4"/>
      <c r="U758" s="4"/>
      <c r="V758" s="4"/>
      <c r="W758" s="4"/>
      <c r="X758" s="4"/>
      <c r="Y758" s="4"/>
      <c r="Z758" s="4"/>
      <c r="AA758" s="4"/>
      <c r="AB758" s="4"/>
      <c r="AC758" s="4"/>
      <c r="AD758" s="4"/>
      <c r="AE758" s="4"/>
      <c r="AF758" s="4"/>
    </row>
    <row r="759">
      <c r="A759" s="4"/>
      <c r="B759" s="4"/>
      <c r="C759" s="69"/>
      <c r="D759" s="153"/>
      <c r="E759" s="153"/>
      <c r="F759" s="69"/>
      <c r="G759" s="155"/>
      <c r="H759" s="4"/>
      <c r="I759" s="4"/>
      <c r="J759" s="4"/>
      <c r="K759" s="4"/>
      <c r="L759" s="155"/>
      <c r="M759" s="4"/>
      <c r="N759" s="4"/>
      <c r="O759" s="4"/>
      <c r="P759" s="4"/>
      <c r="Q759" s="4"/>
      <c r="R759" s="109"/>
      <c r="S759" s="4"/>
      <c r="T759" s="4"/>
      <c r="U759" s="4"/>
      <c r="V759" s="4"/>
      <c r="W759" s="4"/>
      <c r="X759" s="4"/>
      <c r="Y759" s="4"/>
      <c r="Z759" s="4"/>
      <c r="AA759" s="4"/>
      <c r="AB759" s="4"/>
      <c r="AC759" s="4"/>
      <c r="AD759" s="4"/>
      <c r="AE759" s="4"/>
      <c r="AF759" s="4"/>
    </row>
    <row r="760">
      <c r="A760" s="4"/>
      <c r="B760" s="4"/>
      <c r="C760" s="69"/>
      <c r="D760" s="153"/>
      <c r="E760" s="153"/>
      <c r="F760" s="69"/>
      <c r="G760" s="155"/>
      <c r="H760" s="4"/>
      <c r="I760" s="4"/>
      <c r="J760" s="4"/>
      <c r="K760" s="4"/>
      <c r="L760" s="155"/>
      <c r="M760" s="4"/>
      <c r="N760" s="4"/>
      <c r="O760" s="4"/>
      <c r="P760" s="4"/>
      <c r="Q760" s="4"/>
      <c r="R760" s="109"/>
      <c r="S760" s="4"/>
      <c r="T760" s="4"/>
      <c r="U760" s="4"/>
      <c r="V760" s="4"/>
      <c r="W760" s="4"/>
      <c r="X760" s="4"/>
      <c r="Y760" s="4"/>
      <c r="Z760" s="4"/>
      <c r="AA760" s="4"/>
      <c r="AB760" s="4"/>
      <c r="AC760" s="4"/>
      <c r="AD760" s="4"/>
      <c r="AE760" s="4"/>
      <c r="AF760" s="4"/>
    </row>
    <row r="761">
      <c r="A761" s="4"/>
      <c r="B761" s="4"/>
      <c r="C761" s="69"/>
      <c r="D761" s="153"/>
      <c r="E761" s="153"/>
      <c r="F761" s="69"/>
      <c r="G761" s="155"/>
      <c r="H761" s="4"/>
      <c r="I761" s="4"/>
      <c r="J761" s="4"/>
      <c r="K761" s="4"/>
      <c r="L761" s="155"/>
      <c r="M761" s="4"/>
      <c r="N761" s="4"/>
      <c r="O761" s="4"/>
      <c r="P761" s="4"/>
      <c r="Q761" s="4"/>
      <c r="R761" s="109"/>
      <c r="S761" s="4"/>
      <c r="T761" s="4"/>
      <c r="U761" s="4"/>
      <c r="V761" s="4"/>
      <c r="W761" s="4"/>
      <c r="X761" s="4"/>
      <c r="Y761" s="4"/>
      <c r="Z761" s="4"/>
      <c r="AA761" s="4"/>
      <c r="AB761" s="4"/>
      <c r="AC761" s="4"/>
      <c r="AD761" s="4"/>
      <c r="AE761" s="4"/>
      <c r="AF761" s="4"/>
    </row>
    <row r="762">
      <c r="A762" s="4"/>
      <c r="B762" s="4"/>
      <c r="C762" s="69"/>
      <c r="D762" s="153"/>
      <c r="E762" s="153"/>
      <c r="F762" s="69"/>
      <c r="G762" s="155"/>
      <c r="H762" s="4"/>
      <c r="I762" s="4"/>
      <c r="J762" s="4"/>
      <c r="K762" s="4"/>
      <c r="L762" s="155"/>
      <c r="M762" s="4"/>
      <c r="N762" s="4"/>
      <c r="O762" s="4"/>
      <c r="P762" s="4"/>
      <c r="Q762" s="4"/>
      <c r="R762" s="109"/>
      <c r="S762" s="4"/>
      <c r="T762" s="4"/>
      <c r="U762" s="4"/>
      <c r="V762" s="4"/>
      <c r="W762" s="4"/>
      <c r="X762" s="4"/>
      <c r="Y762" s="4"/>
      <c r="Z762" s="4"/>
      <c r="AA762" s="4"/>
      <c r="AB762" s="4"/>
      <c r="AC762" s="4"/>
      <c r="AD762" s="4"/>
      <c r="AE762" s="4"/>
      <c r="AF762" s="4"/>
    </row>
    <row r="763">
      <c r="A763" s="4"/>
      <c r="B763" s="4"/>
      <c r="C763" s="69"/>
      <c r="D763" s="153"/>
      <c r="E763" s="153"/>
      <c r="F763" s="69"/>
      <c r="G763" s="155"/>
      <c r="H763" s="4"/>
      <c r="I763" s="4"/>
      <c r="J763" s="4"/>
      <c r="K763" s="4"/>
      <c r="L763" s="155"/>
      <c r="M763" s="4"/>
      <c r="N763" s="4"/>
      <c r="O763" s="4"/>
      <c r="P763" s="4"/>
      <c r="Q763" s="4"/>
      <c r="R763" s="109"/>
      <c r="S763" s="4"/>
      <c r="T763" s="4"/>
      <c r="U763" s="4"/>
      <c r="V763" s="4"/>
      <c r="W763" s="4"/>
      <c r="X763" s="4"/>
      <c r="Y763" s="4"/>
      <c r="Z763" s="4"/>
      <c r="AA763" s="4"/>
      <c r="AB763" s="4"/>
      <c r="AC763" s="4"/>
      <c r="AD763" s="4"/>
      <c r="AE763" s="4"/>
      <c r="AF763" s="4"/>
    </row>
    <row r="764">
      <c r="A764" s="4"/>
      <c r="B764" s="4"/>
      <c r="C764" s="69"/>
      <c r="D764" s="153"/>
      <c r="E764" s="153"/>
      <c r="F764" s="69"/>
      <c r="G764" s="155"/>
      <c r="H764" s="4"/>
      <c r="I764" s="4"/>
      <c r="J764" s="4"/>
      <c r="K764" s="4"/>
      <c r="L764" s="155"/>
      <c r="M764" s="4"/>
      <c r="N764" s="4"/>
      <c r="O764" s="4"/>
      <c r="P764" s="4"/>
      <c r="Q764" s="4"/>
      <c r="R764" s="109"/>
      <c r="S764" s="4"/>
      <c r="T764" s="4"/>
      <c r="U764" s="4"/>
      <c r="V764" s="4"/>
      <c r="W764" s="4"/>
      <c r="X764" s="4"/>
      <c r="Y764" s="4"/>
      <c r="Z764" s="4"/>
      <c r="AA764" s="4"/>
      <c r="AB764" s="4"/>
      <c r="AC764" s="4"/>
      <c r="AD764" s="4"/>
      <c r="AE764" s="4"/>
      <c r="AF764" s="4"/>
    </row>
    <row r="765">
      <c r="A765" s="4"/>
      <c r="B765" s="4"/>
      <c r="C765" s="69"/>
      <c r="D765" s="153"/>
      <c r="E765" s="153"/>
      <c r="F765" s="69"/>
      <c r="G765" s="155"/>
      <c r="H765" s="4"/>
      <c r="I765" s="4"/>
      <c r="J765" s="4"/>
      <c r="K765" s="4"/>
      <c r="L765" s="155"/>
      <c r="M765" s="4"/>
      <c r="N765" s="4"/>
      <c r="O765" s="4"/>
      <c r="P765" s="4"/>
      <c r="Q765" s="4"/>
      <c r="R765" s="109"/>
      <c r="S765" s="4"/>
      <c r="T765" s="4"/>
      <c r="U765" s="4"/>
      <c r="V765" s="4"/>
      <c r="W765" s="4"/>
      <c r="X765" s="4"/>
      <c r="Y765" s="4"/>
      <c r="Z765" s="4"/>
      <c r="AA765" s="4"/>
      <c r="AB765" s="4"/>
      <c r="AC765" s="4"/>
      <c r="AD765" s="4"/>
      <c r="AE765" s="4"/>
      <c r="AF765" s="4"/>
    </row>
    <row r="766">
      <c r="A766" s="4"/>
      <c r="B766" s="4"/>
      <c r="C766" s="69"/>
      <c r="D766" s="153"/>
      <c r="E766" s="153"/>
      <c r="F766" s="69"/>
      <c r="G766" s="155"/>
      <c r="H766" s="4"/>
      <c r="I766" s="4"/>
      <c r="J766" s="4"/>
      <c r="K766" s="4"/>
      <c r="L766" s="155"/>
      <c r="M766" s="4"/>
      <c r="N766" s="4"/>
      <c r="O766" s="4"/>
      <c r="P766" s="4"/>
      <c r="Q766" s="4"/>
      <c r="R766" s="109"/>
      <c r="S766" s="4"/>
      <c r="T766" s="4"/>
      <c r="U766" s="4"/>
      <c r="V766" s="4"/>
      <c r="W766" s="4"/>
      <c r="X766" s="4"/>
      <c r="Y766" s="4"/>
      <c r="Z766" s="4"/>
      <c r="AA766" s="4"/>
      <c r="AB766" s="4"/>
      <c r="AC766" s="4"/>
      <c r="AD766" s="4"/>
      <c r="AE766" s="4"/>
      <c r="AF766" s="4"/>
    </row>
    <row r="767">
      <c r="A767" s="4"/>
      <c r="B767" s="4"/>
      <c r="C767" s="69"/>
      <c r="D767" s="153"/>
      <c r="E767" s="153"/>
      <c r="F767" s="69"/>
      <c r="G767" s="155"/>
      <c r="H767" s="4"/>
      <c r="I767" s="4"/>
      <c r="J767" s="4"/>
      <c r="K767" s="4"/>
      <c r="L767" s="155"/>
      <c r="M767" s="4"/>
      <c r="N767" s="4"/>
      <c r="O767" s="4"/>
      <c r="P767" s="4"/>
      <c r="Q767" s="4"/>
      <c r="R767" s="109"/>
      <c r="S767" s="4"/>
      <c r="T767" s="4"/>
      <c r="U767" s="4"/>
      <c r="V767" s="4"/>
      <c r="W767" s="4"/>
      <c r="X767" s="4"/>
      <c r="Y767" s="4"/>
      <c r="Z767" s="4"/>
      <c r="AA767" s="4"/>
      <c r="AB767" s="4"/>
      <c r="AC767" s="4"/>
      <c r="AD767" s="4"/>
      <c r="AE767" s="4"/>
      <c r="AF767" s="4"/>
    </row>
    <row r="768">
      <c r="A768" s="4"/>
      <c r="B768" s="4"/>
      <c r="C768" s="69"/>
      <c r="D768" s="153"/>
      <c r="E768" s="153"/>
      <c r="F768" s="69"/>
      <c r="G768" s="155"/>
      <c r="H768" s="4"/>
      <c r="I768" s="4"/>
      <c r="J768" s="4"/>
      <c r="K768" s="4"/>
      <c r="L768" s="155"/>
      <c r="M768" s="4"/>
      <c r="N768" s="4"/>
      <c r="O768" s="4"/>
      <c r="P768" s="4"/>
      <c r="Q768" s="4"/>
      <c r="R768" s="109"/>
      <c r="S768" s="4"/>
      <c r="T768" s="4"/>
      <c r="U768" s="4"/>
      <c r="V768" s="4"/>
      <c r="W768" s="4"/>
      <c r="X768" s="4"/>
      <c r="Y768" s="4"/>
      <c r="Z768" s="4"/>
      <c r="AA768" s="4"/>
      <c r="AB768" s="4"/>
      <c r="AC768" s="4"/>
      <c r="AD768" s="4"/>
      <c r="AE768" s="4"/>
      <c r="AF768" s="4"/>
    </row>
    <row r="769">
      <c r="A769" s="4"/>
      <c r="B769" s="4"/>
      <c r="C769" s="69"/>
      <c r="D769" s="153"/>
      <c r="E769" s="153"/>
      <c r="F769" s="69"/>
      <c r="G769" s="155"/>
      <c r="H769" s="4"/>
      <c r="I769" s="4"/>
      <c r="J769" s="4"/>
      <c r="K769" s="4"/>
      <c r="L769" s="155"/>
      <c r="M769" s="4"/>
      <c r="N769" s="4"/>
      <c r="O769" s="4"/>
      <c r="P769" s="4"/>
      <c r="Q769" s="4"/>
      <c r="R769" s="109"/>
      <c r="S769" s="4"/>
      <c r="T769" s="4"/>
      <c r="U769" s="4"/>
      <c r="V769" s="4"/>
      <c r="W769" s="4"/>
      <c r="X769" s="4"/>
      <c r="Y769" s="4"/>
      <c r="Z769" s="4"/>
      <c r="AA769" s="4"/>
      <c r="AB769" s="4"/>
      <c r="AC769" s="4"/>
      <c r="AD769" s="4"/>
      <c r="AE769" s="4"/>
      <c r="AF769" s="4"/>
    </row>
    <row r="770">
      <c r="A770" s="4"/>
      <c r="B770" s="4"/>
      <c r="C770" s="69"/>
      <c r="D770" s="153"/>
      <c r="E770" s="153"/>
      <c r="F770" s="69"/>
      <c r="G770" s="155"/>
      <c r="H770" s="4"/>
      <c r="I770" s="4"/>
      <c r="J770" s="4"/>
      <c r="K770" s="4"/>
      <c r="L770" s="155"/>
      <c r="M770" s="4"/>
      <c r="N770" s="4"/>
      <c r="O770" s="4"/>
      <c r="P770" s="4"/>
      <c r="Q770" s="4"/>
      <c r="R770" s="109"/>
      <c r="S770" s="4"/>
      <c r="T770" s="4"/>
      <c r="U770" s="4"/>
      <c r="V770" s="4"/>
      <c r="W770" s="4"/>
      <c r="X770" s="4"/>
      <c r="Y770" s="4"/>
      <c r="Z770" s="4"/>
      <c r="AA770" s="4"/>
      <c r="AB770" s="4"/>
      <c r="AC770" s="4"/>
      <c r="AD770" s="4"/>
      <c r="AE770" s="4"/>
      <c r="AF770" s="4"/>
    </row>
    <row r="771">
      <c r="A771" s="4"/>
      <c r="B771" s="4"/>
      <c r="C771" s="69"/>
      <c r="D771" s="153"/>
      <c r="E771" s="153"/>
      <c r="F771" s="69"/>
      <c r="G771" s="155"/>
      <c r="H771" s="4"/>
      <c r="I771" s="4"/>
      <c r="J771" s="4"/>
      <c r="K771" s="4"/>
      <c r="L771" s="155"/>
      <c r="M771" s="4"/>
      <c r="N771" s="4"/>
      <c r="O771" s="4"/>
      <c r="P771" s="4"/>
      <c r="Q771" s="4"/>
      <c r="R771" s="109"/>
      <c r="S771" s="4"/>
      <c r="T771" s="4"/>
      <c r="U771" s="4"/>
      <c r="V771" s="4"/>
      <c r="W771" s="4"/>
      <c r="X771" s="4"/>
      <c r="Y771" s="4"/>
      <c r="Z771" s="4"/>
      <c r="AA771" s="4"/>
      <c r="AB771" s="4"/>
      <c r="AC771" s="4"/>
      <c r="AD771" s="4"/>
      <c r="AE771" s="4"/>
      <c r="AF771" s="4"/>
    </row>
    <row r="772">
      <c r="A772" s="4"/>
      <c r="B772" s="4"/>
      <c r="C772" s="69"/>
      <c r="D772" s="153"/>
      <c r="E772" s="153"/>
      <c r="F772" s="69"/>
      <c r="G772" s="155"/>
      <c r="H772" s="4"/>
      <c r="I772" s="4"/>
      <c r="J772" s="4"/>
      <c r="K772" s="4"/>
      <c r="L772" s="155"/>
      <c r="M772" s="4"/>
      <c r="N772" s="4"/>
      <c r="O772" s="4"/>
      <c r="P772" s="4"/>
      <c r="Q772" s="4"/>
      <c r="R772" s="109"/>
      <c r="S772" s="4"/>
      <c r="T772" s="4"/>
      <c r="U772" s="4"/>
      <c r="V772" s="4"/>
      <c r="W772" s="4"/>
      <c r="X772" s="4"/>
      <c r="Y772" s="4"/>
      <c r="Z772" s="4"/>
      <c r="AA772" s="4"/>
      <c r="AB772" s="4"/>
      <c r="AC772" s="4"/>
      <c r="AD772" s="4"/>
      <c r="AE772" s="4"/>
      <c r="AF772" s="4"/>
    </row>
    <row r="773">
      <c r="A773" s="4"/>
      <c r="B773" s="4"/>
      <c r="C773" s="69"/>
      <c r="D773" s="153"/>
      <c r="E773" s="153"/>
      <c r="F773" s="69"/>
      <c r="G773" s="155"/>
      <c r="H773" s="4"/>
      <c r="I773" s="4"/>
      <c r="J773" s="4"/>
      <c r="K773" s="4"/>
      <c r="L773" s="155"/>
      <c r="M773" s="4"/>
      <c r="N773" s="4"/>
      <c r="O773" s="4"/>
      <c r="P773" s="4"/>
      <c r="Q773" s="4"/>
      <c r="R773" s="109"/>
      <c r="S773" s="4"/>
      <c r="T773" s="4"/>
      <c r="U773" s="4"/>
      <c r="V773" s="4"/>
      <c r="W773" s="4"/>
      <c r="X773" s="4"/>
      <c r="Y773" s="4"/>
      <c r="Z773" s="4"/>
      <c r="AA773" s="4"/>
      <c r="AB773" s="4"/>
      <c r="AC773" s="4"/>
      <c r="AD773" s="4"/>
      <c r="AE773" s="4"/>
      <c r="AF773" s="4"/>
    </row>
    <row r="774">
      <c r="A774" s="4"/>
      <c r="B774" s="4"/>
      <c r="C774" s="69"/>
      <c r="D774" s="153"/>
      <c r="E774" s="153"/>
      <c r="F774" s="69"/>
      <c r="G774" s="155"/>
      <c r="H774" s="4"/>
      <c r="I774" s="4"/>
      <c r="J774" s="4"/>
      <c r="K774" s="4"/>
      <c r="L774" s="155"/>
      <c r="M774" s="4"/>
      <c r="N774" s="4"/>
      <c r="O774" s="4"/>
      <c r="P774" s="4"/>
      <c r="Q774" s="4"/>
      <c r="R774" s="109"/>
      <c r="S774" s="4"/>
      <c r="T774" s="4"/>
      <c r="U774" s="4"/>
      <c r="V774" s="4"/>
      <c r="W774" s="4"/>
      <c r="X774" s="4"/>
      <c r="Y774" s="4"/>
      <c r="Z774" s="4"/>
      <c r="AA774" s="4"/>
      <c r="AB774" s="4"/>
      <c r="AC774" s="4"/>
      <c r="AD774" s="4"/>
      <c r="AE774" s="4"/>
      <c r="AF774" s="4"/>
    </row>
    <row r="775">
      <c r="A775" s="4"/>
      <c r="B775" s="4"/>
      <c r="C775" s="69"/>
      <c r="D775" s="153"/>
      <c r="E775" s="153"/>
      <c r="F775" s="69"/>
      <c r="G775" s="155"/>
      <c r="H775" s="4"/>
      <c r="I775" s="4"/>
      <c r="J775" s="4"/>
      <c r="K775" s="4"/>
      <c r="L775" s="155"/>
      <c r="M775" s="4"/>
      <c r="N775" s="4"/>
      <c r="O775" s="4"/>
      <c r="P775" s="4"/>
      <c r="Q775" s="4"/>
      <c r="R775" s="109"/>
      <c r="S775" s="4"/>
      <c r="T775" s="4"/>
      <c r="U775" s="4"/>
      <c r="V775" s="4"/>
      <c r="W775" s="4"/>
      <c r="X775" s="4"/>
      <c r="Y775" s="4"/>
      <c r="Z775" s="4"/>
      <c r="AA775" s="4"/>
      <c r="AB775" s="4"/>
      <c r="AC775" s="4"/>
      <c r="AD775" s="4"/>
      <c r="AE775" s="4"/>
      <c r="AF775" s="4"/>
    </row>
    <row r="776">
      <c r="A776" s="4"/>
      <c r="B776" s="4"/>
      <c r="C776" s="69"/>
      <c r="D776" s="153"/>
      <c r="E776" s="153"/>
      <c r="F776" s="69"/>
      <c r="G776" s="155"/>
      <c r="H776" s="4"/>
      <c r="I776" s="4"/>
      <c r="J776" s="4"/>
      <c r="K776" s="4"/>
      <c r="L776" s="155"/>
      <c r="M776" s="4"/>
      <c r="N776" s="4"/>
      <c r="O776" s="4"/>
      <c r="P776" s="4"/>
      <c r="Q776" s="4"/>
      <c r="R776" s="109"/>
      <c r="S776" s="4"/>
      <c r="T776" s="4"/>
      <c r="U776" s="4"/>
      <c r="V776" s="4"/>
      <c r="W776" s="4"/>
      <c r="X776" s="4"/>
      <c r="Y776" s="4"/>
      <c r="Z776" s="4"/>
      <c r="AA776" s="4"/>
      <c r="AB776" s="4"/>
      <c r="AC776" s="4"/>
      <c r="AD776" s="4"/>
      <c r="AE776" s="4"/>
      <c r="AF776" s="4"/>
    </row>
    <row r="777">
      <c r="A777" s="4"/>
      <c r="B777" s="4"/>
      <c r="C777" s="69"/>
      <c r="D777" s="153"/>
      <c r="E777" s="153"/>
      <c r="F777" s="69"/>
      <c r="G777" s="155"/>
      <c r="H777" s="4"/>
      <c r="I777" s="4"/>
      <c r="J777" s="4"/>
      <c r="K777" s="4"/>
      <c r="L777" s="155"/>
      <c r="M777" s="4"/>
      <c r="N777" s="4"/>
      <c r="O777" s="4"/>
      <c r="P777" s="4"/>
      <c r="Q777" s="4"/>
      <c r="R777" s="109"/>
      <c r="S777" s="4"/>
      <c r="T777" s="4"/>
      <c r="U777" s="4"/>
      <c r="V777" s="4"/>
      <c r="W777" s="4"/>
      <c r="X777" s="4"/>
      <c r="Y777" s="4"/>
      <c r="Z777" s="4"/>
      <c r="AA777" s="4"/>
      <c r="AB777" s="4"/>
      <c r="AC777" s="4"/>
      <c r="AD777" s="4"/>
      <c r="AE777" s="4"/>
      <c r="AF777" s="4"/>
    </row>
    <row r="778">
      <c r="A778" s="4"/>
      <c r="B778" s="4"/>
      <c r="C778" s="69"/>
      <c r="D778" s="153"/>
      <c r="E778" s="153"/>
      <c r="F778" s="69"/>
      <c r="G778" s="155"/>
      <c r="H778" s="4"/>
      <c r="I778" s="4"/>
      <c r="J778" s="4"/>
      <c r="K778" s="4"/>
      <c r="L778" s="155"/>
      <c r="M778" s="4"/>
      <c r="N778" s="4"/>
      <c r="O778" s="4"/>
      <c r="P778" s="4"/>
      <c r="Q778" s="4"/>
      <c r="R778" s="109"/>
      <c r="S778" s="4"/>
      <c r="T778" s="4"/>
      <c r="U778" s="4"/>
      <c r="V778" s="4"/>
      <c r="W778" s="4"/>
      <c r="X778" s="4"/>
      <c r="Y778" s="4"/>
      <c r="Z778" s="4"/>
      <c r="AA778" s="4"/>
      <c r="AB778" s="4"/>
      <c r="AC778" s="4"/>
      <c r="AD778" s="4"/>
      <c r="AE778" s="4"/>
      <c r="AF778" s="4"/>
    </row>
    <row r="779">
      <c r="A779" s="4"/>
      <c r="B779" s="4"/>
      <c r="C779" s="69"/>
      <c r="D779" s="153"/>
      <c r="E779" s="153"/>
      <c r="F779" s="69"/>
      <c r="G779" s="155"/>
      <c r="H779" s="4"/>
      <c r="I779" s="4"/>
      <c r="J779" s="4"/>
      <c r="K779" s="4"/>
      <c r="L779" s="155"/>
      <c r="M779" s="4"/>
      <c r="N779" s="4"/>
      <c r="O779" s="4"/>
      <c r="P779" s="4"/>
      <c r="Q779" s="4"/>
      <c r="R779" s="109"/>
      <c r="S779" s="4"/>
      <c r="T779" s="4"/>
      <c r="U779" s="4"/>
      <c r="V779" s="4"/>
      <c r="W779" s="4"/>
      <c r="X779" s="4"/>
      <c r="Y779" s="4"/>
      <c r="Z779" s="4"/>
      <c r="AA779" s="4"/>
      <c r="AB779" s="4"/>
      <c r="AC779" s="4"/>
      <c r="AD779" s="4"/>
      <c r="AE779" s="4"/>
      <c r="AF779" s="4"/>
    </row>
    <row r="780">
      <c r="A780" s="4"/>
      <c r="B780" s="4"/>
      <c r="C780" s="69"/>
      <c r="D780" s="153"/>
      <c r="E780" s="153"/>
      <c r="F780" s="69"/>
      <c r="G780" s="155"/>
      <c r="H780" s="4"/>
      <c r="I780" s="4"/>
      <c r="J780" s="4"/>
      <c r="K780" s="4"/>
      <c r="L780" s="155"/>
      <c r="M780" s="4"/>
      <c r="N780" s="4"/>
      <c r="O780" s="4"/>
      <c r="P780" s="4"/>
      <c r="Q780" s="4"/>
      <c r="R780" s="109"/>
      <c r="S780" s="4"/>
      <c r="T780" s="4"/>
      <c r="U780" s="4"/>
      <c r="V780" s="4"/>
      <c r="W780" s="4"/>
      <c r="X780" s="4"/>
      <c r="Y780" s="4"/>
      <c r="Z780" s="4"/>
      <c r="AA780" s="4"/>
      <c r="AB780" s="4"/>
      <c r="AC780" s="4"/>
      <c r="AD780" s="4"/>
      <c r="AE780" s="4"/>
      <c r="AF780" s="4"/>
    </row>
    <row r="781">
      <c r="A781" s="4"/>
      <c r="B781" s="4"/>
      <c r="C781" s="69"/>
      <c r="D781" s="153"/>
      <c r="E781" s="153"/>
      <c r="F781" s="69"/>
      <c r="G781" s="155"/>
      <c r="H781" s="4"/>
      <c r="I781" s="4"/>
      <c r="J781" s="4"/>
      <c r="K781" s="4"/>
      <c r="L781" s="155"/>
      <c r="M781" s="4"/>
      <c r="N781" s="4"/>
      <c r="O781" s="4"/>
      <c r="P781" s="4"/>
      <c r="Q781" s="4"/>
      <c r="R781" s="109"/>
      <c r="S781" s="4"/>
      <c r="T781" s="4"/>
      <c r="U781" s="4"/>
      <c r="V781" s="4"/>
      <c r="W781" s="4"/>
      <c r="X781" s="4"/>
      <c r="Y781" s="4"/>
      <c r="Z781" s="4"/>
      <c r="AA781" s="4"/>
      <c r="AB781" s="4"/>
      <c r="AC781" s="4"/>
      <c r="AD781" s="4"/>
      <c r="AE781" s="4"/>
      <c r="AF781" s="4"/>
    </row>
    <row r="782">
      <c r="A782" s="4"/>
      <c r="B782" s="4"/>
      <c r="C782" s="69"/>
      <c r="D782" s="153"/>
      <c r="E782" s="153"/>
      <c r="F782" s="69"/>
      <c r="G782" s="155"/>
      <c r="H782" s="4"/>
      <c r="I782" s="4"/>
      <c r="J782" s="4"/>
      <c r="K782" s="4"/>
      <c r="L782" s="155"/>
      <c r="M782" s="4"/>
      <c r="N782" s="4"/>
      <c r="O782" s="4"/>
      <c r="P782" s="4"/>
      <c r="Q782" s="4"/>
      <c r="R782" s="109"/>
      <c r="S782" s="4"/>
      <c r="T782" s="4"/>
      <c r="U782" s="4"/>
      <c r="V782" s="4"/>
      <c r="W782" s="4"/>
      <c r="X782" s="4"/>
      <c r="Y782" s="4"/>
      <c r="Z782" s="4"/>
      <c r="AA782" s="4"/>
      <c r="AB782" s="4"/>
      <c r="AC782" s="4"/>
      <c r="AD782" s="4"/>
      <c r="AE782" s="4"/>
      <c r="AF782" s="4"/>
    </row>
    <row r="783">
      <c r="A783" s="4"/>
      <c r="B783" s="4"/>
      <c r="C783" s="69"/>
      <c r="D783" s="153"/>
      <c r="E783" s="153"/>
      <c r="F783" s="69"/>
      <c r="G783" s="155"/>
      <c r="H783" s="4"/>
      <c r="I783" s="4"/>
      <c r="J783" s="4"/>
      <c r="K783" s="4"/>
      <c r="L783" s="155"/>
      <c r="M783" s="4"/>
      <c r="N783" s="4"/>
      <c r="O783" s="4"/>
      <c r="P783" s="4"/>
      <c r="Q783" s="4"/>
      <c r="R783" s="109"/>
      <c r="S783" s="4"/>
      <c r="T783" s="4"/>
      <c r="U783" s="4"/>
      <c r="V783" s="4"/>
      <c r="W783" s="4"/>
      <c r="X783" s="4"/>
      <c r="Y783" s="4"/>
      <c r="Z783" s="4"/>
      <c r="AA783" s="4"/>
      <c r="AB783" s="4"/>
      <c r="AC783" s="4"/>
      <c r="AD783" s="4"/>
      <c r="AE783" s="4"/>
      <c r="AF783" s="4"/>
    </row>
    <row r="784">
      <c r="A784" s="4"/>
      <c r="B784" s="4"/>
      <c r="C784" s="69"/>
      <c r="D784" s="153"/>
      <c r="E784" s="153"/>
      <c r="F784" s="69"/>
      <c r="G784" s="155"/>
      <c r="H784" s="4"/>
      <c r="I784" s="4"/>
      <c r="J784" s="4"/>
      <c r="K784" s="4"/>
      <c r="L784" s="155"/>
      <c r="M784" s="4"/>
      <c r="N784" s="4"/>
      <c r="O784" s="4"/>
      <c r="P784" s="4"/>
      <c r="Q784" s="4"/>
      <c r="R784" s="109"/>
      <c r="S784" s="4"/>
      <c r="T784" s="4"/>
      <c r="U784" s="4"/>
      <c r="V784" s="4"/>
      <c r="W784" s="4"/>
      <c r="X784" s="4"/>
      <c r="Y784" s="4"/>
      <c r="Z784" s="4"/>
      <c r="AA784" s="4"/>
      <c r="AB784" s="4"/>
      <c r="AC784" s="4"/>
      <c r="AD784" s="4"/>
      <c r="AE784" s="4"/>
      <c r="AF784" s="4"/>
    </row>
    <row r="785">
      <c r="A785" s="4"/>
      <c r="B785" s="4"/>
      <c r="C785" s="69"/>
      <c r="D785" s="153"/>
      <c r="E785" s="153"/>
      <c r="F785" s="69"/>
      <c r="G785" s="155"/>
      <c r="H785" s="4"/>
      <c r="I785" s="4"/>
      <c r="J785" s="4"/>
      <c r="K785" s="4"/>
      <c r="L785" s="155"/>
      <c r="M785" s="4"/>
      <c r="N785" s="4"/>
      <c r="O785" s="4"/>
      <c r="P785" s="4"/>
      <c r="Q785" s="4"/>
      <c r="R785" s="109"/>
      <c r="S785" s="4"/>
      <c r="T785" s="4"/>
      <c r="U785" s="4"/>
      <c r="V785" s="4"/>
      <c r="W785" s="4"/>
      <c r="X785" s="4"/>
      <c r="Y785" s="4"/>
      <c r="Z785" s="4"/>
      <c r="AA785" s="4"/>
      <c r="AB785" s="4"/>
      <c r="AC785" s="4"/>
      <c r="AD785" s="4"/>
      <c r="AE785" s="4"/>
      <c r="AF785" s="4"/>
    </row>
    <row r="786">
      <c r="A786" s="4"/>
      <c r="B786" s="4"/>
      <c r="C786" s="69"/>
      <c r="D786" s="153"/>
      <c r="E786" s="153"/>
      <c r="F786" s="69"/>
      <c r="G786" s="155"/>
      <c r="H786" s="4"/>
      <c r="I786" s="4"/>
      <c r="J786" s="4"/>
      <c r="K786" s="4"/>
      <c r="L786" s="155"/>
      <c r="M786" s="4"/>
      <c r="N786" s="4"/>
      <c r="O786" s="4"/>
      <c r="P786" s="4"/>
      <c r="Q786" s="4"/>
      <c r="R786" s="109"/>
      <c r="S786" s="4"/>
      <c r="T786" s="4"/>
      <c r="U786" s="4"/>
      <c r="V786" s="4"/>
      <c r="W786" s="4"/>
      <c r="X786" s="4"/>
      <c r="Y786" s="4"/>
      <c r="Z786" s="4"/>
      <c r="AA786" s="4"/>
      <c r="AB786" s="4"/>
      <c r="AC786" s="4"/>
      <c r="AD786" s="4"/>
      <c r="AE786" s="4"/>
      <c r="AF786" s="4"/>
    </row>
    <row r="787">
      <c r="A787" s="4"/>
      <c r="B787" s="4"/>
      <c r="C787" s="69"/>
      <c r="D787" s="153"/>
      <c r="E787" s="153"/>
      <c r="F787" s="69"/>
      <c r="G787" s="155"/>
      <c r="H787" s="4"/>
      <c r="I787" s="4"/>
      <c r="J787" s="4"/>
      <c r="K787" s="4"/>
      <c r="L787" s="155"/>
      <c r="M787" s="4"/>
      <c r="N787" s="4"/>
      <c r="O787" s="4"/>
      <c r="P787" s="4"/>
      <c r="Q787" s="4"/>
      <c r="R787" s="109"/>
      <c r="S787" s="4"/>
      <c r="T787" s="4"/>
      <c r="U787" s="4"/>
      <c r="V787" s="4"/>
      <c r="W787" s="4"/>
      <c r="X787" s="4"/>
      <c r="Y787" s="4"/>
      <c r="Z787" s="4"/>
      <c r="AA787" s="4"/>
      <c r="AB787" s="4"/>
      <c r="AC787" s="4"/>
      <c r="AD787" s="4"/>
      <c r="AE787" s="4"/>
      <c r="AF787" s="4"/>
    </row>
    <row r="788">
      <c r="A788" s="4"/>
      <c r="B788" s="4"/>
      <c r="C788" s="69"/>
      <c r="D788" s="153"/>
      <c r="E788" s="153"/>
      <c r="F788" s="69"/>
      <c r="G788" s="155"/>
      <c r="H788" s="4"/>
      <c r="I788" s="4"/>
      <c r="J788" s="4"/>
      <c r="K788" s="4"/>
      <c r="L788" s="155"/>
      <c r="M788" s="4"/>
      <c r="N788" s="4"/>
      <c r="O788" s="4"/>
      <c r="P788" s="4"/>
      <c r="Q788" s="4"/>
      <c r="R788" s="109"/>
      <c r="S788" s="4"/>
      <c r="T788" s="4"/>
      <c r="U788" s="4"/>
      <c r="V788" s="4"/>
      <c r="W788" s="4"/>
      <c r="X788" s="4"/>
      <c r="Y788" s="4"/>
      <c r="Z788" s="4"/>
      <c r="AA788" s="4"/>
      <c r="AB788" s="4"/>
      <c r="AC788" s="4"/>
      <c r="AD788" s="4"/>
      <c r="AE788" s="4"/>
      <c r="AF788" s="4"/>
    </row>
    <row r="789">
      <c r="A789" s="4"/>
      <c r="B789" s="4"/>
      <c r="C789" s="69"/>
      <c r="D789" s="153"/>
      <c r="E789" s="153"/>
      <c r="F789" s="69"/>
      <c r="G789" s="155"/>
      <c r="H789" s="4"/>
      <c r="I789" s="4"/>
      <c r="J789" s="4"/>
      <c r="K789" s="4"/>
      <c r="L789" s="155"/>
      <c r="M789" s="4"/>
      <c r="N789" s="4"/>
      <c r="O789" s="4"/>
      <c r="P789" s="4"/>
      <c r="Q789" s="4"/>
      <c r="R789" s="109"/>
      <c r="S789" s="4"/>
      <c r="T789" s="4"/>
      <c r="U789" s="4"/>
      <c r="V789" s="4"/>
      <c r="W789" s="4"/>
      <c r="X789" s="4"/>
      <c r="Y789" s="4"/>
      <c r="Z789" s="4"/>
      <c r="AA789" s="4"/>
      <c r="AB789" s="4"/>
      <c r="AC789" s="4"/>
      <c r="AD789" s="4"/>
      <c r="AE789" s="4"/>
      <c r="AF789" s="4"/>
    </row>
    <row r="790">
      <c r="A790" s="4"/>
      <c r="B790" s="4"/>
      <c r="C790" s="69"/>
      <c r="D790" s="153"/>
      <c r="E790" s="153"/>
      <c r="F790" s="69"/>
      <c r="G790" s="155"/>
      <c r="H790" s="4"/>
      <c r="I790" s="4"/>
      <c r="J790" s="4"/>
      <c r="K790" s="4"/>
      <c r="L790" s="155"/>
      <c r="M790" s="4"/>
      <c r="N790" s="4"/>
      <c r="O790" s="4"/>
      <c r="P790" s="4"/>
      <c r="Q790" s="4"/>
      <c r="R790" s="109"/>
      <c r="S790" s="4"/>
      <c r="T790" s="4"/>
      <c r="U790" s="4"/>
      <c r="V790" s="4"/>
      <c r="W790" s="4"/>
      <c r="X790" s="4"/>
      <c r="Y790" s="4"/>
      <c r="Z790" s="4"/>
      <c r="AA790" s="4"/>
      <c r="AB790" s="4"/>
      <c r="AC790" s="4"/>
      <c r="AD790" s="4"/>
      <c r="AE790" s="4"/>
      <c r="AF790" s="4"/>
    </row>
    <row r="791">
      <c r="A791" s="4"/>
      <c r="B791" s="4"/>
      <c r="C791" s="69"/>
      <c r="D791" s="153"/>
      <c r="E791" s="153"/>
      <c r="F791" s="69"/>
      <c r="G791" s="155"/>
      <c r="H791" s="4"/>
      <c r="I791" s="4"/>
      <c r="J791" s="4"/>
      <c r="K791" s="4"/>
      <c r="L791" s="155"/>
      <c r="M791" s="4"/>
      <c r="N791" s="4"/>
      <c r="O791" s="4"/>
      <c r="P791" s="4"/>
      <c r="Q791" s="4"/>
      <c r="R791" s="109"/>
      <c r="S791" s="4"/>
      <c r="T791" s="4"/>
      <c r="U791" s="4"/>
      <c r="V791" s="4"/>
      <c r="W791" s="4"/>
      <c r="X791" s="4"/>
      <c r="Y791" s="4"/>
      <c r="Z791" s="4"/>
      <c r="AA791" s="4"/>
      <c r="AB791" s="4"/>
      <c r="AC791" s="4"/>
      <c r="AD791" s="4"/>
      <c r="AE791" s="4"/>
      <c r="AF791" s="4"/>
    </row>
    <row r="792">
      <c r="A792" s="4"/>
      <c r="B792" s="4"/>
      <c r="C792" s="69"/>
      <c r="D792" s="153"/>
      <c r="E792" s="153"/>
      <c r="F792" s="69"/>
      <c r="G792" s="155"/>
      <c r="H792" s="4"/>
      <c r="I792" s="4"/>
      <c r="J792" s="4"/>
      <c r="K792" s="4"/>
      <c r="L792" s="155"/>
      <c r="M792" s="4"/>
      <c r="N792" s="4"/>
      <c r="O792" s="4"/>
      <c r="P792" s="4"/>
      <c r="Q792" s="4"/>
      <c r="R792" s="109"/>
      <c r="S792" s="4"/>
      <c r="T792" s="4"/>
      <c r="U792" s="4"/>
      <c r="V792" s="4"/>
      <c r="W792" s="4"/>
      <c r="X792" s="4"/>
      <c r="Y792" s="4"/>
      <c r="Z792" s="4"/>
      <c r="AA792" s="4"/>
      <c r="AB792" s="4"/>
      <c r="AC792" s="4"/>
      <c r="AD792" s="4"/>
      <c r="AE792" s="4"/>
      <c r="AF792" s="4"/>
    </row>
    <row r="793">
      <c r="A793" s="4"/>
      <c r="B793" s="4"/>
      <c r="C793" s="69"/>
      <c r="D793" s="153"/>
      <c r="E793" s="153"/>
      <c r="F793" s="69"/>
      <c r="G793" s="155"/>
      <c r="H793" s="4"/>
      <c r="I793" s="4"/>
      <c r="J793" s="4"/>
      <c r="K793" s="4"/>
      <c r="L793" s="155"/>
      <c r="M793" s="4"/>
      <c r="N793" s="4"/>
      <c r="O793" s="4"/>
      <c r="P793" s="4"/>
      <c r="Q793" s="4"/>
      <c r="R793" s="109"/>
      <c r="S793" s="4"/>
      <c r="T793" s="4"/>
      <c r="U793" s="4"/>
      <c r="V793" s="4"/>
      <c r="W793" s="4"/>
      <c r="X793" s="4"/>
      <c r="Y793" s="4"/>
      <c r="Z793" s="4"/>
      <c r="AA793" s="4"/>
      <c r="AB793" s="4"/>
      <c r="AC793" s="4"/>
      <c r="AD793" s="4"/>
      <c r="AE793" s="4"/>
      <c r="AF793" s="4"/>
    </row>
    <row r="794">
      <c r="A794" s="4"/>
      <c r="B794" s="4"/>
      <c r="C794" s="69"/>
      <c r="D794" s="153"/>
      <c r="E794" s="153"/>
      <c r="F794" s="69"/>
      <c r="G794" s="155"/>
      <c r="H794" s="4"/>
      <c r="I794" s="4"/>
      <c r="J794" s="4"/>
      <c r="K794" s="4"/>
      <c r="L794" s="155"/>
      <c r="M794" s="4"/>
      <c r="N794" s="4"/>
      <c r="O794" s="4"/>
      <c r="P794" s="4"/>
      <c r="Q794" s="4"/>
      <c r="R794" s="109"/>
      <c r="S794" s="4"/>
      <c r="T794" s="4"/>
      <c r="U794" s="4"/>
      <c r="V794" s="4"/>
      <c r="W794" s="4"/>
      <c r="X794" s="4"/>
      <c r="Y794" s="4"/>
      <c r="Z794" s="4"/>
      <c r="AA794" s="4"/>
      <c r="AB794" s="4"/>
      <c r="AC794" s="4"/>
      <c r="AD794" s="4"/>
      <c r="AE794" s="4"/>
      <c r="AF794" s="4"/>
    </row>
    <row r="795">
      <c r="A795" s="4"/>
      <c r="B795" s="4"/>
      <c r="C795" s="69"/>
      <c r="D795" s="153"/>
      <c r="E795" s="153"/>
      <c r="F795" s="69"/>
      <c r="G795" s="155"/>
      <c r="H795" s="4"/>
      <c r="I795" s="4"/>
      <c r="J795" s="4"/>
      <c r="K795" s="4"/>
      <c r="L795" s="155"/>
      <c r="M795" s="4"/>
      <c r="N795" s="4"/>
      <c r="O795" s="4"/>
      <c r="P795" s="4"/>
      <c r="Q795" s="4"/>
      <c r="R795" s="109"/>
      <c r="S795" s="4"/>
      <c r="T795" s="4"/>
      <c r="U795" s="4"/>
      <c r="V795" s="4"/>
      <c r="W795" s="4"/>
      <c r="X795" s="4"/>
      <c r="Y795" s="4"/>
      <c r="Z795" s="4"/>
      <c r="AA795" s="4"/>
      <c r="AB795" s="4"/>
      <c r="AC795" s="4"/>
      <c r="AD795" s="4"/>
      <c r="AE795" s="4"/>
      <c r="AF795" s="4"/>
    </row>
    <row r="796">
      <c r="A796" s="4"/>
      <c r="B796" s="4"/>
      <c r="C796" s="69"/>
      <c r="D796" s="153"/>
      <c r="E796" s="153"/>
      <c r="F796" s="69"/>
      <c r="G796" s="155"/>
      <c r="H796" s="4"/>
      <c r="I796" s="4"/>
      <c r="J796" s="4"/>
      <c r="K796" s="4"/>
      <c r="L796" s="155"/>
      <c r="M796" s="4"/>
      <c r="N796" s="4"/>
      <c r="O796" s="4"/>
      <c r="P796" s="4"/>
      <c r="Q796" s="4"/>
      <c r="R796" s="109"/>
      <c r="S796" s="4"/>
      <c r="T796" s="4"/>
      <c r="U796" s="4"/>
      <c r="V796" s="4"/>
      <c r="W796" s="4"/>
      <c r="X796" s="4"/>
      <c r="Y796" s="4"/>
      <c r="Z796" s="4"/>
      <c r="AA796" s="4"/>
      <c r="AB796" s="4"/>
      <c r="AC796" s="4"/>
      <c r="AD796" s="4"/>
      <c r="AE796" s="4"/>
      <c r="AF796" s="4"/>
    </row>
    <row r="797">
      <c r="A797" s="4"/>
      <c r="B797" s="4"/>
      <c r="C797" s="69"/>
      <c r="D797" s="153"/>
      <c r="E797" s="153"/>
      <c r="F797" s="69"/>
      <c r="G797" s="155"/>
      <c r="H797" s="4"/>
      <c r="I797" s="4"/>
      <c r="J797" s="4"/>
      <c r="K797" s="4"/>
      <c r="L797" s="155"/>
      <c r="M797" s="4"/>
      <c r="N797" s="4"/>
      <c r="O797" s="4"/>
      <c r="P797" s="4"/>
      <c r="Q797" s="4"/>
      <c r="R797" s="109"/>
      <c r="S797" s="4"/>
      <c r="T797" s="4"/>
      <c r="U797" s="4"/>
      <c r="V797" s="4"/>
      <c r="W797" s="4"/>
      <c r="X797" s="4"/>
      <c r="Y797" s="4"/>
      <c r="Z797" s="4"/>
      <c r="AA797" s="4"/>
      <c r="AB797" s="4"/>
      <c r="AC797" s="4"/>
      <c r="AD797" s="4"/>
      <c r="AE797" s="4"/>
      <c r="AF797" s="4"/>
    </row>
    <row r="798">
      <c r="A798" s="4"/>
      <c r="B798" s="4"/>
      <c r="C798" s="69"/>
      <c r="D798" s="153"/>
      <c r="E798" s="153"/>
      <c r="F798" s="69"/>
      <c r="G798" s="155"/>
      <c r="H798" s="4"/>
      <c r="I798" s="4"/>
      <c r="J798" s="4"/>
      <c r="K798" s="4"/>
      <c r="L798" s="155"/>
      <c r="M798" s="4"/>
      <c r="N798" s="4"/>
      <c r="O798" s="4"/>
      <c r="P798" s="4"/>
      <c r="Q798" s="4"/>
      <c r="R798" s="109"/>
      <c r="S798" s="4"/>
      <c r="T798" s="4"/>
      <c r="U798" s="4"/>
      <c r="V798" s="4"/>
      <c r="W798" s="4"/>
      <c r="X798" s="4"/>
      <c r="Y798" s="4"/>
      <c r="Z798" s="4"/>
      <c r="AA798" s="4"/>
      <c r="AB798" s="4"/>
      <c r="AC798" s="4"/>
      <c r="AD798" s="4"/>
      <c r="AE798" s="4"/>
      <c r="AF798" s="4"/>
    </row>
    <row r="799">
      <c r="A799" s="4"/>
      <c r="B799" s="4"/>
      <c r="C799" s="69"/>
      <c r="D799" s="153"/>
      <c r="E799" s="153"/>
      <c r="F799" s="69"/>
      <c r="G799" s="155"/>
      <c r="H799" s="4"/>
      <c r="I799" s="4"/>
      <c r="J799" s="4"/>
      <c r="K799" s="4"/>
      <c r="L799" s="155"/>
      <c r="M799" s="4"/>
      <c r="N799" s="4"/>
      <c r="O799" s="4"/>
      <c r="P799" s="4"/>
      <c r="Q799" s="4"/>
      <c r="R799" s="109"/>
      <c r="S799" s="4"/>
      <c r="T799" s="4"/>
      <c r="U799" s="4"/>
      <c r="V799" s="4"/>
      <c r="W799" s="4"/>
      <c r="X799" s="4"/>
      <c r="Y799" s="4"/>
      <c r="Z799" s="4"/>
      <c r="AA799" s="4"/>
      <c r="AB799" s="4"/>
      <c r="AC799" s="4"/>
      <c r="AD799" s="4"/>
      <c r="AE799" s="4"/>
      <c r="AF799" s="4"/>
    </row>
    <row r="800">
      <c r="A800" s="4"/>
      <c r="B800" s="4"/>
      <c r="C800" s="69"/>
      <c r="D800" s="153"/>
      <c r="E800" s="153"/>
      <c r="F800" s="69"/>
      <c r="G800" s="155"/>
      <c r="H800" s="4"/>
      <c r="I800" s="4"/>
      <c r="J800" s="4"/>
      <c r="K800" s="4"/>
      <c r="L800" s="155"/>
      <c r="M800" s="4"/>
      <c r="N800" s="4"/>
      <c r="O800" s="4"/>
      <c r="P800" s="4"/>
      <c r="Q800" s="4"/>
      <c r="R800" s="109"/>
      <c r="S800" s="4"/>
      <c r="T800" s="4"/>
      <c r="U800" s="4"/>
      <c r="V800" s="4"/>
      <c r="W800" s="4"/>
      <c r="X800" s="4"/>
      <c r="Y800" s="4"/>
      <c r="Z800" s="4"/>
      <c r="AA800" s="4"/>
      <c r="AB800" s="4"/>
      <c r="AC800" s="4"/>
      <c r="AD800" s="4"/>
      <c r="AE800" s="4"/>
      <c r="AF800" s="4"/>
    </row>
    <row r="801">
      <c r="A801" s="4"/>
      <c r="B801" s="4"/>
      <c r="C801" s="69"/>
      <c r="D801" s="153"/>
      <c r="E801" s="153"/>
      <c r="F801" s="69"/>
      <c r="G801" s="155"/>
      <c r="H801" s="4"/>
      <c r="I801" s="4"/>
      <c r="J801" s="4"/>
      <c r="K801" s="4"/>
      <c r="L801" s="155"/>
      <c r="M801" s="4"/>
      <c r="N801" s="4"/>
      <c r="O801" s="4"/>
      <c r="P801" s="4"/>
      <c r="Q801" s="4"/>
      <c r="R801" s="109"/>
      <c r="S801" s="4"/>
      <c r="T801" s="4"/>
      <c r="U801" s="4"/>
      <c r="V801" s="4"/>
      <c r="W801" s="4"/>
      <c r="X801" s="4"/>
      <c r="Y801" s="4"/>
      <c r="Z801" s="4"/>
      <c r="AA801" s="4"/>
      <c r="AB801" s="4"/>
      <c r="AC801" s="4"/>
      <c r="AD801" s="4"/>
      <c r="AE801" s="4"/>
      <c r="AF801" s="4"/>
    </row>
    <row r="802">
      <c r="A802" s="4"/>
      <c r="B802" s="4"/>
      <c r="C802" s="69"/>
      <c r="D802" s="153"/>
      <c r="E802" s="153"/>
      <c r="F802" s="69"/>
      <c r="G802" s="155"/>
      <c r="H802" s="4"/>
      <c r="I802" s="4"/>
      <c r="J802" s="4"/>
      <c r="K802" s="4"/>
      <c r="L802" s="155"/>
      <c r="M802" s="4"/>
      <c r="N802" s="4"/>
      <c r="O802" s="4"/>
      <c r="P802" s="4"/>
      <c r="Q802" s="4"/>
      <c r="R802" s="109"/>
      <c r="S802" s="4"/>
      <c r="T802" s="4"/>
      <c r="U802" s="4"/>
      <c r="V802" s="4"/>
      <c r="W802" s="4"/>
      <c r="X802" s="4"/>
      <c r="Y802" s="4"/>
      <c r="Z802" s="4"/>
      <c r="AA802" s="4"/>
      <c r="AB802" s="4"/>
      <c r="AC802" s="4"/>
      <c r="AD802" s="4"/>
      <c r="AE802" s="4"/>
      <c r="AF802" s="4"/>
    </row>
    <row r="803">
      <c r="A803" s="4"/>
      <c r="B803" s="4"/>
      <c r="C803" s="69"/>
      <c r="D803" s="153"/>
      <c r="E803" s="153"/>
      <c r="F803" s="69"/>
      <c r="G803" s="155"/>
      <c r="H803" s="4"/>
      <c r="I803" s="4"/>
      <c r="J803" s="4"/>
      <c r="K803" s="4"/>
      <c r="L803" s="155"/>
      <c r="M803" s="4"/>
      <c r="N803" s="4"/>
      <c r="O803" s="4"/>
      <c r="P803" s="4"/>
      <c r="Q803" s="4"/>
      <c r="R803" s="109"/>
      <c r="S803" s="4"/>
      <c r="T803" s="4"/>
      <c r="U803" s="4"/>
      <c r="V803" s="4"/>
      <c r="W803" s="4"/>
      <c r="X803" s="4"/>
      <c r="Y803" s="4"/>
      <c r="Z803" s="4"/>
      <c r="AA803" s="4"/>
      <c r="AB803" s="4"/>
      <c r="AC803" s="4"/>
      <c r="AD803" s="4"/>
      <c r="AE803" s="4"/>
      <c r="AF803" s="4"/>
    </row>
    <row r="804">
      <c r="A804" s="4"/>
      <c r="B804" s="4"/>
      <c r="C804" s="69"/>
      <c r="D804" s="153"/>
      <c r="E804" s="153"/>
      <c r="F804" s="69"/>
      <c r="G804" s="155"/>
      <c r="H804" s="4"/>
      <c r="I804" s="4"/>
      <c r="J804" s="4"/>
      <c r="K804" s="4"/>
      <c r="L804" s="155"/>
      <c r="M804" s="4"/>
      <c r="N804" s="4"/>
      <c r="O804" s="4"/>
      <c r="P804" s="4"/>
      <c r="Q804" s="4"/>
      <c r="R804" s="109"/>
      <c r="S804" s="4"/>
      <c r="T804" s="4"/>
      <c r="U804" s="4"/>
      <c r="V804" s="4"/>
      <c r="W804" s="4"/>
      <c r="X804" s="4"/>
      <c r="Y804" s="4"/>
      <c r="Z804" s="4"/>
      <c r="AA804" s="4"/>
      <c r="AB804" s="4"/>
      <c r="AC804" s="4"/>
      <c r="AD804" s="4"/>
      <c r="AE804" s="4"/>
      <c r="AF804" s="4"/>
    </row>
    <row r="805">
      <c r="A805" s="4"/>
      <c r="B805" s="4"/>
      <c r="C805" s="69"/>
      <c r="D805" s="153"/>
      <c r="E805" s="153"/>
      <c r="F805" s="69"/>
      <c r="G805" s="155"/>
      <c r="H805" s="4"/>
      <c r="I805" s="4"/>
      <c r="J805" s="4"/>
      <c r="K805" s="4"/>
      <c r="L805" s="155"/>
      <c r="M805" s="4"/>
      <c r="N805" s="4"/>
      <c r="O805" s="4"/>
      <c r="P805" s="4"/>
      <c r="Q805" s="4"/>
      <c r="R805" s="109"/>
      <c r="S805" s="4"/>
      <c r="T805" s="4"/>
      <c r="U805" s="4"/>
      <c r="V805" s="4"/>
      <c r="W805" s="4"/>
      <c r="X805" s="4"/>
      <c r="Y805" s="4"/>
      <c r="Z805" s="4"/>
      <c r="AA805" s="4"/>
      <c r="AB805" s="4"/>
      <c r="AC805" s="4"/>
      <c r="AD805" s="4"/>
      <c r="AE805" s="4"/>
      <c r="AF805" s="4"/>
    </row>
    <row r="806">
      <c r="A806" s="4"/>
      <c r="B806" s="4"/>
      <c r="C806" s="69"/>
      <c r="D806" s="153"/>
      <c r="E806" s="153"/>
      <c r="F806" s="69"/>
      <c r="G806" s="155"/>
      <c r="H806" s="4"/>
      <c r="I806" s="4"/>
      <c r="J806" s="4"/>
      <c r="K806" s="4"/>
      <c r="L806" s="155"/>
      <c r="M806" s="4"/>
      <c r="N806" s="4"/>
      <c r="O806" s="4"/>
      <c r="P806" s="4"/>
      <c r="Q806" s="4"/>
      <c r="R806" s="109"/>
      <c r="S806" s="4"/>
      <c r="T806" s="4"/>
      <c r="U806" s="4"/>
      <c r="V806" s="4"/>
      <c r="W806" s="4"/>
      <c r="X806" s="4"/>
      <c r="Y806" s="4"/>
      <c r="Z806" s="4"/>
      <c r="AA806" s="4"/>
      <c r="AB806" s="4"/>
      <c r="AC806" s="4"/>
      <c r="AD806" s="4"/>
      <c r="AE806" s="4"/>
      <c r="AF806" s="4"/>
    </row>
    <row r="807">
      <c r="A807" s="4"/>
      <c r="B807" s="4"/>
      <c r="C807" s="69"/>
      <c r="D807" s="153"/>
      <c r="E807" s="153"/>
      <c r="F807" s="69"/>
      <c r="G807" s="155"/>
      <c r="H807" s="4"/>
      <c r="I807" s="4"/>
      <c r="J807" s="4"/>
      <c r="K807" s="4"/>
      <c r="L807" s="155"/>
      <c r="M807" s="4"/>
      <c r="N807" s="4"/>
      <c r="O807" s="4"/>
      <c r="P807" s="4"/>
      <c r="Q807" s="4"/>
      <c r="R807" s="109"/>
      <c r="S807" s="4"/>
      <c r="T807" s="4"/>
      <c r="U807" s="4"/>
      <c r="V807" s="4"/>
      <c r="W807" s="4"/>
      <c r="X807" s="4"/>
      <c r="Y807" s="4"/>
      <c r="Z807" s="4"/>
      <c r="AA807" s="4"/>
      <c r="AB807" s="4"/>
      <c r="AC807" s="4"/>
      <c r="AD807" s="4"/>
      <c r="AE807" s="4"/>
      <c r="AF807" s="4"/>
    </row>
    <row r="808">
      <c r="A808" s="4"/>
      <c r="B808" s="4"/>
      <c r="C808" s="69"/>
      <c r="D808" s="153"/>
      <c r="E808" s="153"/>
      <c r="F808" s="69"/>
      <c r="G808" s="155"/>
      <c r="H808" s="4"/>
      <c r="I808" s="4"/>
      <c r="J808" s="4"/>
      <c r="K808" s="4"/>
      <c r="L808" s="155"/>
      <c r="M808" s="4"/>
      <c r="N808" s="4"/>
      <c r="O808" s="4"/>
      <c r="P808" s="4"/>
      <c r="Q808" s="4"/>
      <c r="R808" s="109"/>
      <c r="S808" s="4"/>
      <c r="T808" s="4"/>
      <c r="U808" s="4"/>
      <c r="V808" s="4"/>
      <c r="W808" s="4"/>
      <c r="X808" s="4"/>
      <c r="Y808" s="4"/>
      <c r="Z808" s="4"/>
      <c r="AA808" s="4"/>
      <c r="AB808" s="4"/>
      <c r="AC808" s="4"/>
      <c r="AD808" s="4"/>
      <c r="AE808" s="4"/>
      <c r="AF808" s="4"/>
    </row>
    <row r="809">
      <c r="A809" s="4"/>
      <c r="B809" s="4"/>
      <c r="C809" s="69"/>
      <c r="D809" s="153"/>
      <c r="E809" s="153"/>
      <c r="F809" s="69"/>
      <c r="G809" s="155"/>
      <c r="H809" s="4"/>
      <c r="I809" s="4"/>
      <c r="J809" s="4"/>
      <c r="K809" s="4"/>
      <c r="L809" s="155"/>
      <c r="M809" s="4"/>
      <c r="N809" s="4"/>
      <c r="O809" s="4"/>
      <c r="P809" s="4"/>
      <c r="Q809" s="4"/>
      <c r="R809" s="109"/>
      <c r="S809" s="4"/>
      <c r="T809" s="4"/>
      <c r="U809" s="4"/>
      <c r="V809" s="4"/>
      <c r="W809" s="4"/>
      <c r="X809" s="4"/>
      <c r="Y809" s="4"/>
      <c r="Z809" s="4"/>
      <c r="AA809" s="4"/>
      <c r="AB809" s="4"/>
      <c r="AC809" s="4"/>
      <c r="AD809" s="4"/>
      <c r="AE809" s="4"/>
      <c r="AF809" s="4"/>
    </row>
    <row r="810">
      <c r="A810" s="4"/>
      <c r="B810" s="4"/>
      <c r="C810" s="69"/>
      <c r="D810" s="153"/>
      <c r="E810" s="153"/>
      <c r="F810" s="69"/>
      <c r="G810" s="155"/>
      <c r="H810" s="4"/>
      <c r="I810" s="4"/>
      <c r="J810" s="4"/>
      <c r="K810" s="4"/>
      <c r="L810" s="155"/>
      <c r="M810" s="4"/>
      <c r="N810" s="4"/>
      <c r="O810" s="4"/>
      <c r="P810" s="4"/>
      <c r="Q810" s="4"/>
      <c r="R810" s="109"/>
      <c r="S810" s="4"/>
      <c r="T810" s="4"/>
      <c r="U810" s="4"/>
      <c r="V810" s="4"/>
      <c r="W810" s="4"/>
      <c r="X810" s="4"/>
      <c r="Y810" s="4"/>
      <c r="Z810" s="4"/>
      <c r="AA810" s="4"/>
      <c r="AB810" s="4"/>
      <c r="AC810" s="4"/>
      <c r="AD810" s="4"/>
      <c r="AE810" s="4"/>
      <c r="AF810" s="4"/>
    </row>
    <row r="811">
      <c r="A811" s="4"/>
      <c r="B811" s="4"/>
      <c r="C811" s="69"/>
      <c r="D811" s="153"/>
      <c r="E811" s="153"/>
      <c r="F811" s="69"/>
      <c r="G811" s="155"/>
      <c r="H811" s="4"/>
      <c r="I811" s="4"/>
      <c r="J811" s="4"/>
      <c r="K811" s="4"/>
      <c r="L811" s="155"/>
      <c r="M811" s="4"/>
      <c r="N811" s="4"/>
      <c r="O811" s="4"/>
      <c r="P811" s="4"/>
      <c r="Q811" s="4"/>
      <c r="R811" s="109"/>
      <c r="S811" s="4"/>
      <c r="T811" s="4"/>
      <c r="U811" s="4"/>
      <c r="V811" s="4"/>
      <c r="W811" s="4"/>
      <c r="X811" s="4"/>
      <c r="Y811" s="4"/>
      <c r="Z811" s="4"/>
      <c r="AA811" s="4"/>
      <c r="AB811" s="4"/>
      <c r="AC811" s="4"/>
      <c r="AD811" s="4"/>
      <c r="AE811" s="4"/>
      <c r="AF811" s="4"/>
    </row>
    <row r="812">
      <c r="A812" s="4"/>
      <c r="B812" s="4"/>
      <c r="C812" s="69"/>
      <c r="D812" s="153"/>
      <c r="E812" s="153"/>
      <c r="F812" s="69"/>
      <c r="G812" s="155"/>
      <c r="H812" s="4"/>
      <c r="I812" s="4"/>
      <c r="J812" s="4"/>
      <c r="K812" s="4"/>
      <c r="L812" s="155"/>
      <c r="M812" s="4"/>
      <c r="N812" s="4"/>
      <c r="O812" s="4"/>
      <c r="P812" s="4"/>
      <c r="Q812" s="4"/>
      <c r="R812" s="109"/>
      <c r="S812" s="4"/>
      <c r="T812" s="4"/>
      <c r="U812" s="4"/>
      <c r="V812" s="4"/>
      <c r="W812" s="4"/>
      <c r="X812" s="4"/>
      <c r="Y812" s="4"/>
      <c r="Z812" s="4"/>
      <c r="AA812" s="4"/>
      <c r="AB812" s="4"/>
      <c r="AC812" s="4"/>
      <c r="AD812" s="4"/>
      <c r="AE812" s="4"/>
      <c r="AF812" s="4"/>
    </row>
    <row r="813">
      <c r="A813" s="4"/>
      <c r="B813" s="4"/>
      <c r="C813" s="69"/>
      <c r="D813" s="153"/>
      <c r="E813" s="153"/>
      <c r="F813" s="69"/>
      <c r="G813" s="155"/>
      <c r="H813" s="4"/>
      <c r="I813" s="4"/>
      <c r="J813" s="4"/>
      <c r="K813" s="4"/>
      <c r="L813" s="155"/>
      <c r="M813" s="4"/>
      <c r="N813" s="4"/>
      <c r="O813" s="4"/>
      <c r="P813" s="4"/>
      <c r="Q813" s="4"/>
      <c r="R813" s="109"/>
      <c r="S813" s="4"/>
      <c r="T813" s="4"/>
      <c r="U813" s="4"/>
      <c r="V813" s="4"/>
      <c r="W813" s="4"/>
      <c r="X813" s="4"/>
      <c r="Y813" s="4"/>
      <c r="Z813" s="4"/>
      <c r="AA813" s="4"/>
      <c r="AB813" s="4"/>
      <c r="AC813" s="4"/>
      <c r="AD813" s="4"/>
      <c r="AE813" s="4"/>
      <c r="AF813" s="4"/>
    </row>
    <row r="814">
      <c r="A814" s="4"/>
      <c r="B814" s="4"/>
      <c r="C814" s="69"/>
      <c r="D814" s="153"/>
      <c r="E814" s="153"/>
      <c r="F814" s="69"/>
      <c r="G814" s="155"/>
      <c r="H814" s="4"/>
      <c r="I814" s="4"/>
      <c r="J814" s="4"/>
      <c r="K814" s="4"/>
      <c r="L814" s="155"/>
      <c r="M814" s="4"/>
      <c r="N814" s="4"/>
      <c r="O814" s="4"/>
      <c r="P814" s="4"/>
      <c r="Q814" s="4"/>
      <c r="R814" s="109"/>
      <c r="S814" s="4"/>
      <c r="T814" s="4"/>
      <c r="U814" s="4"/>
      <c r="V814" s="4"/>
      <c r="W814" s="4"/>
      <c r="X814" s="4"/>
      <c r="Y814" s="4"/>
      <c r="Z814" s="4"/>
      <c r="AA814" s="4"/>
      <c r="AB814" s="4"/>
      <c r="AC814" s="4"/>
      <c r="AD814" s="4"/>
      <c r="AE814" s="4"/>
      <c r="AF814" s="4"/>
    </row>
    <row r="815">
      <c r="A815" s="4"/>
      <c r="B815" s="4"/>
      <c r="C815" s="69"/>
      <c r="D815" s="153"/>
      <c r="E815" s="153"/>
      <c r="F815" s="69"/>
      <c r="G815" s="155"/>
      <c r="H815" s="4"/>
      <c r="I815" s="4"/>
      <c r="J815" s="4"/>
      <c r="K815" s="4"/>
      <c r="L815" s="155"/>
      <c r="M815" s="4"/>
      <c r="N815" s="4"/>
      <c r="O815" s="4"/>
      <c r="P815" s="4"/>
      <c r="Q815" s="4"/>
      <c r="R815" s="109"/>
      <c r="S815" s="4"/>
      <c r="T815" s="4"/>
      <c r="U815" s="4"/>
      <c r="V815" s="4"/>
      <c r="W815" s="4"/>
      <c r="X815" s="4"/>
      <c r="Y815" s="4"/>
      <c r="Z815" s="4"/>
      <c r="AA815" s="4"/>
      <c r="AB815" s="4"/>
      <c r="AC815" s="4"/>
      <c r="AD815" s="4"/>
      <c r="AE815" s="4"/>
      <c r="AF815" s="4"/>
    </row>
    <row r="816">
      <c r="A816" s="4"/>
      <c r="B816" s="4"/>
      <c r="C816" s="69"/>
      <c r="D816" s="153"/>
      <c r="E816" s="153"/>
      <c r="F816" s="69"/>
      <c r="G816" s="155"/>
      <c r="H816" s="4"/>
      <c r="I816" s="4"/>
      <c r="J816" s="4"/>
      <c r="K816" s="4"/>
      <c r="L816" s="155"/>
      <c r="M816" s="4"/>
      <c r="N816" s="4"/>
      <c r="O816" s="4"/>
      <c r="P816" s="4"/>
      <c r="Q816" s="4"/>
      <c r="R816" s="109"/>
      <c r="S816" s="4"/>
      <c r="T816" s="4"/>
      <c r="U816" s="4"/>
      <c r="V816" s="4"/>
      <c r="W816" s="4"/>
      <c r="X816" s="4"/>
      <c r="Y816" s="4"/>
      <c r="Z816" s="4"/>
      <c r="AA816" s="4"/>
      <c r="AB816" s="4"/>
      <c r="AC816" s="4"/>
      <c r="AD816" s="4"/>
      <c r="AE816" s="4"/>
      <c r="AF816" s="4"/>
    </row>
    <row r="817">
      <c r="A817" s="4"/>
      <c r="B817" s="4"/>
      <c r="C817" s="69"/>
      <c r="D817" s="153"/>
      <c r="E817" s="153"/>
      <c r="F817" s="69"/>
      <c r="G817" s="155"/>
      <c r="H817" s="4"/>
      <c r="I817" s="4"/>
      <c r="J817" s="4"/>
      <c r="K817" s="4"/>
      <c r="L817" s="155"/>
      <c r="M817" s="4"/>
      <c r="N817" s="4"/>
      <c r="O817" s="4"/>
      <c r="P817" s="4"/>
      <c r="Q817" s="4"/>
      <c r="R817" s="109"/>
      <c r="S817" s="4"/>
      <c r="T817" s="4"/>
      <c r="U817" s="4"/>
      <c r="V817" s="4"/>
      <c r="W817" s="4"/>
      <c r="X817" s="4"/>
      <c r="Y817" s="4"/>
      <c r="Z817" s="4"/>
      <c r="AA817" s="4"/>
      <c r="AB817" s="4"/>
      <c r="AC817" s="4"/>
      <c r="AD817" s="4"/>
      <c r="AE817" s="4"/>
      <c r="AF817" s="4"/>
    </row>
    <row r="818">
      <c r="A818" s="4"/>
      <c r="B818" s="4"/>
      <c r="C818" s="69"/>
      <c r="D818" s="153"/>
      <c r="E818" s="153"/>
      <c r="F818" s="69"/>
      <c r="G818" s="155"/>
      <c r="H818" s="4"/>
      <c r="I818" s="4"/>
      <c r="J818" s="4"/>
      <c r="K818" s="4"/>
      <c r="L818" s="155"/>
      <c r="M818" s="4"/>
      <c r="N818" s="4"/>
      <c r="O818" s="4"/>
      <c r="P818" s="4"/>
      <c r="Q818" s="4"/>
      <c r="R818" s="109"/>
      <c r="S818" s="4"/>
      <c r="T818" s="4"/>
      <c r="U818" s="4"/>
      <c r="V818" s="4"/>
      <c r="W818" s="4"/>
      <c r="X818" s="4"/>
      <c r="Y818" s="4"/>
      <c r="Z818" s="4"/>
      <c r="AA818" s="4"/>
      <c r="AB818" s="4"/>
      <c r="AC818" s="4"/>
      <c r="AD818" s="4"/>
      <c r="AE818" s="4"/>
      <c r="AF818" s="4"/>
    </row>
    <row r="819">
      <c r="A819" s="4"/>
      <c r="B819" s="4"/>
      <c r="C819" s="69"/>
      <c r="D819" s="153"/>
      <c r="E819" s="153"/>
      <c r="F819" s="69"/>
      <c r="G819" s="155"/>
      <c r="H819" s="4"/>
      <c r="I819" s="4"/>
      <c r="J819" s="4"/>
      <c r="K819" s="4"/>
      <c r="L819" s="155"/>
      <c r="M819" s="4"/>
      <c r="N819" s="4"/>
      <c r="O819" s="4"/>
      <c r="P819" s="4"/>
      <c r="Q819" s="4"/>
      <c r="R819" s="109"/>
      <c r="S819" s="4"/>
      <c r="T819" s="4"/>
      <c r="U819" s="4"/>
      <c r="V819" s="4"/>
      <c r="W819" s="4"/>
      <c r="X819" s="4"/>
      <c r="Y819" s="4"/>
      <c r="Z819" s="4"/>
      <c r="AA819" s="4"/>
      <c r="AB819" s="4"/>
      <c r="AC819" s="4"/>
      <c r="AD819" s="4"/>
      <c r="AE819" s="4"/>
      <c r="AF819" s="4"/>
    </row>
    <row r="820">
      <c r="A820" s="4"/>
      <c r="B820" s="4"/>
      <c r="C820" s="69"/>
      <c r="D820" s="153"/>
      <c r="E820" s="153"/>
      <c r="F820" s="69"/>
      <c r="G820" s="155"/>
      <c r="H820" s="4"/>
      <c r="I820" s="4"/>
      <c r="J820" s="4"/>
      <c r="K820" s="4"/>
      <c r="L820" s="155"/>
      <c r="M820" s="4"/>
      <c r="N820" s="4"/>
      <c r="O820" s="4"/>
      <c r="P820" s="4"/>
      <c r="Q820" s="4"/>
      <c r="R820" s="109"/>
      <c r="S820" s="4"/>
      <c r="T820" s="4"/>
      <c r="U820" s="4"/>
      <c r="V820" s="4"/>
      <c r="W820" s="4"/>
      <c r="X820" s="4"/>
      <c r="Y820" s="4"/>
      <c r="Z820" s="4"/>
      <c r="AA820" s="4"/>
      <c r="AB820" s="4"/>
      <c r="AC820" s="4"/>
      <c r="AD820" s="4"/>
      <c r="AE820" s="4"/>
      <c r="AF820" s="4"/>
    </row>
    <row r="821">
      <c r="A821" s="4"/>
      <c r="B821" s="4"/>
      <c r="C821" s="69"/>
      <c r="D821" s="153"/>
      <c r="E821" s="153"/>
      <c r="F821" s="69"/>
      <c r="G821" s="155"/>
      <c r="H821" s="4"/>
      <c r="I821" s="4"/>
      <c r="J821" s="4"/>
      <c r="K821" s="4"/>
      <c r="L821" s="155"/>
      <c r="M821" s="4"/>
      <c r="N821" s="4"/>
      <c r="O821" s="4"/>
      <c r="P821" s="4"/>
      <c r="Q821" s="4"/>
      <c r="R821" s="109"/>
      <c r="S821" s="4"/>
      <c r="T821" s="4"/>
      <c r="U821" s="4"/>
      <c r="V821" s="4"/>
      <c r="W821" s="4"/>
      <c r="X821" s="4"/>
      <c r="Y821" s="4"/>
      <c r="Z821" s="4"/>
      <c r="AA821" s="4"/>
      <c r="AB821" s="4"/>
      <c r="AC821" s="4"/>
      <c r="AD821" s="4"/>
      <c r="AE821" s="4"/>
      <c r="AF821" s="4"/>
    </row>
    <row r="822">
      <c r="A822" s="4"/>
      <c r="B822" s="4"/>
      <c r="C822" s="69"/>
      <c r="D822" s="153"/>
      <c r="E822" s="153"/>
      <c r="F822" s="69"/>
      <c r="G822" s="155"/>
      <c r="H822" s="4"/>
      <c r="I822" s="4"/>
      <c r="J822" s="4"/>
      <c r="K822" s="4"/>
      <c r="L822" s="155"/>
      <c r="M822" s="4"/>
      <c r="N822" s="4"/>
      <c r="O822" s="4"/>
      <c r="P822" s="4"/>
      <c r="Q822" s="4"/>
      <c r="R822" s="109"/>
      <c r="S822" s="4"/>
      <c r="T822" s="4"/>
      <c r="U822" s="4"/>
      <c r="V822" s="4"/>
      <c r="W822" s="4"/>
      <c r="X822" s="4"/>
      <c r="Y822" s="4"/>
      <c r="Z822" s="4"/>
      <c r="AA822" s="4"/>
      <c r="AB822" s="4"/>
      <c r="AC822" s="4"/>
      <c r="AD822" s="4"/>
      <c r="AE822" s="4"/>
      <c r="AF822" s="4"/>
    </row>
    <row r="823">
      <c r="A823" s="4"/>
      <c r="B823" s="4"/>
      <c r="C823" s="69"/>
      <c r="D823" s="153"/>
      <c r="E823" s="153"/>
      <c r="F823" s="69"/>
      <c r="G823" s="155"/>
      <c r="H823" s="4"/>
      <c r="I823" s="4"/>
      <c r="J823" s="4"/>
      <c r="K823" s="4"/>
      <c r="L823" s="155"/>
      <c r="M823" s="4"/>
      <c r="N823" s="4"/>
      <c r="O823" s="4"/>
      <c r="P823" s="4"/>
      <c r="Q823" s="4"/>
      <c r="R823" s="109"/>
      <c r="S823" s="4"/>
      <c r="T823" s="4"/>
      <c r="U823" s="4"/>
      <c r="V823" s="4"/>
      <c r="W823" s="4"/>
      <c r="X823" s="4"/>
      <c r="Y823" s="4"/>
      <c r="Z823" s="4"/>
      <c r="AA823" s="4"/>
      <c r="AB823" s="4"/>
      <c r="AC823" s="4"/>
      <c r="AD823" s="4"/>
      <c r="AE823" s="4"/>
      <c r="AF823" s="4"/>
    </row>
    <row r="824">
      <c r="A824" s="4"/>
      <c r="B824" s="4"/>
      <c r="C824" s="69"/>
      <c r="D824" s="153"/>
      <c r="E824" s="153"/>
      <c r="F824" s="69"/>
      <c r="G824" s="155"/>
      <c r="H824" s="4"/>
      <c r="I824" s="4"/>
      <c r="J824" s="4"/>
      <c r="K824" s="4"/>
      <c r="L824" s="155"/>
      <c r="M824" s="4"/>
      <c r="N824" s="4"/>
      <c r="O824" s="4"/>
      <c r="P824" s="4"/>
      <c r="Q824" s="4"/>
      <c r="R824" s="109"/>
      <c r="S824" s="4"/>
      <c r="T824" s="4"/>
      <c r="U824" s="4"/>
      <c r="V824" s="4"/>
      <c r="W824" s="4"/>
      <c r="X824" s="4"/>
      <c r="Y824" s="4"/>
      <c r="Z824" s="4"/>
      <c r="AA824" s="4"/>
      <c r="AB824" s="4"/>
      <c r="AC824" s="4"/>
      <c r="AD824" s="4"/>
      <c r="AE824" s="4"/>
      <c r="AF824" s="4"/>
    </row>
    <row r="825">
      <c r="A825" s="4"/>
      <c r="B825" s="4"/>
      <c r="C825" s="69"/>
      <c r="D825" s="153"/>
      <c r="E825" s="153"/>
      <c r="F825" s="69"/>
      <c r="G825" s="155"/>
      <c r="H825" s="4"/>
      <c r="I825" s="4"/>
      <c r="J825" s="4"/>
      <c r="K825" s="4"/>
      <c r="L825" s="155"/>
      <c r="M825" s="4"/>
      <c r="N825" s="4"/>
      <c r="O825" s="4"/>
      <c r="P825" s="4"/>
      <c r="Q825" s="4"/>
      <c r="R825" s="109"/>
      <c r="S825" s="4"/>
      <c r="T825" s="4"/>
      <c r="U825" s="4"/>
      <c r="V825" s="4"/>
      <c r="W825" s="4"/>
      <c r="X825" s="4"/>
      <c r="Y825" s="4"/>
      <c r="Z825" s="4"/>
      <c r="AA825" s="4"/>
      <c r="AB825" s="4"/>
      <c r="AC825" s="4"/>
      <c r="AD825" s="4"/>
      <c r="AE825" s="4"/>
      <c r="AF825" s="4"/>
    </row>
    <row r="826">
      <c r="A826" s="4"/>
      <c r="B826" s="4"/>
      <c r="C826" s="69"/>
      <c r="D826" s="153"/>
      <c r="E826" s="153"/>
      <c r="F826" s="69"/>
      <c r="G826" s="155"/>
      <c r="H826" s="4"/>
      <c r="I826" s="4"/>
      <c r="J826" s="4"/>
      <c r="K826" s="4"/>
      <c r="L826" s="155"/>
      <c r="M826" s="4"/>
      <c r="N826" s="4"/>
      <c r="O826" s="4"/>
      <c r="P826" s="4"/>
      <c r="Q826" s="4"/>
      <c r="R826" s="109"/>
      <c r="S826" s="4"/>
      <c r="T826" s="4"/>
      <c r="U826" s="4"/>
      <c r="V826" s="4"/>
      <c r="W826" s="4"/>
      <c r="X826" s="4"/>
      <c r="Y826" s="4"/>
      <c r="Z826" s="4"/>
      <c r="AA826" s="4"/>
      <c r="AB826" s="4"/>
      <c r="AC826" s="4"/>
      <c r="AD826" s="4"/>
      <c r="AE826" s="4"/>
      <c r="AF826" s="4"/>
    </row>
    <row r="827">
      <c r="A827" s="4"/>
      <c r="B827" s="4"/>
      <c r="C827" s="69"/>
      <c r="D827" s="153"/>
      <c r="E827" s="153"/>
      <c r="F827" s="69"/>
      <c r="G827" s="155"/>
      <c r="H827" s="4"/>
      <c r="I827" s="4"/>
      <c r="J827" s="4"/>
      <c r="K827" s="4"/>
      <c r="L827" s="155"/>
      <c r="M827" s="4"/>
      <c r="N827" s="4"/>
      <c r="O827" s="4"/>
      <c r="P827" s="4"/>
      <c r="Q827" s="4"/>
      <c r="R827" s="109"/>
      <c r="S827" s="4"/>
      <c r="T827" s="4"/>
      <c r="U827" s="4"/>
      <c r="V827" s="4"/>
      <c r="W827" s="4"/>
      <c r="X827" s="4"/>
      <c r="Y827" s="4"/>
      <c r="Z827" s="4"/>
      <c r="AA827" s="4"/>
      <c r="AB827" s="4"/>
      <c r="AC827" s="4"/>
      <c r="AD827" s="4"/>
      <c r="AE827" s="4"/>
      <c r="AF827" s="4"/>
    </row>
    <row r="828">
      <c r="A828" s="4"/>
      <c r="B828" s="4"/>
      <c r="C828" s="69"/>
      <c r="D828" s="153"/>
      <c r="E828" s="153"/>
      <c r="F828" s="69"/>
      <c r="G828" s="155"/>
      <c r="H828" s="4"/>
      <c r="I828" s="4"/>
      <c r="J828" s="4"/>
      <c r="K828" s="4"/>
      <c r="L828" s="155"/>
      <c r="M828" s="4"/>
      <c r="N828" s="4"/>
      <c r="O828" s="4"/>
      <c r="P828" s="4"/>
      <c r="Q828" s="4"/>
      <c r="R828" s="109"/>
      <c r="S828" s="4"/>
      <c r="T828" s="4"/>
      <c r="U828" s="4"/>
      <c r="V828" s="4"/>
      <c r="W828" s="4"/>
      <c r="X828" s="4"/>
      <c r="Y828" s="4"/>
      <c r="Z828" s="4"/>
      <c r="AA828" s="4"/>
      <c r="AB828" s="4"/>
      <c r="AC828" s="4"/>
      <c r="AD828" s="4"/>
      <c r="AE828" s="4"/>
      <c r="AF828" s="4"/>
    </row>
    <row r="829">
      <c r="A829" s="4"/>
      <c r="B829" s="4"/>
      <c r="C829" s="69"/>
      <c r="D829" s="153"/>
      <c r="E829" s="153"/>
      <c r="F829" s="69"/>
      <c r="G829" s="155"/>
      <c r="H829" s="4"/>
      <c r="I829" s="4"/>
      <c r="J829" s="4"/>
      <c r="K829" s="4"/>
      <c r="L829" s="155"/>
      <c r="M829" s="4"/>
      <c r="N829" s="4"/>
      <c r="O829" s="4"/>
      <c r="P829" s="4"/>
      <c r="Q829" s="4"/>
      <c r="R829" s="109"/>
      <c r="S829" s="4"/>
      <c r="T829" s="4"/>
      <c r="U829" s="4"/>
      <c r="V829" s="4"/>
      <c r="W829" s="4"/>
      <c r="X829" s="4"/>
      <c r="Y829" s="4"/>
      <c r="Z829" s="4"/>
      <c r="AA829" s="4"/>
      <c r="AB829" s="4"/>
      <c r="AC829" s="4"/>
      <c r="AD829" s="4"/>
      <c r="AE829" s="4"/>
      <c r="AF829" s="4"/>
    </row>
    <row r="830">
      <c r="A830" s="4"/>
      <c r="B830" s="4"/>
      <c r="C830" s="69"/>
      <c r="D830" s="153"/>
      <c r="E830" s="153"/>
      <c r="F830" s="69"/>
      <c r="G830" s="155"/>
      <c r="H830" s="4"/>
      <c r="I830" s="4"/>
      <c r="J830" s="4"/>
      <c r="K830" s="4"/>
      <c r="L830" s="155"/>
      <c r="M830" s="4"/>
      <c r="N830" s="4"/>
      <c r="O830" s="4"/>
      <c r="P830" s="4"/>
      <c r="Q830" s="4"/>
      <c r="R830" s="109"/>
      <c r="S830" s="4"/>
      <c r="T830" s="4"/>
      <c r="U830" s="4"/>
      <c r="V830" s="4"/>
      <c r="W830" s="4"/>
      <c r="X830" s="4"/>
      <c r="Y830" s="4"/>
      <c r="Z830" s="4"/>
      <c r="AA830" s="4"/>
      <c r="AB830" s="4"/>
      <c r="AC830" s="4"/>
      <c r="AD830" s="4"/>
      <c r="AE830" s="4"/>
      <c r="AF830" s="4"/>
    </row>
    <row r="831">
      <c r="A831" s="4"/>
      <c r="B831" s="4"/>
      <c r="C831" s="69"/>
      <c r="D831" s="153"/>
      <c r="E831" s="153"/>
      <c r="F831" s="69"/>
      <c r="G831" s="155"/>
      <c r="H831" s="4"/>
      <c r="I831" s="4"/>
      <c r="J831" s="4"/>
      <c r="K831" s="4"/>
      <c r="L831" s="155"/>
      <c r="M831" s="4"/>
      <c r="N831" s="4"/>
      <c r="O831" s="4"/>
      <c r="P831" s="4"/>
      <c r="Q831" s="4"/>
      <c r="R831" s="109"/>
      <c r="S831" s="4"/>
      <c r="T831" s="4"/>
      <c r="U831" s="4"/>
      <c r="V831" s="4"/>
      <c r="W831" s="4"/>
      <c r="X831" s="4"/>
      <c r="Y831" s="4"/>
      <c r="Z831" s="4"/>
      <c r="AA831" s="4"/>
      <c r="AB831" s="4"/>
      <c r="AC831" s="4"/>
      <c r="AD831" s="4"/>
      <c r="AE831" s="4"/>
      <c r="AF831" s="4"/>
    </row>
    <row r="832">
      <c r="A832" s="4"/>
      <c r="B832" s="4"/>
      <c r="C832" s="69"/>
      <c r="D832" s="153"/>
      <c r="E832" s="153"/>
      <c r="F832" s="69"/>
      <c r="G832" s="155"/>
      <c r="H832" s="4"/>
      <c r="I832" s="4"/>
      <c r="J832" s="4"/>
      <c r="K832" s="4"/>
      <c r="L832" s="155"/>
      <c r="M832" s="4"/>
      <c r="N832" s="4"/>
      <c r="O832" s="4"/>
      <c r="P832" s="4"/>
      <c r="Q832" s="4"/>
      <c r="R832" s="109"/>
      <c r="S832" s="4"/>
      <c r="T832" s="4"/>
      <c r="U832" s="4"/>
      <c r="V832" s="4"/>
      <c r="W832" s="4"/>
      <c r="X832" s="4"/>
      <c r="Y832" s="4"/>
      <c r="Z832" s="4"/>
      <c r="AA832" s="4"/>
      <c r="AB832" s="4"/>
      <c r="AC832" s="4"/>
      <c r="AD832" s="4"/>
      <c r="AE832" s="4"/>
      <c r="AF832" s="4"/>
    </row>
    <row r="833">
      <c r="A833" s="4"/>
      <c r="B833" s="4"/>
      <c r="C833" s="69"/>
      <c r="D833" s="153"/>
      <c r="E833" s="153"/>
      <c r="F833" s="69"/>
      <c r="G833" s="155"/>
      <c r="H833" s="4"/>
      <c r="I833" s="4"/>
      <c r="J833" s="4"/>
      <c r="K833" s="4"/>
      <c r="L833" s="155"/>
      <c r="M833" s="4"/>
      <c r="N833" s="4"/>
      <c r="O833" s="4"/>
      <c r="P833" s="4"/>
      <c r="Q833" s="4"/>
      <c r="R833" s="109"/>
      <c r="S833" s="4"/>
      <c r="T833" s="4"/>
      <c r="U833" s="4"/>
      <c r="V833" s="4"/>
      <c r="W833" s="4"/>
      <c r="X833" s="4"/>
      <c r="Y833" s="4"/>
      <c r="Z833" s="4"/>
      <c r="AA833" s="4"/>
      <c r="AB833" s="4"/>
      <c r="AC833" s="4"/>
      <c r="AD833" s="4"/>
      <c r="AE833" s="4"/>
      <c r="AF833" s="4"/>
    </row>
    <row r="834">
      <c r="A834" s="4"/>
      <c r="B834" s="4"/>
      <c r="C834" s="69"/>
      <c r="D834" s="153"/>
      <c r="E834" s="153"/>
      <c r="F834" s="69"/>
      <c r="G834" s="155"/>
      <c r="H834" s="4"/>
      <c r="I834" s="4"/>
      <c r="J834" s="4"/>
      <c r="K834" s="4"/>
      <c r="L834" s="155"/>
      <c r="M834" s="4"/>
      <c r="N834" s="4"/>
      <c r="O834" s="4"/>
      <c r="P834" s="4"/>
      <c r="Q834" s="4"/>
      <c r="R834" s="109"/>
      <c r="S834" s="4"/>
      <c r="T834" s="4"/>
      <c r="U834" s="4"/>
      <c r="V834" s="4"/>
      <c r="W834" s="4"/>
      <c r="X834" s="4"/>
      <c r="Y834" s="4"/>
      <c r="Z834" s="4"/>
      <c r="AA834" s="4"/>
      <c r="AB834" s="4"/>
      <c r="AC834" s="4"/>
      <c r="AD834" s="4"/>
      <c r="AE834" s="4"/>
      <c r="AF834" s="4"/>
    </row>
    <row r="835">
      <c r="A835" s="4"/>
      <c r="B835" s="4"/>
      <c r="C835" s="69"/>
      <c r="D835" s="153"/>
      <c r="E835" s="153"/>
      <c r="F835" s="69"/>
      <c r="G835" s="155"/>
      <c r="H835" s="4"/>
      <c r="I835" s="4"/>
      <c r="J835" s="4"/>
      <c r="K835" s="4"/>
      <c r="L835" s="155"/>
      <c r="M835" s="4"/>
      <c r="N835" s="4"/>
      <c r="O835" s="4"/>
      <c r="P835" s="4"/>
      <c r="Q835" s="4"/>
      <c r="R835" s="109"/>
      <c r="S835" s="4"/>
      <c r="T835" s="4"/>
      <c r="U835" s="4"/>
      <c r="V835" s="4"/>
      <c r="W835" s="4"/>
      <c r="X835" s="4"/>
      <c r="Y835" s="4"/>
      <c r="Z835" s="4"/>
      <c r="AA835" s="4"/>
      <c r="AB835" s="4"/>
      <c r="AC835" s="4"/>
      <c r="AD835" s="4"/>
      <c r="AE835" s="4"/>
      <c r="AF835" s="4"/>
    </row>
    <row r="836">
      <c r="A836" s="4"/>
      <c r="B836" s="4"/>
      <c r="C836" s="69"/>
      <c r="D836" s="153"/>
      <c r="E836" s="153"/>
      <c r="F836" s="69"/>
      <c r="G836" s="155"/>
      <c r="H836" s="4"/>
      <c r="I836" s="4"/>
      <c r="J836" s="4"/>
      <c r="K836" s="4"/>
      <c r="L836" s="155"/>
      <c r="M836" s="4"/>
      <c r="N836" s="4"/>
      <c r="O836" s="4"/>
      <c r="P836" s="4"/>
      <c r="Q836" s="4"/>
      <c r="R836" s="109"/>
      <c r="S836" s="4"/>
      <c r="T836" s="4"/>
      <c r="U836" s="4"/>
      <c r="V836" s="4"/>
      <c r="W836" s="4"/>
      <c r="X836" s="4"/>
      <c r="Y836" s="4"/>
      <c r="Z836" s="4"/>
      <c r="AA836" s="4"/>
      <c r="AB836" s="4"/>
      <c r="AC836" s="4"/>
      <c r="AD836" s="4"/>
      <c r="AE836" s="4"/>
      <c r="AF836" s="4"/>
    </row>
    <row r="837">
      <c r="A837" s="4"/>
      <c r="B837" s="4"/>
      <c r="C837" s="69"/>
      <c r="D837" s="153"/>
      <c r="E837" s="153"/>
      <c r="F837" s="69"/>
      <c r="G837" s="155"/>
      <c r="H837" s="4"/>
      <c r="I837" s="4"/>
      <c r="J837" s="4"/>
      <c r="K837" s="4"/>
      <c r="L837" s="155"/>
      <c r="M837" s="4"/>
      <c r="N837" s="4"/>
      <c r="O837" s="4"/>
      <c r="P837" s="4"/>
      <c r="Q837" s="4"/>
      <c r="R837" s="109"/>
      <c r="S837" s="4"/>
      <c r="T837" s="4"/>
      <c r="U837" s="4"/>
      <c r="V837" s="4"/>
      <c r="W837" s="4"/>
      <c r="X837" s="4"/>
      <c r="Y837" s="4"/>
      <c r="Z837" s="4"/>
      <c r="AA837" s="4"/>
      <c r="AB837" s="4"/>
      <c r="AC837" s="4"/>
      <c r="AD837" s="4"/>
      <c r="AE837" s="4"/>
      <c r="AF837" s="4"/>
    </row>
    <row r="838">
      <c r="A838" s="4"/>
      <c r="B838" s="4"/>
      <c r="C838" s="69"/>
      <c r="D838" s="153"/>
      <c r="E838" s="153"/>
      <c r="F838" s="69"/>
      <c r="G838" s="155"/>
      <c r="H838" s="4"/>
      <c r="I838" s="4"/>
      <c r="J838" s="4"/>
      <c r="K838" s="4"/>
      <c r="L838" s="155"/>
      <c r="M838" s="4"/>
      <c r="N838" s="4"/>
      <c r="O838" s="4"/>
      <c r="P838" s="4"/>
      <c r="Q838" s="4"/>
      <c r="R838" s="109"/>
      <c r="S838" s="4"/>
      <c r="T838" s="4"/>
      <c r="U838" s="4"/>
      <c r="V838" s="4"/>
      <c r="W838" s="4"/>
      <c r="X838" s="4"/>
      <c r="Y838" s="4"/>
      <c r="Z838" s="4"/>
      <c r="AA838" s="4"/>
      <c r="AB838" s="4"/>
      <c r="AC838" s="4"/>
      <c r="AD838" s="4"/>
      <c r="AE838" s="4"/>
      <c r="AF838" s="4"/>
    </row>
    <row r="839">
      <c r="A839" s="4"/>
      <c r="B839" s="4"/>
      <c r="C839" s="69"/>
      <c r="D839" s="153"/>
      <c r="E839" s="153"/>
      <c r="F839" s="69"/>
      <c r="G839" s="155"/>
      <c r="H839" s="4"/>
      <c r="I839" s="4"/>
      <c r="J839" s="4"/>
      <c r="K839" s="4"/>
      <c r="L839" s="155"/>
      <c r="M839" s="4"/>
      <c r="N839" s="4"/>
      <c r="O839" s="4"/>
      <c r="P839" s="4"/>
      <c r="Q839" s="4"/>
      <c r="R839" s="109"/>
      <c r="S839" s="4"/>
      <c r="T839" s="4"/>
      <c r="U839" s="4"/>
      <c r="V839" s="4"/>
      <c r="W839" s="4"/>
      <c r="X839" s="4"/>
      <c r="Y839" s="4"/>
      <c r="Z839" s="4"/>
      <c r="AA839" s="4"/>
      <c r="AB839" s="4"/>
      <c r="AC839" s="4"/>
      <c r="AD839" s="4"/>
      <c r="AE839" s="4"/>
      <c r="AF839" s="4"/>
    </row>
    <row r="840">
      <c r="A840" s="4"/>
      <c r="B840" s="4"/>
      <c r="C840" s="69"/>
      <c r="D840" s="153"/>
      <c r="E840" s="153"/>
      <c r="F840" s="69"/>
      <c r="G840" s="155"/>
      <c r="H840" s="4"/>
      <c r="I840" s="4"/>
      <c r="J840" s="4"/>
      <c r="K840" s="4"/>
      <c r="L840" s="155"/>
      <c r="M840" s="4"/>
      <c r="N840" s="4"/>
      <c r="O840" s="4"/>
      <c r="P840" s="4"/>
      <c r="Q840" s="4"/>
      <c r="R840" s="109"/>
      <c r="S840" s="4"/>
      <c r="T840" s="4"/>
      <c r="U840" s="4"/>
      <c r="V840" s="4"/>
      <c r="W840" s="4"/>
      <c r="X840" s="4"/>
      <c r="Y840" s="4"/>
      <c r="Z840" s="4"/>
      <c r="AA840" s="4"/>
      <c r="AB840" s="4"/>
      <c r="AC840" s="4"/>
      <c r="AD840" s="4"/>
      <c r="AE840" s="4"/>
      <c r="AF840" s="4"/>
    </row>
    <row r="841">
      <c r="A841" s="4"/>
      <c r="B841" s="4"/>
      <c r="C841" s="69"/>
      <c r="D841" s="153"/>
      <c r="E841" s="153"/>
      <c r="F841" s="69"/>
      <c r="G841" s="155"/>
      <c r="H841" s="4"/>
      <c r="I841" s="4"/>
      <c r="J841" s="4"/>
      <c r="K841" s="4"/>
      <c r="L841" s="155"/>
      <c r="M841" s="4"/>
      <c r="N841" s="4"/>
      <c r="O841" s="4"/>
      <c r="P841" s="4"/>
      <c r="Q841" s="4"/>
      <c r="R841" s="109"/>
      <c r="S841" s="4"/>
      <c r="T841" s="4"/>
      <c r="U841" s="4"/>
      <c r="V841" s="4"/>
      <c r="W841" s="4"/>
      <c r="X841" s="4"/>
      <c r="Y841" s="4"/>
      <c r="Z841" s="4"/>
      <c r="AA841" s="4"/>
      <c r="AB841" s="4"/>
      <c r="AC841" s="4"/>
      <c r="AD841" s="4"/>
      <c r="AE841" s="4"/>
      <c r="AF841" s="4"/>
    </row>
    <row r="842">
      <c r="A842" s="4"/>
      <c r="B842" s="4"/>
      <c r="C842" s="69"/>
      <c r="D842" s="153"/>
      <c r="E842" s="153"/>
      <c r="F842" s="69"/>
      <c r="G842" s="155"/>
      <c r="H842" s="4"/>
      <c r="I842" s="4"/>
      <c r="J842" s="4"/>
      <c r="K842" s="4"/>
      <c r="L842" s="155"/>
      <c r="M842" s="4"/>
      <c r="N842" s="4"/>
      <c r="O842" s="4"/>
      <c r="P842" s="4"/>
      <c r="Q842" s="4"/>
      <c r="R842" s="109"/>
      <c r="S842" s="4"/>
      <c r="T842" s="4"/>
      <c r="U842" s="4"/>
      <c r="V842" s="4"/>
      <c r="W842" s="4"/>
      <c r="X842" s="4"/>
      <c r="Y842" s="4"/>
      <c r="Z842" s="4"/>
      <c r="AA842" s="4"/>
      <c r="AB842" s="4"/>
      <c r="AC842" s="4"/>
      <c r="AD842" s="4"/>
      <c r="AE842" s="4"/>
      <c r="AF842" s="4"/>
    </row>
    <row r="843">
      <c r="A843" s="4"/>
      <c r="B843" s="4"/>
      <c r="C843" s="69"/>
      <c r="D843" s="153"/>
      <c r="E843" s="153"/>
      <c r="F843" s="69"/>
      <c r="G843" s="155"/>
      <c r="H843" s="4"/>
      <c r="I843" s="4"/>
      <c r="J843" s="4"/>
      <c r="K843" s="4"/>
      <c r="L843" s="155"/>
      <c r="M843" s="4"/>
      <c r="N843" s="4"/>
      <c r="O843" s="4"/>
      <c r="P843" s="4"/>
      <c r="Q843" s="4"/>
      <c r="R843" s="109"/>
      <c r="S843" s="4"/>
      <c r="T843" s="4"/>
      <c r="U843" s="4"/>
      <c r="V843" s="4"/>
      <c r="W843" s="4"/>
      <c r="X843" s="4"/>
      <c r="Y843" s="4"/>
      <c r="Z843" s="4"/>
      <c r="AA843" s="4"/>
      <c r="AB843" s="4"/>
      <c r="AC843" s="4"/>
      <c r="AD843" s="4"/>
      <c r="AE843" s="4"/>
      <c r="AF843" s="4"/>
    </row>
    <row r="844">
      <c r="A844" s="4"/>
      <c r="B844" s="4"/>
      <c r="C844" s="69"/>
      <c r="D844" s="153"/>
      <c r="E844" s="153"/>
      <c r="F844" s="69"/>
      <c r="G844" s="155"/>
      <c r="H844" s="4"/>
      <c r="I844" s="4"/>
      <c r="J844" s="4"/>
      <c r="K844" s="4"/>
      <c r="L844" s="155"/>
      <c r="M844" s="4"/>
      <c r="N844" s="4"/>
      <c r="O844" s="4"/>
      <c r="P844" s="4"/>
      <c r="Q844" s="4"/>
      <c r="R844" s="109"/>
      <c r="S844" s="4"/>
      <c r="T844" s="4"/>
      <c r="U844" s="4"/>
      <c r="V844" s="4"/>
      <c r="W844" s="4"/>
      <c r="X844" s="4"/>
      <c r="Y844" s="4"/>
      <c r="Z844" s="4"/>
      <c r="AA844" s="4"/>
      <c r="AB844" s="4"/>
      <c r="AC844" s="4"/>
      <c r="AD844" s="4"/>
      <c r="AE844" s="4"/>
      <c r="AF844" s="4"/>
    </row>
    <row r="845">
      <c r="A845" s="4"/>
      <c r="B845" s="4"/>
      <c r="C845" s="69"/>
      <c r="D845" s="153"/>
      <c r="E845" s="153"/>
      <c r="F845" s="69"/>
      <c r="G845" s="155"/>
      <c r="H845" s="4"/>
      <c r="I845" s="4"/>
      <c r="J845" s="4"/>
      <c r="K845" s="4"/>
      <c r="L845" s="155"/>
      <c r="M845" s="4"/>
      <c r="N845" s="4"/>
      <c r="O845" s="4"/>
      <c r="P845" s="4"/>
      <c r="Q845" s="4"/>
      <c r="R845" s="109"/>
      <c r="S845" s="4"/>
      <c r="T845" s="4"/>
      <c r="U845" s="4"/>
      <c r="V845" s="4"/>
      <c r="W845" s="4"/>
      <c r="X845" s="4"/>
      <c r="Y845" s="4"/>
      <c r="Z845" s="4"/>
      <c r="AA845" s="4"/>
      <c r="AB845" s="4"/>
      <c r="AC845" s="4"/>
      <c r="AD845" s="4"/>
      <c r="AE845" s="4"/>
      <c r="AF845" s="4"/>
    </row>
    <row r="846">
      <c r="A846" s="4"/>
      <c r="B846" s="4"/>
      <c r="C846" s="69"/>
      <c r="D846" s="153"/>
      <c r="E846" s="153"/>
      <c r="F846" s="69"/>
      <c r="G846" s="155"/>
      <c r="H846" s="4"/>
      <c r="I846" s="4"/>
      <c r="J846" s="4"/>
      <c r="K846" s="4"/>
      <c r="L846" s="155"/>
      <c r="M846" s="4"/>
      <c r="N846" s="4"/>
      <c r="O846" s="4"/>
      <c r="P846" s="4"/>
      <c r="Q846" s="4"/>
      <c r="R846" s="109"/>
      <c r="S846" s="4"/>
      <c r="T846" s="4"/>
      <c r="U846" s="4"/>
      <c r="V846" s="4"/>
      <c r="W846" s="4"/>
      <c r="X846" s="4"/>
      <c r="Y846" s="4"/>
      <c r="Z846" s="4"/>
      <c r="AA846" s="4"/>
      <c r="AB846" s="4"/>
      <c r="AC846" s="4"/>
      <c r="AD846" s="4"/>
      <c r="AE846" s="4"/>
      <c r="AF846" s="4"/>
    </row>
    <row r="847">
      <c r="A847" s="4"/>
      <c r="B847" s="4"/>
      <c r="C847" s="69"/>
      <c r="D847" s="153"/>
      <c r="E847" s="153"/>
      <c r="F847" s="69"/>
      <c r="G847" s="155"/>
      <c r="H847" s="4"/>
      <c r="I847" s="4"/>
      <c r="J847" s="4"/>
      <c r="K847" s="4"/>
      <c r="L847" s="155"/>
      <c r="M847" s="4"/>
      <c r="N847" s="4"/>
      <c r="O847" s="4"/>
      <c r="P847" s="4"/>
      <c r="Q847" s="4"/>
      <c r="R847" s="109"/>
      <c r="S847" s="4"/>
      <c r="T847" s="4"/>
      <c r="U847" s="4"/>
      <c r="V847" s="4"/>
      <c r="W847" s="4"/>
      <c r="X847" s="4"/>
      <c r="Y847" s="4"/>
      <c r="Z847" s="4"/>
      <c r="AA847" s="4"/>
      <c r="AB847" s="4"/>
      <c r="AC847" s="4"/>
      <c r="AD847" s="4"/>
      <c r="AE847" s="4"/>
      <c r="AF847" s="4"/>
    </row>
    <row r="848">
      <c r="A848" s="4"/>
      <c r="B848" s="4"/>
      <c r="C848" s="69"/>
      <c r="D848" s="153"/>
      <c r="E848" s="153"/>
      <c r="F848" s="69"/>
      <c r="G848" s="155"/>
      <c r="H848" s="4"/>
      <c r="I848" s="4"/>
      <c r="J848" s="4"/>
      <c r="K848" s="4"/>
      <c r="L848" s="155"/>
      <c r="M848" s="4"/>
      <c r="N848" s="4"/>
      <c r="O848" s="4"/>
      <c r="P848" s="4"/>
      <c r="Q848" s="4"/>
      <c r="R848" s="109"/>
      <c r="S848" s="4"/>
      <c r="T848" s="4"/>
      <c r="U848" s="4"/>
      <c r="V848" s="4"/>
      <c r="W848" s="4"/>
      <c r="X848" s="4"/>
      <c r="Y848" s="4"/>
      <c r="Z848" s="4"/>
      <c r="AA848" s="4"/>
      <c r="AB848" s="4"/>
      <c r="AC848" s="4"/>
      <c r="AD848" s="4"/>
      <c r="AE848" s="4"/>
      <c r="AF848" s="4"/>
    </row>
    <row r="849">
      <c r="A849" s="4"/>
      <c r="B849" s="4"/>
      <c r="C849" s="69"/>
      <c r="D849" s="153"/>
      <c r="E849" s="153"/>
      <c r="F849" s="69"/>
      <c r="G849" s="155"/>
      <c r="H849" s="4"/>
      <c r="I849" s="4"/>
      <c r="J849" s="4"/>
      <c r="K849" s="4"/>
      <c r="L849" s="155"/>
      <c r="M849" s="4"/>
      <c r="N849" s="4"/>
      <c r="O849" s="4"/>
      <c r="P849" s="4"/>
      <c r="Q849" s="4"/>
      <c r="R849" s="109"/>
      <c r="S849" s="4"/>
      <c r="T849" s="4"/>
      <c r="U849" s="4"/>
      <c r="V849" s="4"/>
      <c r="W849" s="4"/>
      <c r="X849" s="4"/>
      <c r="Y849" s="4"/>
      <c r="Z849" s="4"/>
      <c r="AA849" s="4"/>
      <c r="AB849" s="4"/>
      <c r="AC849" s="4"/>
      <c r="AD849" s="4"/>
      <c r="AE849" s="4"/>
      <c r="AF849" s="4"/>
    </row>
    <row r="850">
      <c r="A850" s="4"/>
      <c r="B850" s="4"/>
      <c r="C850" s="69"/>
      <c r="D850" s="153"/>
      <c r="E850" s="153"/>
      <c r="F850" s="69"/>
      <c r="G850" s="155"/>
      <c r="H850" s="4"/>
      <c r="I850" s="4"/>
      <c r="J850" s="4"/>
      <c r="K850" s="4"/>
      <c r="L850" s="155"/>
      <c r="M850" s="4"/>
      <c r="N850" s="4"/>
      <c r="O850" s="4"/>
      <c r="P850" s="4"/>
      <c r="Q850" s="4"/>
      <c r="R850" s="109"/>
      <c r="S850" s="4"/>
      <c r="T850" s="4"/>
      <c r="U850" s="4"/>
      <c r="V850" s="4"/>
      <c r="W850" s="4"/>
      <c r="X850" s="4"/>
      <c r="Y850" s="4"/>
      <c r="Z850" s="4"/>
      <c r="AA850" s="4"/>
      <c r="AB850" s="4"/>
      <c r="AC850" s="4"/>
      <c r="AD850" s="4"/>
      <c r="AE850" s="4"/>
      <c r="AF850" s="4"/>
    </row>
    <row r="851">
      <c r="A851" s="4"/>
      <c r="B851" s="4"/>
      <c r="C851" s="69"/>
      <c r="D851" s="153"/>
      <c r="E851" s="153"/>
      <c r="F851" s="69"/>
      <c r="G851" s="155"/>
      <c r="H851" s="4"/>
      <c r="I851" s="4"/>
      <c r="J851" s="4"/>
      <c r="K851" s="4"/>
      <c r="L851" s="155"/>
      <c r="M851" s="4"/>
      <c r="N851" s="4"/>
      <c r="O851" s="4"/>
      <c r="P851" s="4"/>
      <c r="Q851" s="4"/>
      <c r="R851" s="109"/>
      <c r="S851" s="4"/>
      <c r="T851" s="4"/>
      <c r="U851" s="4"/>
      <c r="V851" s="4"/>
      <c r="W851" s="4"/>
      <c r="X851" s="4"/>
      <c r="Y851" s="4"/>
      <c r="Z851" s="4"/>
      <c r="AA851" s="4"/>
      <c r="AB851" s="4"/>
      <c r="AC851" s="4"/>
      <c r="AD851" s="4"/>
      <c r="AE851" s="4"/>
      <c r="AF851" s="4"/>
    </row>
    <row r="852">
      <c r="A852" s="4"/>
      <c r="B852" s="4"/>
      <c r="C852" s="69"/>
      <c r="D852" s="153"/>
      <c r="E852" s="153"/>
      <c r="F852" s="69"/>
      <c r="G852" s="155"/>
      <c r="H852" s="4"/>
      <c r="I852" s="4"/>
      <c r="J852" s="4"/>
      <c r="K852" s="4"/>
      <c r="L852" s="155"/>
      <c r="M852" s="4"/>
      <c r="N852" s="4"/>
      <c r="O852" s="4"/>
      <c r="P852" s="4"/>
      <c r="Q852" s="4"/>
      <c r="R852" s="109"/>
      <c r="S852" s="4"/>
      <c r="T852" s="4"/>
      <c r="U852" s="4"/>
      <c r="V852" s="4"/>
      <c r="W852" s="4"/>
      <c r="X852" s="4"/>
      <c r="Y852" s="4"/>
      <c r="Z852" s="4"/>
      <c r="AA852" s="4"/>
      <c r="AB852" s="4"/>
      <c r="AC852" s="4"/>
      <c r="AD852" s="4"/>
      <c r="AE852" s="4"/>
      <c r="AF852" s="4"/>
    </row>
    <row r="853">
      <c r="A853" s="4"/>
      <c r="B853" s="4"/>
      <c r="C853" s="69"/>
      <c r="D853" s="153"/>
      <c r="E853" s="153"/>
      <c r="F853" s="69"/>
      <c r="G853" s="155"/>
      <c r="H853" s="4"/>
      <c r="I853" s="4"/>
      <c r="J853" s="4"/>
      <c r="K853" s="4"/>
      <c r="L853" s="155"/>
      <c r="M853" s="4"/>
      <c r="N853" s="4"/>
      <c r="O853" s="4"/>
      <c r="P853" s="4"/>
      <c r="Q853" s="4"/>
      <c r="R853" s="109"/>
      <c r="S853" s="4"/>
      <c r="T853" s="4"/>
      <c r="U853" s="4"/>
      <c r="V853" s="4"/>
      <c r="W853" s="4"/>
      <c r="X853" s="4"/>
      <c r="Y853" s="4"/>
      <c r="Z853" s="4"/>
      <c r="AA853" s="4"/>
      <c r="AB853" s="4"/>
      <c r="AC853" s="4"/>
      <c r="AD853" s="4"/>
      <c r="AE853" s="4"/>
      <c r="AF853" s="4"/>
    </row>
    <row r="854">
      <c r="A854" s="4"/>
      <c r="B854" s="4"/>
      <c r="C854" s="69"/>
      <c r="D854" s="153"/>
      <c r="E854" s="153"/>
      <c r="F854" s="69"/>
      <c r="G854" s="155"/>
      <c r="H854" s="4"/>
      <c r="I854" s="4"/>
      <c r="J854" s="4"/>
      <c r="K854" s="4"/>
      <c r="L854" s="155"/>
      <c r="M854" s="4"/>
      <c r="N854" s="4"/>
      <c r="O854" s="4"/>
      <c r="P854" s="4"/>
      <c r="Q854" s="4"/>
      <c r="R854" s="109"/>
      <c r="S854" s="4"/>
      <c r="T854" s="4"/>
      <c r="U854" s="4"/>
      <c r="V854" s="4"/>
      <c r="W854" s="4"/>
      <c r="X854" s="4"/>
      <c r="Y854" s="4"/>
      <c r="Z854" s="4"/>
      <c r="AA854" s="4"/>
      <c r="AB854" s="4"/>
      <c r="AC854" s="4"/>
      <c r="AD854" s="4"/>
      <c r="AE854" s="4"/>
      <c r="AF854" s="4"/>
    </row>
    <row r="855">
      <c r="A855" s="4"/>
      <c r="B855" s="4"/>
      <c r="C855" s="69"/>
      <c r="D855" s="153"/>
      <c r="E855" s="153"/>
      <c r="F855" s="69"/>
      <c r="G855" s="155"/>
      <c r="H855" s="4"/>
      <c r="I855" s="4"/>
      <c r="J855" s="4"/>
      <c r="K855" s="4"/>
      <c r="L855" s="155"/>
      <c r="M855" s="4"/>
      <c r="N855" s="4"/>
      <c r="O855" s="4"/>
      <c r="P855" s="4"/>
      <c r="Q855" s="4"/>
      <c r="R855" s="109"/>
      <c r="S855" s="4"/>
      <c r="T855" s="4"/>
      <c r="U855" s="4"/>
      <c r="V855" s="4"/>
      <c r="W855" s="4"/>
      <c r="X855" s="4"/>
      <c r="Y855" s="4"/>
      <c r="Z855" s="4"/>
      <c r="AA855" s="4"/>
      <c r="AB855" s="4"/>
      <c r="AC855" s="4"/>
      <c r="AD855" s="4"/>
      <c r="AE855" s="4"/>
      <c r="AF855" s="4"/>
    </row>
    <row r="856">
      <c r="A856" s="4"/>
      <c r="B856" s="4"/>
      <c r="C856" s="69"/>
      <c r="D856" s="153"/>
      <c r="E856" s="153"/>
      <c r="F856" s="69"/>
      <c r="G856" s="155"/>
      <c r="H856" s="4"/>
      <c r="I856" s="4"/>
      <c r="J856" s="4"/>
      <c r="K856" s="4"/>
      <c r="L856" s="155"/>
      <c r="M856" s="4"/>
      <c r="N856" s="4"/>
      <c r="O856" s="4"/>
      <c r="P856" s="4"/>
      <c r="Q856" s="4"/>
      <c r="R856" s="109"/>
      <c r="S856" s="4"/>
      <c r="T856" s="4"/>
      <c r="U856" s="4"/>
      <c r="V856" s="4"/>
      <c r="W856" s="4"/>
      <c r="X856" s="4"/>
      <c r="Y856" s="4"/>
      <c r="Z856" s="4"/>
      <c r="AA856" s="4"/>
      <c r="AB856" s="4"/>
      <c r="AC856" s="4"/>
      <c r="AD856" s="4"/>
      <c r="AE856" s="4"/>
      <c r="AF856" s="4"/>
    </row>
    <row r="857">
      <c r="A857" s="4"/>
      <c r="B857" s="4"/>
      <c r="C857" s="69"/>
      <c r="D857" s="153"/>
      <c r="E857" s="153"/>
      <c r="F857" s="69"/>
      <c r="G857" s="155"/>
      <c r="H857" s="4"/>
      <c r="I857" s="4"/>
      <c r="J857" s="4"/>
      <c r="K857" s="4"/>
      <c r="L857" s="155"/>
      <c r="M857" s="4"/>
      <c r="N857" s="4"/>
      <c r="O857" s="4"/>
      <c r="P857" s="4"/>
      <c r="Q857" s="4"/>
      <c r="R857" s="109"/>
      <c r="S857" s="4"/>
      <c r="T857" s="4"/>
      <c r="U857" s="4"/>
      <c r="V857" s="4"/>
      <c r="W857" s="4"/>
      <c r="X857" s="4"/>
      <c r="Y857" s="4"/>
      <c r="Z857" s="4"/>
      <c r="AA857" s="4"/>
      <c r="AB857" s="4"/>
      <c r="AC857" s="4"/>
      <c r="AD857" s="4"/>
      <c r="AE857" s="4"/>
      <c r="AF857" s="4"/>
    </row>
    <row r="858">
      <c r="A858" s="4"/>
      <c r="B858" s="4"/>
      <c r="C858" s="69"/>
      <c r="D858" s="153"/>
      <c r="E858" s="153"/>
      <c r="F858" s="69"/>
      <c r="G858" s="155"/>
      <c r="H858" s="4"/>
      <c r="I858" s="4"/>
      <c r="J858" s="4"/>
      <c r="K858" s="4"/>
      <c r="L858" s="155"/>
      <c r="M858" s="4"/>
      <c r="N858" s="4"/>
      <c r="O858" s="4"/>
      <c r="P858" s="4"/>
      <c r="Q858" s="4"/>
      <c r="R858" s="109"/>
      <c r="S858" s="4"/>
      <c r="T858" s="4"/>
      <c r="U858" s="4"/>
      <c r="V858" s="4"/>
      <c r="W858" s="4"/>
      <c r="X858" s="4"/>
      <c r="Y858" s="4"/>
      <c r="Z858" s="4"/>
      <c r="AA858" s="4"/>
      <c r="AB858" s="4"/>
      <c r="AC858" s="4"/>
      <c r="AD858" s="4"/>
      <c r="AE858" s="4"/>
      <c r="AF858" s="4"/>
    </row>
    <row r="859">
      <c r="A859" s="4"/>
      <c r="B859" s="4"/>
      <c r="C859" s="69"/>
      <c r="D859" s="153"/>
      <c r="E859" s="153"/>
      <c r="F859" s="69"/>
      <c r="G859" s="155"/>
      <c r="H859" s="4"/>
      <c r="I859" s="4"/>
      <c r="J859" s="4"/>
      <c r="K859" s="4"/>
      <c r="L859" s="155"/>
      <c r="M859" s="4"/>
      <c r="N859" s="4"/>
      <c r="O859" s="4"/>
      <c r="P859" s="4"/>
      <c r="Q859" s="4"/>
      <c r="R859" s="109"/>
      <c r="S859" s="4"/>
      <c r="T859" s="4"/>
      <c r="U859" s="4"/>
      <c r="V859" s="4"/>
      <c r="W859" s="4"/>
      <c r="X859" s="4"/>
      <c r="Y859" s="4"/>
      <c r="Z859" s="4"/>
      <c r="AA859" s="4"/>
      <c r="AB859" s="4"/>
      <c r="AC859" s="4"/>
      <c r="AD859" s="4"/>
      <c r="AE859" s="4"/>
      <c r="AF859" s="4"/>
    </row>
    <row r="860">
      <c r="A860" s="4"/>
      <c r="B860" s="4"/>
      <c r="C860" s="69"/>
      <c r="D860" s="153"/>
      <c r="E860" s="153"/>
      <c r="F860" s="69"/>
      <c r="G860" s="155"/>
      <c r="H860" s="4"/>
      <c r="I860" s="4"/>
      <c r="J860" s="4"/>
      <c r="K860" s="4"/>
      <c r="L860" s="155"/>
      <c r="M860" s="4"/>
      <c r="N860" s="4"/>
      <c r="O860" s="4"/>
      <c r="P860" s="4"/>
      <c r="Q860" s="4"/>
      <c r="R860" s="109"/>
      <c r="S860" s="4"/>
      <c r="T860" s="4"/>
      <c r="U860" s="4"/>
      <c r="V860" s="4"/>
      <c r="W860" s="4"/>
      <c r="X860" s="4"/>
      <c r="Y860" s="4"/>
      <c r="Z860" s="4"/>
      <c r="AA860" s="4"/>
      <c r="AB860" s="4"/>
      <c r="AC860" s="4"/>
      <c r="AD860" s="4"/>
      <c r="AE860" s="4"/>
      <c r="AF860" s="4"/>
    </row>
    <row r="861">
      <c r="A861" s="4"/>
      <c r="B861" s="4"/>
      <c r="C861" s="69"/>
      <c r="D861" s="153"/>
      <c r="E861" s="153"/>
      <c r="F861" s="69"/>
      <c r="G861" s="155"/>
      <c r="H861" s="4"/>
      <c r="I861" s="4"/>
      <c r="J861" s="4"/>
      <c r="K861" s="4"/>
      <c r="L861" s="155"/>
      <c r="M861" s="4"/>
      <c r="N861" s="4"/>
      <c r="O861" s="4"/>
      <c r="P861" s="4"/>
      <c r="Q861" s="4"/>
      <c r="R861" s="109"/>
      <c r="S861" s="4"/>
      <c r="T861" s="4"/>
      <c r="U861" s="4"/>
      <c r="V861" s="4"/>
      <c r="W861" s="4"/>
      <c r="X861" s="4"/>
      <c r="Y861" s="4"/>
      <c r="Z861" s="4"/>
      <c r="AA861" s="4"/>
      <c r="AB861" s="4"/>
      <c r="AC861" s="4"/>
      <c r="AD861" s="4"/>
      <c r="AE861" s="4"/>
      <c r="AF861" s="4"/>
    </row>
    <row r="862">
      <c r="A862" s="4"/>
      <c r="B862" s="4"/>
      <c r="C862" s="69"/>
      <c r="D862" s="153"/>
      <c r="E862" s="153"/>
      <c r="F862" s="69"/>
      <c r="G862" s="155"/>
      <c r="H862" s="4"/>
      <c r="I862" s="4"/>
      <c r="J862" s="4"/>
      <c r="K862" s="4"/>
      <c r="L862" s="155"/>
      <c r="M862" s="4"/>
      <c r="N862" s="4"/>
      <c r="O862" s="4"/>
      <c r="P862" s="4"/>
      <c r="Q862" s="4"/>
      <c r="R862" s="109"/>
      <c r="S862" s="4"/>
      <c r="T862" s="4"/>
      <c r="U862" s="4"/>
      <c r="V862" s="4"/>
      <c r="W862" s="4"/>
      <c r="X862" s="4"/>
      <c r="Y862" s="4"/>
      <c r="Z862" s="4"/>
      <c r="AA862" s="4"/>
      <c r="AB862" s="4"/>
      <c r="AC862" s="4"/>
      <c r="AD862" s="4"/>
      <c r="AE862" s="4"/>
      <c r="AF862" s="4"/>
    </row>
    <row r="863">
      <c r="A863" s="4"/>
      <c r="B863" s="4"/>
      <c r="C863" s="69"/>
      <c r="D863" s="153"/>
      <c r="E863" s="153"/>
      <c r="F863" s="69"/>
      <c r="G863" s="155"/>
      <c r="H863" s="4"/>
      <c r="I863" s="4"/>
      <c r="J863" s="4"/>
      <c r="K863" s="4"/>
      <c r="L863" s="155"/>
      <c r="M863" s="4"/>
      <c r="N863" s="4"/>
      <c r="O863" s="4"/>
      <c r="P863" s="4"/>
      <c r="Q863" s="4"/>
      <c r="R863" s="109"/>
      <c r="S863" s="4"/>
      <c r="T863" s="4"/>
      <c r="U863" s="4"/>
      <c r="V863" s="4"/>
      <c r="W863" s="4"/>
      <c r="X863" s="4"/>
      <c r="Y863" s="4"/>
      <c r="Z863" s="4"/>
      <c r="AA863" s="4"/>
      <c r="AB863" s="4"/>
      <c r="AC863" s="4"/>
      <c r="AD863" s="4"/>
      <c r="AE863" s="4"/>
      <c r="AF863" s="4"/>
    </row>
    <row r="864">
      <c r="A864" s="4"/>
      <c r="B864" s="4"/>
      <c r="C864" s="69"/>
      <c r="D864" s="153"/>
      <c r="E864" s="153"/>
      <c r="F864" s="69"/>
      <c r="G864" s="155"/>
      <c r="H864" s="4"/>
      <c r="I864" s="4"/>
      <c r="J864" s="4"/>
      <c r="K864" s="4"/>
      <c r="L864" s="155"/>
      <c r="M864" s="4"/>
      <c r="N864" s="4"/>
      <c r="O864" s="4"/>
      <c r="P864" s="4"/>
      <c r="Q864" s="4"/>
      <c r="R864" s="109"/>
      <c r="S864" s="4"/>
      <c r="T864" s="4"/>
      <c r="U864" s="4"/>
      <c r="V864" s="4"/>
      <c r="W864" s="4"/>
      <c r="X864" s="4"/>
      <c r="Y864" s="4"/>
      <c r="Z864" s="4"/>
      <c r="AA864" s="4"/>
      <c r="AB864" s="4"/>
      <c r="AC864" s="4"/>
      <c r="AD864" s="4"/>
      <c r="AE864" s="4"/>
      <c r="AF864" s="4"/>
    </row>
    <row r="865">
      <c r="A865" s="4"/>
      <c r="B865" s="4"/>
      <c r="C865" s="69"/>
      <c r="D865" s="153"/>
      <c r="E865" s="153"/>
      <c r="F865" s="69"/>
      <c r="G865" s="155"/>
      <c r="H865" s="4"/>
      <c r="I865" s="4"/>
      <c r="J865" s="4"/>
      <c r="K865" s="4"/>
      <c r="L865" s="155"/>
      <c r="M865" s="4"/>
      <c r="N865" s="4"/>
      <c r="O865" s="4"/>
      <c r="P865" s="4"/>
      <c r="Q865" s="4"/>
      <c r="R865" s="109"/>
      <c r="S865" s="4"/>
      <c r="T865" s="4"/>
      <c r="U865" s="4"/>
      <c r="V865" s="4"/>
      <c r="W865" s="4"/>
      <c r="X865" s="4"/>
      <c r="Y865" s="4"/>
      <c r="Z865" s="4"/>
      <c r="AA865" s="4"/>
      <c r="AB865" s="4"/>
      <c r="AC865" s="4"/>
      <c r="AD865" s="4"/>
      <c r="AE865" s="4"/>
      <c r="AF865" s="4"/>
    </row>
    <row r="866">
      <c r="A866" s="4"/>
      <c r="B866" s="4"/>
      <c r="C866" s="69"/>
      <c r="D866" s="153"/>
      <c r="E866" s="153"/>
      <c r="F866" s="69"/>
      <c r="G866" s="155"/>
      <c r="H866" s="4"/>
      <c r="I866" s="4"/>
      <c r="J866" s="4"/>
      <c r="K866" s="4"/>
      <c r="L866" s="155"/>
      <c r="M866" s="4"/>
      <c r="N866" s="4"/>
      <c r="O866" s="4"/>
      <c r="P866" s="4"/>
      <c r="Q866" s="4"/>
      <c r="R866" s="109"/>
      <c r="S866" s="4"/>
      <c r="T866" s="4"/>
      <c r="U866" s="4"/>
      <c r="V866" s="4"/>
      <c r="W866" s="4"/>
      <c r="X866" s="4"/>
      <c r="Y866" s="4"/>
      <c r="Z866" s="4"/>
      <c r="AA866" s="4"/>
      <c r="AB866" s="4"/>
      <c r="AC866" s="4"/>
      <c r="AD866" s="4"/>
      <c r="AE866" s="4"/>
      <c r="AF866" s="4"/>
    </row>
    <row r="867">
      <c r="A867" s="4"/>
      <c r="B867" s="4"/>
      <c r="C867" s="69"/>
      <c r="D867" s="153"/>
      <c r="E867" s="153"/>
      <c r="F867" s="69"/>
      <c r="G867" s="155"/>
      <c r="H867" s="4"/>
      <c r="I867" s="4"/>
      <c r="J867" s="4"/>
      <c r="K867" s="4"/>
      <c r="L867" s="155"/>
      <c r="M867" s="4"/>
      <c r="N867" s="4"/>
      <c r="O867" s="4"/>
      <c r="P867" s="4"/>
      <c r="Q867" s="4"/>
      <c r="R867" s="109"/>
      <c r="S867" s="4"/>
      <c r="T867" s="4"/>
      <c r="U867" s="4"/>
      <c r="V867" s="4"/>
      <c r="W867" s="4"/>
      <c r="X867" s="4"/>
      <c r="Y867" s="4"/>
      <c r="Z867" s="4"/>
      <c r="AA867" s="4"/>
      <c r="AB867" s="4"/>
      <c r="AC867" s="4"/>
      <c r="AD867" s="4"/>
      <c r="AE867" s="4"/>
      <c r="AF867" s="4"/>
    </row>
    <row r="868">
      <c r="A868" s="4"/>
      <c r="B868" s="4"/>
      <c r="C868" s="69"/>
      <c r="D868" s="153"/>
      <c r="E868" s="153"/>
      <c r="F868" s="69"/>
      <c r="G868" s="155"/>
      <c r="H868" s="4"/>
      <c r="I868" s="4"/>
      <c r="J868" s="4"/>
      <c r="K868" s="4"/>
      <c r="L868" s="155"/>
      <c r="M868" s="4"/>
      <c r="N868" s="4"/>
      <c r="O868" s="4"/>
      <c r="P868" s="4"/>
      <c r="Q868" s="4"/>
      <c r="R868" s="109"/>
      <c r="S868" s="4"/>
      <c r="T868" s="4"/>
      <c r="U868" s="4"/>
      <c r="V868" s="4"/>
      <c r="W868" s="4"/>
      <c r="X868" s="4"/>
      <c r="Y868" s="4"/>
      <c r="Z868" s="4"/>
      <c r="AA868" s="4"/>
      <c r="AB868" s="4"/>
      <c r="AC868" s="4"/>
      <c r="AD868" s="4"/>
      <c r="AE868" s="4"/>
      <c r="AF868" s="4"/>
    </row>
    <row r="869">
      <c r="A869" s="4"/>
      <c r="B869" s="4"/>
      <c r="C869" s="69"/>
      <c r="D869" s="153"/>
      <c r="E869" s="153"/>
      <c r="F869" s="69"/>
      <c r="G869" s="155"/>
      <c r="H869" s="4"/>
      <c r="I869" s="4"/>
      <c r="J869" s="4"/>
      <c r="K869" s="4"/>
      <c r="L869" s="155"/>
      <c r="M869" s="4"/>
      <c r="N869" s="4"/>
      <c r="O869" s="4"/>
      <c r="P869" s="4"/>
      <c r="Q869" s="4"/>
      <c r="R869" s="109"/>
      <c r="S869" s="4"/>
      <c r="T869" s="4"/>
      <c r="U869" s="4"/>
      <c r="V869" s="4"/>
      <c r="W869" s="4"/>
      <c r="X869" s="4"/>
      <c r="Y869" s="4"/>
      <c r="Z869" s="4"/>
      <c r="AA869" s="4"/>
      <c r="AB869" s="4"/>
      <c r="AC869" s="4"/>
      <c r="AD869" s="4"/>
      <c r="AE869" s="4"/>
      <c r="AF869" s="4"/>
    </row>
    <row r="870">
      <c r="A870" s="4"/>
      <c r="B870" s="4"/>
      <c r="C870" s="69"/>
      <c r="D870" s="153"/>
      <c r="E870" s="153"/>
      <c r="F870" s="69"/>
      <c r="G870" s="155"/>
      <c r="H870" s="4"/>
      <c r="I870" s="4"/>
      <c r="J870" s="4"/>
      <c r="K870" s="4"/>
      <c r="L870" s="155"/>
      <c r="M870" s="4"/>
      <c r="N870" s="4"/>
      <c r="O870" s="4"/>
      <c r="P870" s="4"/>
      <c r="Q870" s="4"/>
      <c r="R870" s="109"/>
      <c r="S870" s="4"/>
      <c r="T870" s="4"/>
      <c r="U870" s="4"/>
      <c r="V870" s="4"/>
      <c r="W870" s="4"/>
      <c r="X870" s="4"/>
      <c r="Y870" s="4"/>
      <c r="Z870" s="4"/>
      <c r="AA870" s="4"/>
      <c r="AB870" s="4"/>
      <c r="AC870" s="4"/>
      <c r="AD870" s="4"/>
      <c r="AE870" s="4"/>
      <c r="AF870" s="4"/>
    </row>
    <row r="871">
      <c r="A871" s="4"/>
      <c r="B871" s="4"/>
      <c r="C871" s="69"/>
      <c r="D871" s="153"/>
      <c r="E871" s="153"/>
      <c r="F871" s="69"/>
      <c r="G871" s="155"/>
      <c r="H871" s="4"/>
      <c r="I871" s="4"/>
      <c r="J871" s="4"/>
      <c r="K871" s="4"/>
      <c r="L871" s="155"/>
      <c r="M871" s="4"/>
      <c r="N871" s="4"/>
      <c r="O871" s="4"/>
      <c r="P871" s="4"/>
      <c r="Q871" s="4"/>
      <c r="R871" s="109"/>
      <c r="S871" s="4"/>
      <c r="T871" s="4"/>
      <c r="U871" s="4"/>
      <c r="V871" s="4"/>
      <c r="W871" s="4"/>
      <c r="X871" s="4"/>
      <c r="Y871" s="4"/>
      <c r="Z871" s="4"/>
      <c r="AA871" s="4"/>
      <c r="AB871" s="4"/>
      <c r="AC871" s="4"/>
      <c r="AD871" s="4"/>
      <c r="AE871" s="4"/>
      <c r="AF871" s="4"/>
    </row>
    <row r="872">
      <c r="A872" s="4"/>
      <c r="B872" s="4"/>
      <c r="C872" s="69"/>
      <c r="D872" s="153"/>
      <c r="E872" s="153"/>
      <c r="F872" s="69"/>
      <c r="G872" s="155"/>
      <c r="H872" s="4"/>
      <c r="I872" s="4"/>
      <c r="J872" s="4"/>
      <c r="K872" s="4"/>
      <c r="L872" s="155"/>
      <c r="M872" s="4"/>
      <c r="N872" s="4"/>
      <c r="O872" s="4"/>
      <c r="P872" s="4"/>
      <c r="Q872" s="4"/>
      <c r="R872" s="109"/>
      <c r="S872" s="4"/>
      <c r="T872" s="4"/>
      <c r="U872" s="4"/>
      <c r="V872" s="4"/>
      <c r="W872" s="4"/>
      <c r="X872" s="4"/>
      <c r="Y872" s="4"/>
      <c r="Z872" s="4"/>
      <c r="AA872" s="4"/>
      <c r="AB872" s="4"/>
      <c r="AC872" s="4"/>
      <c r="AD872" s="4"/>
      <c r="AE872" s="4"/>
      <c r="AF872" s="4"/>
    </row>
    <row r="873">
      <c r="A873" s="4"/>
      <c r="B873" s="4"/>
      <c r="C873" s="69"/>
      <c r="D873" s="153"/>
      <c r="E873" s="153"/>
      <c r="F873" s="69"/>
      <c r="G873" s="155"/>
      <c r="H873" s="4"/>
      <c r="I873" s="4"/>
      <c r="J873" s="4"/>
      <c r="K873" s="4"/>
      <c r="L873" s="155"/>
      <c r="M873" s="4"/>
      <c r="N873" s="4"/>
      <c r="O873" s="4"/>
      <c r="P873" s="4"/>
      <c r="Q873" s="4"/>
      <c r="R873" s="109"/>
      <c r="S873" s="4"/>
      <c r="T873" s="4"/>
      <c r="U873" s="4"/>
      <c r="V873" s="4"/>
      <c r="W873" s="4"/>
      <c r="X873" s="4"/>
      <c r="Y873" s="4"/>
      <c r="Z873" s="4"/>
      <c r="AA873" s="4"/>
      <c r="AB873" s="4"/>
      <c r="AC873" s="4"/>
      <c r="AD873" s="4"/>
      <c r="AE873" s="4"/>
      <c r="AF873" s="4"/>
    </row>
    <row r="874">
      <c r="A874" s="4"/>
      <c r="B874" s="4"/>
      <c r="C874" s="69"/>
      <c r="D874" s="153"/>
      <c r="E874" s="153"/>
      <c r="F874" s="69"/>
      <c r="G874" s="155"/>
      <c r="H874" s="4"/>
      <c r="I874" s="4"/>
      <c r="J874" s="4"/>
      <c r="K874" s="4"/>
      <c r="L874" s="155"/>
      <c r="M874" s="4"/>
      <c r="N874" s="4"/>
      <c r="O874" s="4"/>
      <c r="P874" s="4"/>
      <c r="Q874" s="4"/>
      <c r="R874" s="109"/>
      <c r="S874" s="4"/>
      <c r="T874" s="4"/>
      <c r="U874" s="4"/>
      <c r="V874" s="4"/>
      <c r="W874" s="4"/>
      <c r="X874" s="4"/>
      <c r="Y874" s="4"/>
      <c r="Z874" s="4"/>
      <c r="AA874" s="4"/>
      <c r="AB874" s="4"/>
      <c r="AC874" s="4"/>
      <c r="AD874" s="4"/>
      <c r="AE874" s="4"/>
      <c r="AF874" s="4"/>
    </row>
    <row r="875">
      <c r="A875" s="4"/>
      <c r="B875" s="4"/>
      <c r="C875" s="69"/>
      <c r="D875" s="153"/>
      <c r="E875" s="153"/>
      <c r="F875" s="69"/>
      <c r="G875" s="155"/>
      <c r="H875" s="4"/>
      <c r="I875" s="4"/>
      <c r="J875" s="4"/>
      <c r="K875" s="4"/>
      <c r="L875" s="155"/>
      <c r="M875" s="4"/>
      <c r="N875" s="4"/>
      <c r="O875" s="4"/>
      <c r="P875" s="4"/>
      <c r="Q875" s="4"/>
      <c r="R875" s="109"/>
      <c r="S875" s="4"/>
      <c r="T875" s="4"/>
      <c r="U875" s="4"/>
      <c r="V875" s="4"/>
      <c r="W875" s="4"/>
      <c r="X875" s="4"/>
      <c r="Y875" s="4"/>
      <c r="Z875" s="4"/>
      <c r="AA875" s="4"/>
      <c r="AB875" s="4"/>
      <c r="AC875" s="4"/>
      <c r="AD875" s="4"/>
      <c r="AE875" s="4"/>
      <c r="AF875" s="4"/>
    </row>
    <row r="876">
      <c r="A876" s="4"/>
      <c r="B876" s="4"/>
      <c r="C876" s="69"/>
      <c r="D876" s="153"/>
      <c r="E876" s="153"/>
      <c r="F876" s="69"/>
      <c r="G876" s="155"/>
      <c r="H876" s="4"/>
      <c r="I876" s="4"/>
      <c r="J876" s="4"/>
      <c r="K876" s="4"/>
      <c r="L876" s="155"/>
      <c r="M876" s="4"/>
      <c r="N876" s="4"/>
      <c r="O876" s="4"/>
      <c r="P876" s="4"/>
      <c r="Q876" s="4"/>
      <c r="R876" s="109"/>
      <c r="S876" s="4"/>
      <c r="T876" s="4"/>
      <c r="U876" s="4"/>
      <c r="V876" s="4"/>
      <c r="W876" s="4"/>
      <c r="X876" s="4"/>
      <c r="Y876" s="4"/>
      <c r="Z876" s="4"/>
      <c r="AA876" s="4"/>
      <c r="AB876" s="4"/>
      <c r="AC876" s="4"/>
      <c r="AD876" s="4"/>
      <c r="AE876" s="4"/>
      <c r="AF876" s="4"/>
    </row>
    <row r="877">
      <c r="A877" s="4"/>
      <c r="B877" s="4"/>
      <c r="C877" s="69"/>
      <c r="D877" s="153"/>
      <c r="E877" s="153"/>
      <c r="F877" s="69"/>
      <c r="G877" s="155"/>
      <c r="H877" s="4"/>
      <c r="I877" s="4"/>
      <c r="J877" s="4"/>
      <c r="K877" s="4"/>
      <c r="L877" s="155"/>
      <c r="M877" s="4"/>
      <c r="N877" s="4"/>
      <c r="O877" s="4"/>
      <c r="P877" s="4"/>
      <c r="Q877" s="4"/>
      <c r="R877" s="109"/>
      <c r="S877" s="4"/>
      <c r="T877" s="4"/>
      <c r="U877" s="4"/>
      <c r="V877" s="4"/>
      <c r="W877" s="4"/>
      <c r="X877" s="4"/>
      <c r="Y877" s="4"/>
      <c r="Z877" s="4"/>
      <c r="AA877" s="4"/>
      <c r="AB877" s="4"/>
      <c r="AC877" s="4"/>
      <c r="AD877" s="4"/>
      <c r="AE877" s="4"/>
      <c r="AF877" s="4"/>
    </row>
    <row r="878">
      <c r="A878" s="4"/>
      <c r="B878" s="4"/>
      <c r="C878" s="69"/>
      <c r="D878" s="153"/>
      <c r="E878" s="153"/>
      <c r="F878" s="69"/>
      <c r="G878" s="155"/>
      <c r="H878" s="4"/>
      <c r="I878" s="4"/>
      <c r="J878" s="4"/>
      <c r="K878" s="4"/>
      <c r="L878" s="155"/>
      <c r="M878" s="4"/>
      <c r="N878" s="4"/>
      <c r="O878" s="4"/>
      <c r="P878" s="4"/>
      <c r="Q878" s="4"/>
      <c r="R878" s="109"/>
      <c r="S878" s="4"/>
      <c r="T878" s="4"/>
      <c r="U878" s="4"/>
      <c r="V878" s="4"/>
      <c r="W878" s="4"/>
      <c r="X878" s="4"/>
      <c r="Y878" s="4"/>
      <c r="Z878" s="4"/>
      <c r="AA878" s="4"/>
      <c r="AB878" s="4"/>
      <c r="AC878" s="4"/>
      <c r="AD878" s="4"/>
      <c r="AE878" s="4"/>
      <c r="AF878" s="4"/>
    </row>
    <row r="879">
      <c r="A879" s="4"/>
      <c r="B879" s="4"/>
      <c r="C879" s="69"/>
      <c r="D879" s="153"/>
      <c r="E879" s="153"/>
      <c r="F879" s="69"/>
      <c r="G879" s="155"/>
      <c r="H879" s="4"/>
      <c r="I879" s="4"/>
      <c r="J879" s="4"/>
      <c r="K879" s="4"/>
      <c r="L879" s="155"/>
      <c r="M879" s="4"/>
      <c r="N879" s="4"/>
      <c r="O879" s="4"/>
      <c r="P879" s="4"/>
      <c r="Q879" s="4"/>
      <c r="R879" s="109"/>
      <c r="S879" s="4"/>
      <c r="T879" s="4"/>
      <c r="U879" s="4"/>
      <c r="V879" s="4"/>
      <c r="W879" s="4"/>
      <c r="X879" s="4"/>
      <c r="Y879" s="4"/>
      <c r="Z879" s="4"/>
      <c r="AA879" s="4"/>
      <c r="AB879" s="4"/>
      <c r="AC879" s="4"/>
      <c r="AD879" s="4"/>
      <c r="AE879" s="4"/>
      <c r="AF879" s="4"/>
    </row>
    <row r="880">
      <c r="A880" s="4"/>
      <c r="B880" s="4"/>
      <c r="C880" s="69"/>
      <c r="D880" s="153"/>
      <c r="E880" s="153"/>
      <c r="F880" s="69"/>
      <c r="G880" s="155"/>
      <c r="H880" s="4"/>
      <c r="I880" s="4"/>
      <c r="J880" s="4"/>
      <c r="K880" s="4"/>
      <c r="L880" s="155"/>
      <c r="M880" s="4"/>
      <c r="N880" s="4"/>
      <c r="O880" s="4"/>
      <c r="P880" s="4"/>
      <c r="Q880" s="4"/>
      <c r="R880" s="109"/>
      <c r="S880" s="4"/>
      <c r="T880" s="4"/>
      <c r="U880" s="4"/>
      <c r="V880" s="4"/>
      <c r="W880" s="4"/>
      <c r="X880" s="4"/>
      <c r="Y880" s="4"/>
      <c r="Z880" s="4"/>
      <c r="AA880" s="4"/>
      <c r="AB880" s="4"/>
      <c r="AC880" s="4"/>
      <c r="AD880" s="4"/>
      <c r="AE880" s="4"/>
      <c r="AF880" s="4"/>
    </row>
    <row r="881">
      <c r="A881" s="4"/>
      <c r="B881" s="4"/>
      <c r="C881" s="69"/>
      <c r="D881" s="153"/>
      <c r="E881" s="153"/>
      <c r="F881" s="69"/>
      <c r="G881" s="155"/>
      <c r="H881" s="4"/>
      <c r="I881" s="4"/>
      <c r="J881" s="4"/>
      <c r="K881" s="4"/>
      <c r="L881" s="155"/>
      <c r="M881" s="4"/>
      <c r="N881" s="4"/>
      <c r="O881" s="4"/>
      <c r="P881" s="4"/>
      <c r="Q881" s="4"/>
      <c r="R881" s="109"/>
      <c r="S881" s="4"/>
      <c r="T881" s="4"/>
      <c r="U881" s="4"/>
      <c r="V881" s="4"/>
      <c r="W881" s="4"/>
      <c r="X881" s="4"/>
      <c r="Y881" s="4"/>
      <c r="Z881" s="4"/>
      <c r="AA881" s="4"/>
      <c r="AB881" s="4"/>
      <c r="AC881" s="4"/>
      <c r="AD881" s="4"/>
      <c r="AE881" s="4"/>
      <c r="AF881" s="4"/>
    </row>
    <row r="882">
      <c r="A882" s="4"/>
      <c r="B882" s="4"/>
      <c r="C882" s="69"/>
      <c r="D882" s="153"/>
      <c r="E882" s="153"/>
      <c r="F882" s="69"/>
      <c r="G882" s="155"/>
      <c r="H882" s="4"/>
      <c r="I882" s="4"/>
      <c r="J882" s="4"/>
      <c r="K882" s="4"/>
      <c r="L882" s="155"/>
      <c r="M882" s="4"/>
      <c r="N882" s="4"/>
      <c r="O882" s="4"/>
      <c r="P882" s="4"/>
      <c r="Q882" s="4"/>
      <c r="R882" s="109"/>
      <c r="S882" s="4"/>
      <c r="T882" s="4"/>
      <c r="U882" s="4"/>
      <c r="V882" s="4"/>
      <c r="W882" s="4"/>
      <c r="X882" s="4"/>
      <c r="Y882" s="4"/>
      <c r="Z882" s="4"/>
      <c r="AA882" s="4"/>
      <c r="AB882" s="4"/>
      <c r="AC882" s="4"/>
      <c r="AD882" s="4"/>
      <c r="AE882" s="4"/>
      <c r="AF882" s="4"/>
    </row>
    <row r="883">
      <c r="A883" s="4"/>
      <c r="B883" s="4"/>
      <c r="C883" s="69"/>
      <c r="D883" s="153"/>
      <c r="E883" s="153"/>
      <c r="F883" s="69"/>
      <c r="G883" s="155"/>
      <c r="H883" s="4"/>
      <c r="I883" s="4"/>
      <c r="J883" s="4"/>
      <c r="K883" s="4"/>
      <c r="L883" s="155"/>
      <c r="M883" s="4"/>
      <c r="N883" s="4"/>
      <c r="O883" s="4"/>
      <c r="P883" s="4"/>
      <c r="Q883" s="4"/>
      <c r="R883" s="109"/>
      <c r="S883" s="4"/>
      <c r="T883" s="4"/>
      <c r="U883" s="4"/>
      <c r="V883" s="4"/>
      <c r="W883" s="4"/>
      <c r="X883" s="4"/>
      <c r="Y883" s="4"/>
      <c r="Z883" s="4"/>
      <c r="AA883" s="4"/>
      <c r="AB883" s="4"/>
      <c r="AC883" s="4"/>
      <c r="AD883" s="4"/>
      <c r="AE883" s="4"/>
      <c r="AF883" s="4"/>
    </row>
    <row r="884">
      <c r="A884" s="4"/>
      <c r="B884" s="4"/>
      <c r="C884" s="69"/>
      <c r="D884" s="153"/>
      <c r="E884" s="153"/>
      <c r="F884" s="69"/>
      <c r="G884" s="155"/>
      <c r="H884" s="4"/>
      <c r="I884" s="4"/>
      <c r="J884" s="4"/>
      <c r="K884" s="4"/>
      <c r="L884" s="155"/>
      <c r="M884" s="4"/>
      <c r="N884" s="4"/>
      <c r="O884" s="4"/>
      <c r="P884" s="4"/>
      <c r="Q884" s="4"/>
      <c r="R884" s="109"/>
      <c r="S884" s="4"/>
      <c r="T884" s="4"/>
      <c r="U884" s="4"/>
      <c r="V884" s="4"/>
      <c r="W884" s="4"/>
      <c r="X884" s="4"/>
      <c r="Y884" s="4"/>
      <c r="Z884" s="4"/>
      <c r="AA884" s="4"/>
      <c r="AB884" s="4"/>
      <c r="AC884" s="4"/>
      <c r="AD884" s="4"/>
      <c r="AE884" s="4"/>
      <c r="AF884" s="4"/>
    </row>
    <row r="885">
      <c r="A885" s="4"/>
      <c r="B885" s="4"/>
      <c r="C885" s="69"/>
      <c r="D885" s="153"/>
      <c r="E885" s="153"/>
      <c r="F885" s="69"/>
      <c r="G885" s="155"/>
      <c r="H885" s="4"/>
      <c r="I885" s="4"/>
      <c r="J885" s="4"/>
      <c r="K885" s="4"/>
      <c r="L885" s="155"/>
      <c r="M885" s="4"/>
      <c r="N885" s="4"/>
      <c r="O885" s="4"/>
      <c r="P885" s="4"/>
      <c r="Q885" s="4"/>
      <c r="R885" s="109"/>
      <c r="S885" s="4"/>
      <c r="T885" s="4"/>
      <c r="U885" s="4"/>
      <c r="V885" s="4"/>
      <c r="W885" s="4"/>
      <c r="X885" s="4"/>
      <c r="Y885" s="4"/>
      <c r="Z885" s="4"/>
      <c r="AA885" s="4"/>
      <c r="AB885" s="4"/>
      <c r="AC885" s="4"/>
      <c r="AD885" s="4"/>
      <c r="AE885" s="4"/>
      <c r="AF885" s="4"/>
    </row>
    <row r="886">
      <c r="A886" s="4"/>
      <c r="B886" s="4"/>
      <c r="C886" s="69"/>
      <c r="D886" s="153"/>
      <c r="E886" s="153"/>
      <c r="F886" s="69"/>
      <c r="G886" s="155"/>
      <c r="H886" s="4"/>
      <c r="I886" s="4"/>
      <c r="J886" s="4"/>
      <c r="K886" s="4"/>
      <c r="L886" s="155"/>
      <c r="M886" s="4"/>
      <c r="N886" s="4"/>
      <c r="O886" s="4"/>
      <c r="P886" s="4"/>
      <c r="Q886" s="4"/>
      <c r="R886" s="109"/>
      <c r="S886" s="4"/>
      <c r="T886" s="4"/>
      <c r="U886" s="4"/>
      <c r="V886" s="4"/>
      <c r="W886" s="4"/>
      <c r="X886" s="4"/>
      <c r="Y886" s="4"/>
      <c r="Z886" s="4"/>
      <c r="AA886" s="4"/>
      <c r="AB886" s="4"/>
      <c r="AC886" s="4"/>
      <c r="AD886" s="4"/>
      <c r="AE886" s="4"/>
      <c r="AF886" s="4"/>
    </row>
    <row r="887">
      <c r="A887" s="4"/>
      <c r="B887" s="4"/>
      <c r="C887" s="69"/>
      <c r="D887" s="153"/>
      <c r="E887" s="153"/>
      <c r="F887" s="69"/>
      <c r="G887" s="155"/>
      <c r="H887" s="4"/>
      <c r="I887" s="4"/>
      <c r="J887" s="4"/>
      <c r="K887" s="4"/>
      <c r="L887" s="155"/>
      <c r="M887" s="4"/>
      <c r="N887" s="4"/>
      <c r="O887" s="4"/>
      <c r="P887" s="4"/>
      <c r="Q887" s="4"/>
      <c r="R887" s="109"/>
      <c r="S887" s="4"/>
      <c r="T887" s="4"/>
      <c r="U887" s="4"/>
      <c r="V887" s="4"/>
      <c r="W887" s="4"/>
      <c r="X887" s="4"/>
      <c r="Y887" s="4"/>
      <c r="Z887" s="4"/>
      <c r="AA887" s="4"/>
      <c r="AB887" s="4"/>
      <c r="AC887" s="4"/>
      <c r="AD887" s="4"/>
      <c r="AE887" s="4"/>
      <c r="AF887" s="4"/>
    </row>
    <row r="888">
      <c r="A888" s="4"/>
      <c r="B888" s="4"/>
      <c r="C888" s="69"/>
      <c r="D888" s="153"/>
      <c r="E888" s="153"/>
      <c r="F888" s="69"/>
      <c r="G888" s="155"/>
      <c r="H888" s="4"/>
      <c r="I888" s="4"/>
      <c r="J888" s="4"/>
      <c r="K888" s="4"/>
      <c r="L888" s="155"/>
      <c r="M888" s="4"/>
      <c r="N888" s="4"/>
      <c r="O888" s="4"/>
      <c r="P888" s="4"/>
      <c r="Q888" s="4"/>
      <c r="R888" s="109"/>
      <c r="S888" s="4"/>
      <c r="T888" s="4"/>
      <c r="U888" s="4"/>
      <c r="V888" s="4"/>
      <c r="W888" s="4"/>
      <c r="X888" s="4"/>
      <c r="Y888" s="4"/>
      <c r="Z888" s="4"/>
      <c r="AA888" s="4"/>
      <c r="AB888" s="4"/>
      <c r="AC888" s="4"/>
      <c r="AD888" s="4"/>
      <c r="AE888" s="4"/>
      <c r="AF888" s="4"/>
    </row>
    <row r="889">
      <c r="A889" s="4"/>
      <c r="B889" s="4"/>
      <c r="C889" s="69"/>
      <c r="D889" s="153"/>
      <c r="E889" s="153"/>
      <c r="F889" s="69"/>
      <c r="G889" s="155"/>
      <c r="H889" s="4"/>
      <c r="I889" s="4"/>
      <c r="J889" s="4"/>
      <c r="K889" s="4"/>
      <c r="L889" s="155"/>
      <c r="M889" s="4"/>
      <c r="N889" s="4"/>
      <c r="O889" s="4"/>
      <c r="P889" s="4"/>
      <c r="Q889" s="4"/>
      <c r="R889" s="109"/>
      <c r="S889" s="4"/>
      <c r="T889" s="4"/>
      <c r="U889" s="4"/>
      <c r="V889" s="4"/>
      <c r="W889" s="4"/>
      <c r="X889" s="4"/>
      <c r="Y889" s="4"/>
      <c r="Z889" s="4"/>
      <c r="AA889" s="4"/>
      <c r="AB889" s="4"/>
      <c r="AC889" s="4"/>
      <c r="AD889" s="4"/>
      <c r="AE889" s="4"/>
      <c r="AF889" s="4"/>
    </row>
    <row r="890">
      <c r="A890" s="4"/>
      <c r="B890" s="4"/>
      <c r="C890" s="69"/>
      <c r="D890" s="153"/>
      <c r="E890" s="153"/>
      <c r="F890" s="69"/>
      <c r="G890" s="155"/>
      <c r="H890" s="4"/>
      <c r="I890" s="4"/>
      <c r="J890" s="4"/>
      <c r="K890" s="4"/>
      <c r="L890" s="155"/>
      <c r="M890" s="4"/>
      <c r="N890" s="4"/>
      <c r="O890" s="4"/>
      <c r="P890" s="4"/>
      <c r="Q890" s="4"/>
      <c r="R890" s="109"/>
      <c r="S890" s="4"/>
      <c r="T890" s="4"/>
      <c r="U890" s="4"/>
      <c r="V890" s="4"/>
      <c r="W890" s="4"/>
      <c r="X890" s="4"/>
      <c r="Y890" s="4"/>
      <c r="Z890" s="4"/>
      <c r="AA890" s="4"/>
      <c r="AB890" s="4"/>
      <c r="AC890" s="4"/>
      <c r="AD890" s="4"/>
      <c r="AE890" s="4"/>
      <c r="AF890" s="4"/>
    </row>
    <row r="891">
      <c r="A891" s="4"/>
      <c r="B891" s="4"/>
      <c r="C891" s="69"/>
      <c r="D891" s="153"/>
      <c r="E891" s="153"/>
      <c r="F891" s="69"/>
      <c r="G891" s="155"/>
      <c r="H891" s="4"/>
      <c r="I891" s="4"/>
      <c r="J891" s="4"/>
      <c r="K891" s="4"/>
      <c r="L891" s="155"/>
      <c r="M891" s="4"/>
      <c r="N891" s="4"/>
      <c r="O891" s="4"/>
      <c r="P891" s="4"/>
      <c r="Q891" s="4"/>
      <c r="R891" s="109"/>
      <c r="S891" s="4"/>
      <c r="T891" s="4"/>
      <c r="U891" s="4"/>
      <c r="V891" s="4"/>
      <c r="W891" s="4"/>
      <c r="X891" s="4"/>
      <c r="Y891" s="4"/>
      <c r="Z891" s="4"/>
      <c r="AA891" s="4"/>
      <c r="AB891" s="4"/>
      <c r="AC891" s="4"/>
      <c r="AD891" s="4"/>
      <c r="AE891" s="4"/>
      <c r="AF891" s="4"/>
    </row>
    <row r="892">
      <c r="A892" s="4"/>
      <c r="B892" s="4"/>
      <c r="C892" s="69"/>
      <c r="D892" s="153"/>
      <c r="E892" s="153"/>
      <c r="F892" s="69"/>
      <c r="G892" s="155"/>
      <c r="H892" s="4"/>
      <c r="I892" s="4"/>
      <c r="J892" s="4"/>
      <c r="K892" s="4"/>
      <c r="L892" s="155"/>
      <c r="M892" s="4"/>
      <c r="N892" s="4"/>
      <c r="O892" s="4"/>
      <c r="P892" s="4"/>
      <c r="Q892" s="4"/>
      <c r="R892" s="109"/>
      <c r="S892" s="4"/>
      <c r="T892" s="4"/>
      <c r="U892" s="4"/>
      <c r="V892" s="4"/>
      <c r="W892" s="4"/>
      <c r="X892" s="4"/>
      <c r="Y892" s="4"/>
      <c r="Z892" s="4"/>
      <c r="AA892" s="4"/>
      <c r="AB892" s="4"/>
      <c r="AC892" s="4"/>
      <c r="AD892" s="4"/>
      <c r="AE892" s="4"/>
      <c r="AF892" s="4"/>
    </row>
    <row r="893">
      <c r="A893" s="4"/>
      <c r="B893" s="4"/>
      <c r="C893" s="69"/>
      <c r="D893" s="153"/>
      <c r="E893" s="153"/>
      <c r="F893" s="69"/>
      <c r="G893" s="155"/>
      <c r="H893" s="4"/>
      <c r="I893" s="4"/>
      <c r="J893" s="4"/>
      <c r="K893" s="4"/>
      <c r="L893" s="155"/>
      <c r="M893" s="4"/>
      <c r="N893" s="4"/>
      <c r="O893" s="4"/>
      <c r="P893" s="4"/>
      <c r="Q893" s="4"/>
      <c r="R893" s="109"/>
      <c r="S893" s="4"/>
      <c r="T893" s="4"/>
      <c r="U893" s="4"/>
      <c r="V893" s="4"/>
      <c r="W893" s="4"/>
      <c r="X893" s="4"/>
      <c r="Y893" s="4"/>
      <c r="Z893" s="4"/>
      <c r="AA893" s="4"/>
      <c r="AB893" s="4"/>
      <c r="AC893" s="4"/>
      <c r="AD893" s="4"/>
      <c r="AE893" s="4"/>
      <c r="AF893" s="4"/>
    </row>
    <row r="894">
      <c r="A894" s="4"/>
      <c r="B894" s="4"/>
      <c r="C894" s="69"/>
      <c r="D894" s="153"/>
      <c r="E894" s="153"/>
      <c r="F894" s="69"/>
      <c r="G894" s="155"/>
      <c r="H894" s="4"/>
      <c r="I894" s="4"/>
      <c r="J894" s="4"/>
      <c r="K894" s="4"/>
      <c r="L894" s="155"/>
      <c r="M894" s="4"/>
      <c r="N894" s="4"/>
      <c r="O894" s="4"/>
      <c r="P894" s="4"/>
      <c r="Q894" s="4"/>
      <c r="R894" s="109"/>
      <c r="S894" s="4"/>
      <c r="T894" s="4"/>
      <c r="U894" s="4"/>
      <c r="V894" s="4"/>
      <c r="W894" s="4"/>
      <c r="X894" s="4"/>
      <c r="Y894" s="4"/>
      <c r="Z894" s="4"/>
      <c r="AA894" s="4"/>
      <c r="AB894" s="4"/>
      <c r="AC894" s="4"/>
      <c r="AD894" s="4"/>
      <c r="AE894" s="4"/>
      <c r="AF894" s="4"/>
    </row>
    <row r="895">
      <c r="A895" s="4"/>
      <c r="B895" s="4"/>
      <c r="C895" s="69"/>
      <c r="D895" s="153"/>
      <c r="E895" s="153"/>
      <c r="F895" s="69"/>
      <c r="G895" s="155"/>
      <c r="H895" s="4"/>
      <c r="I895" s="4"/>
      <c r="J895" s="4"/>
      <c r="K895" s="4"/>
      <c r="L895" s="155"/>
      <c r="M895" s="4"/>
      <c r="N895" s="4"/>
      <c r="O895" s="4"/>
      <c r="P895" s="4"/>
      <c r="Q895" s="4"/>
      <c r="R895" s="109"/>
      <c r="S895" s="4"/>
      <c r="T895" s="4"/>
      <c r="U895" s="4"/>
      <c r="V895" s="4"/>
      <c r="W895" s="4"/>
      <c r="X895" s="4"/>
      <c r="Y895" s="4"/>
      <c r="Z895" s="4"/>
      <c r="AA895" s="4"/>
      <c r="AB895" s="4"/>
      <c r="AC895" s="4"/>
      <c r="AD895" s="4"/>
      <c r="AE895" s="4"/>
      <c r="AF895" s="4"/>
    </row>
    <row r="896">
      <c r="A896" s="4"/>
      <c r="B896" s="4"/>
      <c r="C896" s="69"/>
      <c r="D896" s="153"/>
      <c r="E896" s="153"/>
      <c r="F896" s="69"/>
      <c r="G896" s="155"/>
      <c r="H896" s="4"/>
      <c r="I896" s="4"/>
      <c r="J896" s="4"/>
      <c r="K896" s="4"/>
      <c r="L896" s="155"/>
      <c r="M896" s="4"/>
      <c r="N896" s="4"/>
      <c r="O896" s="4"/>
      <c r="P896" s="4"/>
      <c r="Q896" s="4"/>
      <c r="R896" s="109"/>
      <c r="S896" s="4"/>
      <c r="T896" s="4"/>
      <c r="U896" s="4"/>
      <c r="V896" s="4"/>
      <c r="W896" s="4"/>
      <c r="X896" s="4"/>
      <c r="Y896" s="4"/>
      <c r="Z896" s="4"/>
      <c r="AA896" s="4"/>
      <c r="AB896" s="4"/>
      <c r="AC896" s="4"/>
      <c r="AD896" s="4"/>
      <c r="AE896" s="4"/>
      <c r="AF896" s="4"/>
    </row>
    <row r="897">
      <c r="A897" s="4"/>
      <c r="B897" s="4"/>
      <c r="C897" s="69"/>
      <c r="D897" s="153"/>
      <c r="E897" s="153"/>
      <c r="F897" s="69"/>
      <c r="G897" s="155"/>
      <c r="H897" s="4"/>
      <c r="I897" s="4"/>
      <c r="J897" s="4"/>
      <c r="K897" s="4"/>
      <c r="L897" s="155"/>
      <c r="M897" s="4"/>
      <c r="N897" s="4"/>
      <c r="O897" s="4"/>
      <c r="P897" s="4"/>
      <c r="Q897" s="4"/>
      <c r="R897" s="109"/>
      <c r="S897" s="4"/>
      <c r="T897" s="4"/>
      <c r="U897" s="4"/>
      <c r="V897" s="4"/>
      <c r="W897" s="4"/>
      <c r="X897" s="4"/>
      <c r="Y897" s="4"/>
      <c r="Z897" s="4"/>
      <c r="AA897" s="4"/>
      <c r="AB897" s="4"/>
      <c r="AC897" s="4"/>
      <c r="AD897" s="4"/>
      <c r="AE897" s="4"/>
      <c r="AF897" s="4"/>
    </row>
    <row r="898">
      <c r="A898" s="4"/>
      <c r="B898" s="4"/>
      <c r="C898" s="69"/>
      <c r="D898" s="153"/>
      <c r="E898" s="153"/>
      <c r="F898" s="69"/>
      <c r="G898" s="155"/>
      <c r="H898" s="4"/>
      <c r="I898" s="4"/>
      <c r="J898" s="4"/>
      <c r="K898" s="4"/>
      <c r="L898" s="155"/>
      <c r="M898" s="4"/>
      <c r="N898" s="4"/>
      <c r="O898" s="4"/>
      <c r="P898" s="4"/>
      <c r="Q898" s="4"/>
      <c r="R898" s="109"/>
      <c r="S898" s="4"/>
      <c r="T898" s="4"/>
      <c r="U898" s="4"/>
      <c r="V898" s="4"/>
      <c r="W898" s="4"/>
      <c r="X898" s="4"/>
      <c r="Y898" s="4"/>
      <c r="Z898" s="4"/>
      <c r="AA898" s="4"/>
      <c r="AB898" s="4"/>
      <c r="AC898" s="4"/>
      <c r="AD898" s="4"/>
      <c r="AE898" s="4"/>
      <c r="AF898" s="4"/>
    </row>
    <row r="899">
      <c r="A899" s="4"/>
      <c r="B899" s="4"/>
      <c r="C899" s="69"/>
      <c r="D899" s="153"/>
      <c r="E899" s="153"/>
      <c r="F899" s="69"/>
      <c r="G899" s="155"/>
      <c r="H899" s="4"/>
      <c r="I899" s="4"/>
      <c r="J899" s="4"/>
      <c r="K899" s="4"/>
      <c r="L899" s="155"/>
      <c r="M899" s="4"/>
      <c r="N899" s="4"/>
      <c r="O899" s="4"/>
      <c r="P899" s="4"/>
      <c r="Q899" s="4"/>
      <c r="R899" s="109"/>
      <c r="S899" s="4"/>
      <c r="T899" s="4"/>
      <c r="U899" s="4"/>
      <c r="V899" s="4"/>
      <c r="W899" s="4"/>
      <c r="X899" s="4"/>
      <c r="Y899" s="4"/>
      <c r="Z899" s="4"/>
      <c r="AA899" s="4"/>
      <c r="AB899" s="4"/>
      <c r="AC899" s="4"/>
      <c r="AD899" s="4"/>
      <c r="AE899" s="4"/>
      <c r="AF899" s="4"/>
    </row>
    <row r="900">
      <c r="A900" s="4"/>
      <c r="B900" s="4"/>
      <c r="C900" s="69"/>
      <c r="D900" s="153"/>
      <c r="E900" s="153"/>
      <c r="F900" s="69"/>
      <c r="G900" s="155"/>
      <c r="H900" s="4"/>
      <c r="I900" s="4"/>
      <c r="J900" s="4"/>
      <c r="K900" s="4"/>
      <c r="L900" s="155"/>
      <c r="M900" s="4"/>
      <c r="N900" s="4"/>
      <c r="O900" s="4"/>
      <c r="P900" s="4"/>
      <c r="Q900" s="4"/>
      <c r="R900" s="109"/>
      <c r="S900" s="4"/>
      <c r="T900" s="4"/>
      <c r="U900" s="4"/>
      <c r="V900" s="4"/>
      <c r="W900" s="4"/>
      <c r="X900" s="4"/>
      <c r="Y900" s="4"/>
      <c r="Z900" s="4"/>
      <c r="AA900" s="4"/>
      <c r="AB900" s="4"/>
      <c r="AC900" s="4"/>
      <c r="AD900" s="4"/>
      <c r="AE900" s="4"/>
      <c r="AF900" s="4"/>
    </row>
    <row r="901">
      <c r="A901" s="4"/>
      <c r="B901" s="4"/>
      <c r="C901" s="69"/>
      <c r="D901" s="153"/>
      <c r="E901" s="153"/>
      <c r="F901" s="69"/>
      <c r="G901" s="155"/>
      <c r="H901" s="4"/>
      <c r="I901" s="4"/>
      <c r="J901" s="4"/>
      <c r="K901" s="4"/>
      <c r="L901" s="155"/>
      <c r="M901" s="4"/>
      <c r="N901" s="4"/>
      <c r="O901" s="4"/>
      <c r="P901" s="4"/>
      <c r="Q901" s="4"/>
      <c r="R901" s="109"/>
      <c r="S901" s="4"/>
      <c r="T901" s="4"/>
      <c r="U901" s="4"/>
      <c r="V901" s="4"/>
      <c r="W901" s="4"/>
      <c r="X901" s="4"/>
      <c r="Y901" s="4"/>
      <c r="Z901" s="4"/>
      <c r="AA901" s="4"/>
      <c r="AB901" s="4"/>
      <c r="AC901" s="4"/>
      <c r="AD901" s="4"/>
      <c r="AE901" s="4"/>
      <c r="AF901" s="4"/>
    </row>
    <row r="902">
      <c r="A902" s="4"/>
      <c r="B902" s="4"/>
      <c r="C902" s="69"/>
      <c r="D902" s="153"/>
      <c r="E902" s="153"/>
      <c r="F902" s="69"/>
      <c r="G902" s="155"/>
      <c r="H902" s="4"/>
      <c r="I902" s="4"/>
      <c r="J902" s="4"/>
      <c r="K902" s="4"/>
      <c r="L902" s="155"/>
      <c r="M902" s="4"/>
      <c r="N902" s="4"/>
      <c r="O902" s="4"/>
      <c r="P902" s="4"/>
      <c r="Q902" s="4"/>
      <c r="R902" s="109"/>
      <c r="S902" s="4"/>
      <c r="T902" s="4"/>
      <c r="U902" s="4"/>
      <c r="V902" s="4"/>
      <c r="W902" s="4"/>
      <c r="X902" s="4"/>
      <c r="Y902" s="4"/>
      <c r="Z902" s="4"/>
      <c r="AA902" s="4"/>
      <c r="AB902" s="4"/>
      <c r="AC902" s="4"/>
      <c r="AD902" s="4"/>
      <c r="AE902" s="4"/>
      <c r="AF902" s="4"/>
    </row>
    <row r="903">
      <c r="A903" s="4"/>
      <c r="B903" s="4"/>
      <c r="C903" s="69"/>
      <c r="D903" s="153"/>
      <c r="E903" s="153"/>
      <c r="F903" s="69"/>
      <c r="G903" s="155"/>
      <c r="H903" s="4"/>
      <c r="I903" s="4"/>
      <c r="J903" s="4"/>
      <c r="K903" s="4"/>
      <c r="L903" s="155"/>
      <c r="M903" s="4"/>
      <c r="N903" s="4"/>
      <c r="O903" s="4"/>
      <c r="P903" s="4"/>
      <c r="Q903" s="4"/>
      <c r="R903" s="109"/>
      <c r="S903" s="4"/>
      <c r="T903" s="4"/>
      <c r="U903" s="4"/>
      <c r="V903" s="4"/>
      <c r="W903" s="4"/>
      <c r="X903" s="4"/>
      <c r="Y903" s="4"/>
      <c r="Z903" s="4"/>
      <c r="AA903" s="4"/>
      <c r="AB903" s="4"/>
      <c r="AC903" s="4"/>
      <c r="AD903" s="4"/>
      <c r="AE903" s="4"/>
      <c r="AF903" s="4"/>
    </row>
    <row r="904">
      <c r="A904" s="4"/>
      <c r="B904" s="4"/>
      <c r="C904" s="69"/>
      <c r="D904" s="153"/>
      <c r="E904" s="153"/>
      <c r="F904" s="69"/>
      <c r="G904" s="155"/>
      <c r="H904" s="4"/>
      <c r="I904" s="4"/>
      <c r="J904" s="4"/>
      <c r="K904" s="4"/>
      <c r="L904" s="155"/>
      <c r="M904" s="4"/>
      <c r="N904" s="4"/>
      <c r="O904" s="4"/>
      <c r="P904" s="4"/>
      <c r="Q904" s="4"/>
      <c r="R904" s="109"/>
      <c r="S904" s="4"/>
      <c r="T904" s="4"/>
      <c r="U904" s="4"/>
      <c r="V904" s="4"/>
      <c r="W904" s="4"/>
      <c r="X904" s="4"/>
      <c r="Y904" s="4"/>
      <c r="Z904" s="4"/>
      <c r="AA904" s="4"/>
      <c r="AB904" s="4"/>
      <c r="AC904" s="4"/>
      <c r="AD904" s="4"/>
      <c r="AE904" s="4"/>
      <c r="AF904" s="4"/>
    </row>
    <row r="905">
      <c r="A905" s="4"/>
      <c r="B905" s="4"/>
      <c r="C905" s="69"/>
      <c r="D905" s="153"/>
      <c r="E905" s="153"/>
      <c r="F905" s="69"/>
      <c r="G905" s="155"/>
      <c r="H905" s="4"/>
      <c r="I905" s="4"/>
      <c r="J905" s="4"/>
      <c r="K905" s="4"/>
      <c r="L905" s="155"/>
      <c r="M905" s="4"/>
      <c r="N905" s="4"/>
      <c r="O905" s="4"/>
      <c r="P905" s="4"/>
      <c r="Q905" s="4"/>
      <c r="R905" s="109"/>
      <c r="S905" s="4"/>
      <c r="T905" s="4"/>
      <c r="U905" s="4"/>
      <c r="V905" s="4"/>
      <c r="W905" s="4"/>
      <c r="X905" s="4"/>
      <c r="Y905" s="4"/>
      <c r="Z905" s="4"/>
      <c r="AA905" s="4"/>
      <c r="AB905" s="4"/>
      <c r="AC905" s="4"/>
      <c r="AD905" s="4"/>
      <c r="AE905" s="4"/>
      <c r="AF905" s="4"/>
    </row>
    <row r="906">
      <c r="A906" s="4"/>
      <c r="B906" s="4"/>
      <c r="C906" s="69"/>
      <c r="D906" s="153"/>
      <c r="E906" s="153"/>
      <c r="F906" s="69"/>
      <c r="G906" s="155"/>
      <c r="H906" s="4"/>
      <c r="I906" s="4"/>
      <c r="J906" s="4"/>
      <c r="K906" s="4"/>
      <c r="L906" s="155"/>
      <c r="M906" s="4"/>
      <c r="N906" s="4"/>
      <c r="O906" s="4"/>
      <c r="P906" s="4"/>
      <c r="Q906" s="4"/>
      <c r="R906" s="109"/>
      <c r="S906" s="4"/>
      <c r="T906" s="4"/>
      <c r="U906" s="4"/>
      <c r="V906" s="4"/>
      <c r="W906" s="4"/>
      <c r="X906" s="4"/>
      <c r="Y906" s="4"/>
      <c r="Z906" s="4"/>
      <c r="AA906" s="4"/>
      <c r="AB906" s="4"/>
      <c r="AC906" s="4"/>
      <c r="AD906" s="4"/>
      <c r="AE906" s="4"/>
      <c r="AF906" s="4"/>
    </row>
    <row r="907">
      <c r="A907" s="4"/>
      <c r="B907" s="4"/>
      <c r="C907" s="69"/>
      <c r="D907" s="153"/>
      <c r="E907" s="153"/>
      <c r="F907" s="69"/>
      <c r="G907" s="155"/>
      <c r="H907" s="4"/>
      <c r="I907" s="4"/>
      <c r="J907" s="4"/>
      <c r="K907" s="4"/>
      <c r="L907" s="155"/>
      <c r="M907" s="4"/>
      <c r="N907" s="4"/>
      <c r="O907" s="4"/>
      <c r="P907" s="4"/>
      <c r="Q907" s="4"/>
      <c r="R907" s="109"/>
      <c r="S907" s="4"/>
      <c r="T907" s="4"/>
      <c r="U907" s="4"/>
      <c r="V907" s="4"/>
      <c r="W907" s="4"/>
      <c r="X907" s="4"/>
      <c r="Y907" s="4"/>
      <c r="Z907" s="4"/>
      <c r="AA907" s="4"/>
      <c r="AB907" s="4"/>
      <c r="AC907" s="4"/>
      <c r="AD907" s="4"/>
      <c r="AE907" s="4"/>
      <c r="AF907" s="4"/>
    </row>
    <row r="908">
      <c r="A908" s="4"/>
      <c r="B908" s="4"/>
      <c r="C908" s="69"/>
      <c r="D908" s="153"/>
      <c r="E908" s="153"/>
      <c r="F908" s="69"/>
      <c r="G908" s="155"/>
      <c r="H908" s="4"/>
      <c r="I908" s="4"/>
      <c r="J908" s="4"/>
      <c r="K908" s="4"/>
      <c r="L908" s="155"/>
      <c r="M908" s="4"/>
      <c r="N908" s="4"/>
      <c r="O908" s="4"/>
      <c r="P908" s="4"/>
      <c r="Q908" s="4"/>
      <c r="R908" s="109"/>
      <c r="S908" s="4"/>
      <c r="T908" s="4"/>
      <c r="U908" s="4"/>
      <c r="V908" s="4"/>
      <c r="W908" s="4"/>
      <c r="X908" s="4"/>
      <c r="Y908" s="4"/>
      <c r="Z908" s="4"/>
      <c r="AA908" s="4"/>
      <c r="AB908" s="4"/>
      <c r="AC908" s="4"/>
      <c r="AD908" s="4"/>
      <c r="AE908" s="4"/>
      <c r="AF908" s="4"/>
    </row>
    <row r="909">
      <c r="A909" s="4"/>
      <c r="B909" s="4"/>
      <c r="C909" s="69"/>
      <c r="D909" s="153"/>
      <c r="E909" s="153"/>
      <c r="F909" s="69"/>
      <c r="G909" s="155"/>
      <c r="H909" s="4"/>
      <c r="I909" s="4"/>
      <c r="J909" s="4"/>
      <c r="K909" s="4"/>
      <c r="L909" s="155"/>
      <c r="M909" s="4"/>
      <c r="N909" s="4"/>
      <c r="O909" s="4"/>
      <c r="P909" s="4"/>
      <c r="Q909" s="4"/>
      <c r="R909" s="109"/>
      <c r="S909" s="4"/>
      <c r="T909" s="4"/>
      <c r="U909" s="4"/>
      <c r="V909" s="4"/>
      <c r="W909" s="4"/>
      <c r="X909" s="4"/>
      <c r="Y909" s="4"/>
      <c r="Z909" s="4"/>
      <c r="AA909" s="4"/>
      <c r="AB909" s="4"/>
      <c r="AC909" s="4"/>
      <c r="AD909" s="4"/>
      <c r="AE909" s="4"/>
      <c r="AF909" s="4"/>
    </row>
    <row r="910">
      <c r="A910" s="4"/>
      <c r="B910" s="4"/>
      <c r="C910" s="69"/>
      <c r="D910" s="153"/>
      <c r="E910" s="153"/>
      <c r="F910" s="69"/>
      <c r="G910" s="155"/>
      <c r="H910" s="4"/>
      <c r="I910" s="4"/>
      <c r="J910" s="4"/>
      <c r="K910" s="4"/>
      <c r="L910" s="155"/>
      <c r="M910" s="4"/>
      <c r="N910" s="4"/>
      <c r="O910" s="4"/>
      <c r="P910" s="4"/>
      <c r="Q910" s="4"/>
      <c r="R910" s="109"/>
      <c r="S910" s="4"/>
      <c r="T910" s="4"/>
      <c r="U910" s="4"/>
      <c r="V910" s="4"/>
      <c r="W910" s="4"/>
      <c r="X910" s="4"/>
      <c r="Y910" s="4"/>
      <c r="Z910" s="4"/>
      <c r="AA910" s="4"/>
      <c r="AB910" s="4"/>
      <c r="AC910" s="4"/>
      <c r="AD910" s="4"/>
      <c r="AE910" s="4"/>
      <c r="AF910" s="4"/>
    </row>
    <row r="911">
      <c r="A911" s="4"/>
      <c r="B911" s="4"/>
      <c r="C911" s="69"/>
      <c r="D911" s="153"/>
      <c r="E911" s="153"/>
      <c r="F911" s="69"/>
      <c r="G911" s="155"/>
      <c r="H911" s="4"/>
      <c r="I911" s="4"/>
      <c r="J911" s="4"/>
      <c r="K911" s="4"/>
      <c r="L911" s="155"/>
      <c r="M911" s="4"/>
      <c r="N911" s="4"/>
      <c r="O911" s="4"/>
      <c r="P911" s="4"/>
      <c r="Q911" s="4"/>
      <c r="R911" s="109"/>
      <c r="S911" s="4"/>
      <c r="T911" s="4"/>
      <c r="U911" s="4"/>
      <c r="V911" s="4"/>
      <c r="W911" s="4"/>
      <c r="X911" s="4"/>
      <c r="Y911" s="4"/>
      <c r="Z911" s="4"/>
      <c r="AA911" s="4"/>
      <c r="AB911" s="4"/>
      <c r="AC911" s="4"/>
      <c r="AD911" s="4"/>
      <c r="AE911" s="4"/>
      <c r="AF911" s="4"/>
    </row>
    <row r="912">
      <c r="A912" s="4"/>
      <c r="B912" s="4"/>
      <c r="C912" s="69"/>
      <c r="D912" s="153"/>
      <c r="E912" s="153"/>
      <c r="F912" s="69"/>
      <c r="G912" s="155"/>
      <c r="H912" s="4"/>
      <c r="I912" s="4"/>
      <c r="J912" s="4"/>
      <c r="K912" s="4"/>
      <c r="L912" s="155"/>
      <c r="M912" s="4"/>
      <c r="N912" s="4"/>
      <c r="O912" s="4"/>
      <c r="P912" s="4"/>
      <c r="Q912" s="4"/>
      <c r="R912" s="109"/>
      <c r="S912" s="4"/>
      <c r="T912" s="4"/>
      <c r="U912" s="4"/>
      <c r="V912" s="4"/>
      <c r="W912" s="4"/>
      <c r="X912" s="4"/>
      <c r="Y912" s="4"/>
      <c r="Z912" s="4"/>
      <c r="AA912" s="4"/>
      <c r="AB912" s="4"/>
      <c r="AC912" s="4"/>
      <c r="AD912" s="4"/>
      <c r="AE912" s="4"/>
      <c r="AF912" s="4"/>
    </row>
    <row r="913">
      <c r="A913" s="4"/>
      <c r="B913" s="4"/>
      <c r="C913" s="69"/>
      <c r="D913" s="153"/>
      <c r="E913" s="153"/>
      <c r="F913" s="69"/>
      <c r="G913" s="155"/>
      <c r="H913" s="4"/>
      <c r="I913" s="4"/>
      <c r="J913" s="4"/>
      <c r="K913" s="4"/>
      <c r="L913" s="155"/>
      <c r="M913" s="4"/>
      <c r="N913" s="4"/>
      <c r="O913" s="4"/>
      <c r="P913" s="4"/>
      <c r="Q913" s="4"/>
      <c r="R913" s="109"/>
      <c r="S913" s="4"/>
      <c r="T913" s="4"/>
      <c r="U913" s="4"/>
      <c r="V913" s="4"/>
      <c r="W913" s="4"/>
      <c r="X913" s="4"/>
      <c r="Y913" s="4"/>
      <c r="Z913" s="4"/>
      <c r="AA913" s="4"/>
      <c r="AB913" s="4"/>
      <c r="AC913" s="4"/>
      <c r="AD913" s="4"/>
      <c r="AE913" s="4"/>
      <c r="AF913" s="4"/>
    </row>
    <row r="914">
      <c r="A914" s="4"/>
      <c r="B914" s="4"/>
      <c r="C914" s="69"/>
      <c r="D914" s="153"/>
      <c r="E914" s="153"/>
      <c r="F914" s="69"/>
      <c r="G914" s="155"/>
      <c r="H914" s="4"/>
      <c r="I914" s="4"/>
      <c r="J914" s="4"/>
      <c r="K914" s="4"/>
      <c r="L914" s="155"/>
      <c r="M914" s="4"/>
      <c r="N914" s="4"/>
      <c r="O914" s="4"/>
      <c r="P914" s="4"/>
      <c r="Q914" s="4"/>
      <c r="R914" s="109"/>
      <c r="S914" s="4"/>
      <c r="T914" s="4"/>
      <c r="U914" s="4"/>
      <c r="V914" s="4"/>
      <c r="W914" s="4"/>
      <c r="X914" s="4"/>
      <c r="Y914" s="4"/>
      <c r="Z914" s="4"/>
      <c r="AA914" s="4"/>
      <c r="AB914" s="4"/>
      <c r="AC914" s="4"/>
      <c r="AD914" s="4"/>
      <c r="AE914" s="4"/>
      <c r="AF914" s="4"/>
    </row>
    <row r="915">
      <c r="A915" s="4"/>
      <c r="B915" s="4"/>
      <c r="C915" s="69"/>
      <c r="D915" s="153"/>
      <c r="E915" s="153"/>
      <c r="F915" s="69"/>
      <c r="G915" s="155"/>
      <c r="H915" s="4"/>
      <c r="I915" s="4"/>
      <c r="J915" s="4"/>
      <c r="K915" s="4"/>
      <c r="L915" s="155"/>
      <c r="M915" s="4"/>
      <c r="N915" s="4"/>
      <c r="O915" s="4"/>
      <c r="P915" s="4"/>
      <c r="Q915" s="4"/>
      <c r="R915" s="109"/>
      <c r="S915" s="4"/>
      <c r="T915" s="4"/>
      <c r="U915" s="4"/>
      <c r="V915" s="4"/>
      <c r="W915" s="4"/>
      <c r="X915" s="4"/>
      <c r="Y915" s="4"/>
      <c r="Z915" s="4"/>
      <c r="AA915" s="4"/>
      <c r="AB915" s="4"/>
      <c r="AC915" s="4"/>
      <c r="AD915" s="4"/>
      <c r="AE915" s="4"/>
      <c r="AF915" s="4"/>
    </row>
    <row r="916">
      <c r="A916" s="4"/>
      <c r="B916" s="4"/>
      <c r="C916" s="69"/>
      <c r="D916" s="153"/>
      <c r="E916" s="153"/>
      <c r="F916" s="69"/>
      <c r="G916" s="155"/>
      <c r="H916" s="4"/>
      <c r="I916" s="4"/>
      <c r="J916" s="4"/>
      <c r="K916" s="4"/>
      <c r="L916" s="155"/>
      <c r="M916" s="4"/>
      <c r="N916" s="4"/>
      <c r="O916" s="4"/>
      <c r="P916" s="4"/>
      <c r="Q916" s="4"/>
      <c r="R916" s="109"/>
      <c r="S916" s="4"/>
      <c r="T916" s="4"/>
      <c r="U916" s="4"/>
      <c r="V916" s="4"/>
      <c r="W916" s="4"/>
      <c r="X916" s="4"/>
      <c r="Y916" s="4"/>
      <c r="Z916" s="4"/>
      <c r="AA916" s="4"/>
      <c r="AB916" s="4"/>
      <c r="AC916" s="4"/>
      <c r="AD916" s="4"/>
      <c r="AE916" s="4"/>
      <c r="AF916" s="4"/>
    </row>
    <row r="917">
      <c r="A917" s="4"/>
      <c r="B917" s="4"/>
      <c r="C917" s="69"/>
      <c r="D917" s="153"/>
      <c r="E917" s="153"/>
      <c r="F917" s="69"/>
      <c r="G917" s="155"/>
      <c r="H917" s="4"/>
      <c r="I917" s="4"/>
      <c r="J917" s="4"/>
      <c r="K917" s="4"/>
      <c r="L917" s="155"/>
      <c r="M917" s="4"/>
      <c r="N917" s="4"/>
      <c r="O917" s="4"/>
      <c r="P917" s="4"/>
      <c r="Q917" s="4"/>
      <c r="R917" s="109"/>
      <c r="S917" s="4"/>
      <c r="T917" s="4"/>
      <c r="U917" s="4"/>
      <c r="V917" s="4"/>
      <c r="W917" s="4"/>
      <c r="X917" s="4"/>
      <c r="Y917" s="4"/>
      <c r="Z917" s="4"/>
      <c r="AA917" s="4"/>
      <c r="AB917" s="4"/>
      <c r="AC917" s="4"/>
      <c r="AD917" s="4"/>
      <c r="AE917" s="4"/>
      <c r="AF917" s="4"/>
    </row>
    <row r="918">
      <c r="A918" s="4"/>
      <c r="B918" s="4"/>
      <c r="C918" s="69"/>
      <c r="D918" s="153"/>
      <c r="E918" s="153"/>
      <c r="F918" s="69"/>
      <c r="G918" s="155"/>
      <c r="H918" s="4"/>
      <c r="I918" s="4"/>
      <c r="J918" s="4"/>
      <c r="K918" s="4"/>
      <c r="L918" s="155"/>
      <c r="M918" s="4"/>
      <c r="N918" s="4"/>
      <c r="O918" s="4"/>
      <c r="P918" s="4"/>
      <c r="Q918" s="4"/>
      <c r="R918" s="109"/>
      <c r="S918" s="4"/>
      <c r="T918" s="4"/>
      <c r="U918" s="4"/>
      <c r="V918" s="4"/>
      <c r="W918" s="4"/>
      <c r="X918" s="4"/>
      <c r="Y918" s="4"/>
      <c r="Z918" s="4"/>
      <c r="AA918" s="4"/>
      <c r="AB918" s="4"/>
      <c r="AC918" s="4"/>
      <c r="AD918" s="4"/>
      <c r="AE918" s="4"/>
      <c r="AF918" s="4"/>
    </row>
    <row r="919">
      <c r="A919" s="4"/>
      <c r="B919" s="4"/>
      <c r="C919" s="69"/>
      <c r="D919" s="153"/>
      <c r="E919" s="153"/>
      <c r="F919" s="69"/>
      <c r="G919" s="155"/>
      <c r="H919" s="4"/>
      <c r="I919" s="4"/>
      <c r="J919" s="4"/>
      <c r="K919" s="4"/>
      <c r="L919" s="155"/>
      <c r="M919" s="4"/>
      <c r="N919" s="4"/>
      <c r="O919" s="4"/>
      <c r="P919" s="4"/>
      <c r="Q919" s="4"/>
      <c r="R919" s="109"/>
      <c r="S919" s="4"/>
      <c r="T919" s="4"/>
      <c r="U919" s="4"/>
      <c r="V919" s="4"/>
      <c r="W919" s="4"/>
      <c r="X919" s="4"/>
      <c r="Y919" s="4"/>
      <c r="Z919" s="4"/>
      <c r="AA919" s="4"/>
      <c r="AB919" s="4"/>
      <c r="AC919" s="4"/>
      <c r="AD919" s="4"/>
      <c r="AE919" s="4"/>
      <c r="AF919" s="4"/>
    </row>
    <row r="920">
      <c r="A920" s="4"/>
      <c r="B920" s="4"/>
      <c r="C920" s="69"/>
      <c r="D920" s="153"/>
      <c r="E920" s="153"/>
      <c r="F920" s="69"/>
      <c r="G920" s="155"/>
      <c r="H920" s="4"/>
      <c r="I920" s="4"/>
      <c r="J920" s="4"/>
      <c r="K920" s="4"/>
      <c r="L920" s="155"/>
      <c r="M920" s="4"/>
      <c r="N920" s="4"/>
      <c r="O920" s="4"/>
      <c r="P920" s="4"/>
      <c r="Q920" s="4"/>
      <c r="R920" s="109"/>
      <c r="S920" s="4"/>
      <c r="T920" s="4"/>
      <c r="U920" s="4"/>
      <c r="V920" s="4"/>
      <c r="W920" s="4"/>
      <c r="X920" s="4"/>
      <c r="Y920" s="4"/>
      <c r="Z920" s="4"/>
      <c r="AA920" s="4"/>
      <c r="AB920" s="4"/>
      <c r="AC920" s="4"/>
      <c r="AD920" s="4"/>
      <c r="AE920" s="4"/>
      <c r="AF920" s="4"/>
    </row>
    <row r="921">
      <c r="A921" s="4"/>
      <c r="B921" s="4"/>
      <c r="C921" s="69"/>
      <c r="D921" s="153"/>
      <c r="E921" s="153"/>
      <c r="F921" s="69"/>
      <c r="G921" s="155"/>
      <c r="H921" s="4"/>
      <c r="I921" s="4"/>
      <c r="J921" s="4"/>
      <c r="K921" s="4"/>
      <c r="L921" s="155"/>
      <c r="M921" s="4"/>
      <c r="N921" s="4"/>
      <c r="O921" s="4"/>
      <c r="P921" s="4"/>
      <c r="Q921" s="4"/>
      <c r="R921" s="109"/>
      <c r="S921" s="4"/>
      <c r="T921" s="4"/>
      <c r="U921" s="4"/>
      <c r="V921" s="4"/>
      <c r="W921" s="4"/>
      <c r="X921" s="4"/>
      <c r="Y921" s="4"/>
      <c r="Z921" s="4"/>
      <c r="AA921" s="4"/>
      <c r="AB921" s="4"/>
      <c r="AC921" s="4"/>
      <c r="AD921" s="4"/>
      <c r="AE921" s="4"/>
      <c r="AF921" s="4"/>
    </row>
    <row r="922">
      <c r="A922" s="4"/>
      <c r="B922" s="4"/>
      <c r="C922" s="69"/>
      <c r="D922" s="153"/>
      <c r="E922" s="153"/>
      <c r="F922" s="69"/>
      <c r="G922" s="155"/>
      <c r="H922" s="4"/>
      <c r="I922" s="4"/>
      <c r="J922" s="4"/>
      <c r="K922" s="4"/>
      <c r="L922" s="155"/>
      <c r="M922" s="4"/>
      <c r="N922" s="4"/>
      <c r="O922" s="4"/>
      <c r="P922" s="4"/>
      <c r="Q922" s="4"/>
      <c r="R922" s="109"/>
      <c r="S922" s="4"/>
      <c r="T922" s="4"/>
      <c r="U922" s="4"/>
      <c r="V922" s="4"/>
      <c r="W922" s="4"/>
      <c r="X922" s="4"/>
      <c r="Y922" s="4"/>
      <c r="Z922" s="4"/>
      <c r="AA922" s="4"/>
      <c r="AB922" s="4"/>
      <c r="AC922" s="4"/>
      <c r="AD922" s="4"/>
      <c r="AE922" s="4"/>
      <c r="AF922" s="4"/>
    </row>
    <row r="923">
      <c r="A923" s="4"/>
      <c r="B923" s="4"/>
      <c r="C923" s="69"/>
      <c r="D923" s="153"/>
      <c r="E923" s="153"/>
      <c r="F923" s="69"/>
      <c r="G923" s="155"/>
      <c r="H923" s="4"/>
      <c r="I923" s="4"/>
      <c r="J923" s="4"/>
      <c r="K923" s="4"/>
      <c r="L923" s="155"/>
      <c r="M923" s="4"/>
      <c r="N923" s="4"/>
      <c r="O923" s="4"/>
      <c r="P923" s="4"/>
      <c r="Q923" s="4"/>
      <c r="R923" s="109"/>
      <c r="S923" s="4"/>
      <c r="T923" s="4"/>
      <c r="U923" s="4"/>
      <c r="V923" s="4"/>
      <c r="W923" s="4"/>
      <c r="X923" s="4"/>
      <c r="Y923" s="4"/>
      <c r="Z923" s="4"/>
      <c r="AA923" s="4"/>
      <c r="AB923" s="4"/>
      <c r="AC923" s="4"/>
      <c r="AD923" s="4"/>
      <c r="AE923" s="4"/>
      <c r="AF923" s="4"/>
    </row>
    <row r="924">
      <c r="A924" s="4"/>
      <c r="B924" s="4"/>
      <c r="C924" s="69"/>
      <c r="D924" s="153"/>
      <c r="E924" s="153"/>
      <c r="F924" s="69"/>
      <c r="G924" s="155"/>
      <c r="H924" s="4"/>
      <c r="I924" s="4"/>
      <c r="J924" s="4"/>
      <c r="K924" s="4"/>
      <c r="L924" s="155"/>
      <c r="M924" s="4"/>
      <c r="N924" s="4"/>
      <c r="O924" s="4"/>
      <c r="P924" s="4"/>
      <c r="Q924" s="4"/>
      <c r="R924" s="109"/>
      <c r="S924" s="4"/>
      <c r="T924" s="4"/>
      <c r="U924" s="4"/>
      <c r="V924" s="4"/>
      <c r="W924" s="4"/>
      <c r="X924" s="4"/>
      <c r="Y924" s="4"/>
      <c r="Z924" s="4"/>
      <c r="AA924" s="4"/>
      <c r="AB924" s="4"/>
      <c r="AC924" s="4"/>
      <c r="AD924" s="4"/>
      <c r="AE924" s="4"/>
      <c r="AF924" s="4"/>
    </row>
    <row r="925">
      <c r="A925" s="4"/>
      <c r="B925" s="4"/>
      <c r="C925" s="69"/>
      <c r="D925" s="153"/>
      <c r="E925" s="153"/>
      <c r="F925" s="69"/>
      <c r="G925" s="155"/>
      <c r="H925" s="4"/>
      <c r="I925" s="4"/>
      <c r="J925" s="4"/>
      <c r="K925" s="4"/>
      <c r="L925" s="155"/>
      <c r="M925" s="4"/>
      <c r="N925" s="4"/>
      <c r="O925" s="4"/>
      <c r="P925" s="4"/>
      <c r="Q925" s="4"/>
      <c r="R925" s="109"/>
      <c r="S925" s="4"/>
      <c r="T925" s="4"/>
      <c r="U925" s="4"/>
      <c r="V925" s="4"/>
      <c r="W925" s="4"/>
      <c r="X925" s="4"/>
      <c r="Y925" s="4"/>
      <c r="Z925" s="4"/>
      <c r="AA925" s="4"/>
      <c r="AB925" s="4"/>
      <c r="AC925" s="4"/>
      <c r="AD925" s="4"/>
      <c r="AE925" s="4"/>
      <c r="AF925" s="4"/>
    </row>
    <row r="926">
      <c r="A926" s="4"/>
      <c r="B926" s="4"/>
      <c r="C926" s="69"/>
      <c r="D926" s="153"/>
      <c r="E926" s="153"/>
      <c r="F926" s="69"/>
      <c r="G926" s="155"/>
      <c r="H926" s="4"/>
      <c r="I926" s="4"/>
      <c r="J926" s="4"/>
      <c r="K926" s="4"/>
      <c r="L926" s="155"/>
      <c r="M926" s="4"/>
      <c r="N926" s="4"/>
      <c r="O926" s="4"/>
      <c r="P926" s="4"/>
      <c r="Q926" s="4"/>
      <c r="R926" s="109"/>
      <c r="S926" s="4"/>
      <c r="T926" s="4"/>
      <c r="U926" s="4"/>
      <c r="V926" s="4"/>
      <c r="W926" s="4"/>
      <c r="X926" s="4"/>
      <c r="Y926" s="4"/>
      <c r="Z926" s="4"/>
      <c r="AA926" s="4"/>
      <c r="AB926" s="4"/>
      <c r="AC926" s="4"/>
      <c r="AD926" s="4"/>
      <c r="AE926" s="4"/>
      <c r="AF926" s="4"/>
    </row>
    <row r="927">
      <c r="A927" s="4"/>
      <c r="B927" s="4"/>
      <c r="C927" s="69"/>
      <c r="D927" s="153"/>
      <c r="E927" s="153"/>
      <c r="F927" s="69"/>
      <c r="G927" s="155"/>
      <c r="H927" s="4"/>
      <c r="I927" s="4"/>
      <c r="J927" s="4"/>
      <c r="K927" s="4"/>
      <c r="L927" s="155"/>
      <c r="M927" s="4"/>
      <c r="N927" s="4"/>
      <c r="O927" s="4"/>
      <c r="P927" s="4"/>
      <c r="Q927" s="4"/>
      <c r="R927" s="109"/>
      <c r="S927" s="4"/>
      <c r="T927" s="4"/>
      <c r="U927" s="4"/>
      <c r="V927" s="4"/>
      <c r="W927" s="4"/>
      <c r="X927" s="4"/>
      <c r="Y927" s="4"/>
      <c r="Z927" s="4"/>
      <c r="AA927" s="4"/>
      <c r="AB927" s="4"/>
      <c r="AC927" s="4"/>
      <c r="AD927" s="4"/>
      <c r="AE927" s="4"/>
      <c r="AF927" s="4"/>
    </row>
    <row r="928">
      <c r="A928" s="4"/>
      <c r="B928" s="4"/>
      <c r="C928" s="69"/>
      <c r="D928" s="153"/>
      <c r="E928" s="153"/>
      <c r="F928" s="69"/>
      <c r="G928" s="155"/>
      <c r="H928" s="4"/>
      <c r="I928" s="4"/>
      <c r="J928" s="4"/>
      <c r="K928" s="4"/>
      <c r="L928" s="155"/>
      <c r="M928" s="4"/>
      <c r="N928" s="4"/>
      <c r="O928" s="4"/>
      <c r="P928" s="4"/>
      <c r="Q928" s="4"/>
      <c r="R928" s="109"/>
      <c r="S928" s="4"/>
      <c r="T928" s="4"/>
      <c r="U928" s="4"/>
      <c r="V928" s="4"/>
      <c r="W928" s="4"/>
      <c r="X928" s="4"/>
      <c r="Y928" s="4"/>
      <c r="Z928" s="4"/>
      <c r="AA928" s="4"/>
      <c r="AB928" s="4"/>
      <c r="AC928" s="4"/>
      <c r="AD928" s="4"/>
      <c r="AE928" s="4"/>
      <c r="AF928" s="4"/>
    </row>
    <row r="929">
      <c r="A929" s="4"/>
      <c r="B929" s="4"/>
      <c r="C929" s="69"/>
      <c r="D929" s="153"/>
      <c r="E929" s="153"/>
      <c r="F929" s="69"/>
      <c r="G929" s="155"/>
      <c r="H929" s="4"/>
      <c r="I929" s="4"/>
      <c r="J929" s="4"/>
      <c r="K929" s="4"/>
      <c r="L929" s="155"/>
      <c r="M929" s="4"/>
      <c r="N929" s="4"/>
      <c r="O929" s="4"/>
      <c r="P929" s="4"/>
      <c r="Q929" s="4"/>
      <c r="R929" s="109"/>
      <c r="S929" s="4"/>
      <c r="T929" s="4"/>
      <c r="U929" s="4"/>
      <c r="V929" s="4"/>
      <c r="W929" s="4"/>
      <c r="X929" s="4"/>
      <c r="Y929" s="4"/>
      <c r="Z929" s="4"/>
      <c r="AA929" s="4"/>
      <c r="AB929" s="4"/>
      <c r="AC929" s="4"/>
      <c r="AD929" s="4"/>
      <c r="AE929" s="4"/>
      <c r="AF929" s="4"/>
    </row>
    <row r="930">
      <c r="A930" s="4"/>
      <c r="B930" s="4"/>
      <c r="C930" s="69"/>
      <c r="D930" s="153"/>
      <c r="E930" s="153"/>
      <c r="F930" s="69"/>
      <c r="G930" s="155"/>
      <c r="H930" s="4"/>
      <c r="I930" s="4"/>
      <c r="J930" s="4"/>
      <c r="K930" s="4"/>
      <c r="L930" s="155"/>
      <c r="M930" s="4"/>
      <c r="N930" s="4"/>
      <c r="O930" s="4"/>
      <c r="P930" s="4"/>
      <c r="Q930" s="4"/>
      <c r="R930" s="109"/>
      <c r="S930" s="4"/>
      <c r="T930" s="4"/>
      <c r="U930" s="4"/>
      <c r="V930" s="4"/>
      <c r="W930" s="4"/>
      <c r="X930" s="4"/>
      <c r="Y930" s="4"/>
      <c r="Z930" s="4"/>
      <c r="AA930" s="4"/>
      <c r="AB930" s="4"/>
      <c r="AC930" s="4"/>
      <c r="AD930" s="4"/>
      <c r="AE930" s="4"/>
      <c r="AF930" s="4"/>
    </row>
    <row r="931">
      <c r="A931" s="4"/>
      <c r="B931" s="4"/>
      <c r="C931" s="69"/>
      <c r="D931" s="153"/>
      <c r="E931" s="153"/>
      <c r="F931" s="69"/>
      <c r="G931" s="155"/>
      <c r="H931" s="4"/>
      <c r="I931" s="4"/>
      <c r="J931" s="4"/>
      <c r="K931" s="4"/>
      <c r="L931" s="155"/>
      <c r="M931" s="4"/>
      <c r="N931" s="4"/>
      <c r="O931" s="4"/>
      <c r="P931" s="4"/>
      <c r="Q931" s="4"/>
      <c r="R931" s="109"/>
      <c r="S931" s="4"/>
      <c r="T931" s="4"/>
      <c r="U931" s="4"/>
      <c r="V931" s="4"/>
      <c r="W931" s="4"/>
      <c r="X931" s="4"/>
      <c r="Y931" s="4"/>
      <c r="Z931" s="4"/>
      <c r="AA931" s="4"/>
      <c r="AB931" s="4"/>
      <c r="AC931" s="4"/>
      <c r="AD931" s="4"/>
      <c r="AE931" s="4"/>
      <c r="AF931" s="4"/>
    </row>
    <row r="932">
      <c r="A932" s="4"/>
      <c r="B932" s="4"/>
      <c r="C932" s="69"/>
      <c r="D932" s="153"/>
      <c r="E932" s="153"/>
      <c r="F932" s="69"/>
      <c r="G932" s="155"/>
      <c r="H932" s="4"/>
      <c r="I932" s="4"/>
      <c r="J932" s="4"/>
      <c r="K932" s="4"/>
      <c r="L932" s="155"/>
      <c r="M932" s="4"/>
      <c r="N932" s="4"/>
      <c r="O932" s="4"/>
      <c r="P932" s="4"/>
      <c r="Q932" s="4"/>
      <c r="R932" s="109"/>
      <c r="S932" s="4"/>
      <c r="T932" s="4"/>
      <c r="U932" s="4"/>
      <c r="V932" s="4"/>
      <c r="W932" s="4"/>
      <c r="X932" s="4"/>
      <c r="Y932" s="4"/>
      <c r="Z932" s="4"/>
      <c r="AA932" s="4"/>
      <c r="AB932" s="4"/>
      <c r="AC932" s="4"/>
      <c r="AD932" s="4"/>
      <c r="AE932" s="4"/>
      <c r="AF932" s="4"/>
    </row>
    <row r="933">
      <c r="A933" s="4"/>
      <c r="B933" s="4"/>
      <c r="C933" s="69"/>
      <c r="D933" s="153"/>
      <c r="E933" s="153"/>
      <c r="F933" s="69"/>
      <c r="G933" s="155"/>
      <c r="H933" s="4"/>
      <c r="I933" s="4"/>
      <c r="J933" s="4"/>
      <c r="K933" s="4"/>
      <c r="L933" s="155"/>
      <c r="M933" s="4"/>
      <c r="N933" s="4"/>
      <c r="O933" s="4"/>
      <c r="P933" s="4"/>
      <c r="Q933" s="4"/>
      <c r="R933" s="109"/>
      <c r="S933" s="4"/>
      <c r="T933" s="4"/>
      <c r="U933" s="4"/>
      <c r="V933" s="4"/>
      <c r="W933" s="4"/>
      <c r="X933" s="4"/>
      <c r="Y933" s="4"/>
      <c r="Z933" s="4"/>
      <c r="AA933" s="4"/>
      <c r="AB933" s="4"/>
      <c r="AC933" s="4"/>
      <c r="AD933" s="4"/>
      <c r="AE933" s="4"/>
      <c r="AF933" s="4"/>
    </row>
    <row r="934">
      <c r="A934" s="4"/>
      <c r="B934" s="4"/>
      <c r="C934" s="69"/>
      <c r="D934" s="153"/>
      <c r="E934" s="153"/>
      <c r="F934" s="69"/>
      <c r="G934" s="155"/>
      <c r="H934" s="4"/>
      <c r="I934" s="4"/>
      <c r="J934" s="4"/>
      <c r="K934" s="4"/>
      <c r="L934" s="155"/>
      <c r="M934" s="4"/>
      <c r="N934" s="4"/>
      <c r="O934" s="4"/>
      <c r="P934" s="4"/>
      <c r="Q934" s="4"/>
      <c r="R934" s="109"/>
      <c r="S934" s="4"/>
      <c r="T934" s="4"/>
      <c r="U934" s="4"/>
      <c r="V934" s="4"/>
      <c r="W934" s="4"/>
      <c r="X934" s="4"/>
      <c r="Y934" s="4"/>
      <c r="Z934" s="4"/>
      <c r="AA934" s="4"/>
      <c r="AB934" s="4"/>
      <c r="AC934" s="4"/>
      <c r="AD934" s="4"/>
      <c r="AE934" s="4"/>
      <c r="AF934" s="4"/>
    </row>
    <row r="935">
      <c r="A935" s="4"/>
      <c r="B935" s="4"/>
      <c r="C935" s="69"/>
      <c r="D935" s="153"/>
      <c r="E935" s="153"/>
      <c r="F935" s="69"/>
      <c r="G935" s="155"/>
      <c r="H935" s="4"/>
      <c r="I935" s="4"/>
      <c r="J935" s="4"/>
      <c r="K935" s="4"/>
      <c r="L935" s="155"/>
      <c r="M935" s="4"/>
      <c r="N935" s="4"/>
      <c r="O935" s="4"/>
      <c r="P935" s="4"/>
      <c r="Q935" s="4"/>
      <c r="R935" s="109"/>
      <c r="S935" s="4"/>
      <c r="T935" s="4"/>
      <c r="U935" s="4"/>
      <c r="V935" s="4"/>
      <c r="W935" s="4"/>
      <c r="X935" s="4"/>
      <c r="Y935" s="4"/>
      <c r="Z935" s="4"/>
      <c r="AA935" s="4"/>
      <c r="AB935" s="4"/>
      <c r="AC935" s="4"/>
      <c r="AD935" s="4"/>
      <c r="AE935" s="4"/>
      <c r="AF935" s="4"/>
    </row>
    <row r="936">
      <c r="A936" s="4"/>
      <c r="B936" s="4"/>
      <c r="C936" s="69"/>
      <c r="D936" s="153"/>
      <c r="E936" s="153"/>
      <c r="F936" s="69"/>
      <c r="G936" s="155"/>
      <c r="H936" s="4"/>
      <c r="I936" s="4"/>
      <c r="J936" s="4"/>
      <c r="K936" s="4"/>
      <c r="L936" s="155"/>
      <c r="M936" s="4"/>
      <c r="N936" s="4"/>
      <c r="O936" s="4"/>
      <c r="P936" s="4"/>
      <c r="Q936" s="4"/>
      <c r="R936" s="109"/>
      <c r="S936" s="4"/>
      <c r="T936" s="4"/>
      <c r="U936" s="4"/>
      <c r="V936" s="4"/>
      <c r="W936" s="4"/>
      <c r="X936" s="4"/>
      <c r="Y936" s="4"/>
      <c r="Z936" s="4"/>
      <c r="AA936" s="4"/>
      <c r="AB936" s="4"/>
      <c r="AC936" s="4"/>
      <c r="AD936" s="4"/>
      <c r="AE936" s="4"/>
      <c r="AF936" s="4"/>
    </row>
    <row r="937">
      <c r="A937" s="4"/>
      <c r="B937" s="4"/>
      <c r="C937" s="69"/>
      <c r="D937" s="153"/>
      <c r="E937" s="153"/>
      <c r="F937" s="69"/>
      <c r="G937" s="155"/>
      <c r="H937" s="4"/>
      <c r="I937" s="4"/>
      <c r="J937" s="4"/>
      <c r="K937" s="4"/>
      <c r="L937" s="155"/>
      <c r="M937" s="4"/>
      <c r="N937" s="4"/>
      <c r="O937" s="4"/>
      <c r="P937" s="4"/>
      <c r="Q937" s="4"/>
      <c r="R937" s="109"/>
      <c r="S937" s="4"/>
      <c r="T937" s="4"/>
      <c r="U937" s="4"/>
      <c r="V937" s="4"/>
      <c r="W937" s="4"/>
      <c r="X937" s="4"/>
      <c r="Y937" s="4"/>
      <c r="Z937" s="4"/>
      <c r="AA937" s="4"/>
      <c r="AB937" s="4"/>
      <c r="AC937" s="4"/>
      <c r="AD937" s="4"/>
      <c r="AE937" s="4"/>
      <c r="AF937" s="4"/>
    </row>
    <row r="938">
      <c r="A938" s="4"/>
      <c r="B938" s="4"/>
      <c r="C938" s="69"/>
      <c r="D938" s="153"/>
      <c r="E938" s="153"/>
      <c r="F938" s="69"/>
      <c r="G938" s="155"/>
      <c r="H938" s="4"/>
      <c r="I938" s="4"/>
      <c r="J938" s="4"/>
      <c r="K938" s="4"/>
      <c r="L938" s="155"/>
      <c r="M938" s="4"/>
      <c r="N938" s="4"/>
      <c r="O938" s="4"/>
      <c r="P938" s="4"/>
      <c r="Q938" s="4"/>
      <c r="R938" s="109"/>
      <c r="S938" s="4"/>
      <c r="T938" s="4"/>
      <c r="U938" s="4"/>
      <c r="V938" s="4"/>
      <c r="W938" s="4"/>
      <c r="X938" s="4"/>
      <c r="Y938" s="4"/>
      <c r="Z938" s="4"/>
      <c r="AA938" s="4"/>
      <c r="AB938" s="4"/>
      <c r="AC938" s="4"/>
      <c r="AD938" s="4"/>
      <c r="AE938" s="4"/>
      <c r="AF938" s="4"/>
    </row>
    <row r="939">
      <c r="A939" s="4"/>
      <c r="B939" s="4"/>
      <c r="C939" s="69"/>
      <c r="D939" s="153"/>
      <c r="E939" s="153"/>
      <c r="F939" s="69"/>
      <c r="G939" s="155"/>
      <c r="H939" s="4"/>
      <c r="I939" s="4"/>
      <c r="J939" s="4"/>
      <c r="K939" s="4"/>
      <c r="L939" s="155"/>
      <c r="M939" s="4"/>
      <c r="N939" s="4"/>
      <c r="O939" s="4"/>
      <c r="P939" s="4"/>
      <c r="Q939" s="4"/>
      <c r="R939" s="109"/>
      <c r="S939" s="4"/>
      <c r="T939" s="4"/>
      <c r="U939" s="4"/>
      <c r="V939" s="4"/>
      <c r="W939" s="4"/>
      <c r="X939" s="4"/>
      <c r="Y939" s="4"/>
      <c r="Z939" s="4"/>
      <c r="AA939" s="4"/>
      <c r="AB939" s="4"/>
      <c r="AC939" s="4"/>
      <c r="AD939" s="4"/>
      <c r="AE939" s="4"/>
      <c r="AF939" s="4"/>
    </row>
    <row r="940">
      <c r="A940" s="4"/>
      <c r="B940" s="4"/>
      <c r="C940" s="69"/>
      <c r="D940" s="153"/>
      <c r="E940" s="153"/>
      <c r="F940" s="69"/>
      <c r="G940" s="155"/>
      <c r="H940" s="4"/>
      <c r="I940" s="4"/>
      <c r="J940" s="4"/>
      <c r="K940" s="4"/>
      <c r="L940" s="155"/>
      <c r="M940" s="4"/>
      <c r="N940" s="4"/>
      <c r="O940" s="4"/>
      <c r="P940" s="4"/>
      <c r="Q940" s="4"/>
      <c r="R940" s="109"/>
      <c r="S940" s="4"/>
      <c r="T940" s="4"/>
      <c r="U940" s="4"/>
      <c r="V940" s="4"/>
      <c r="W940" s="4"/>
      <c r="X940" s="4"/>
      <c r="Y940" s="4"/>
      <c r="Z940" s="4"/>
      <c r="AA940" s="4"/>
      <c r="AB940" s="4"/>
      <c r="AC940" s="4"/>
      <c r="AD940" s="4"/>
      <c r="AE940" s="4"/>
      <c r="AF940" s="4"/>
    </row>
    <row r="941">
      <c r="A941" s="4"/>
      <c r="B941" s="4"/>
      <c r="C941" s="69"/>
      <c r="D941" s="153"/>
      <c r="E941" s="153"/>
      <c r="F941" s="69"/>
      <c r="G941" s="155"/>
      <c r="H941" s="4"/>
      <c r="I941" s="4"/>
      <c r="J941" s="4"/>
      <c r="K941" s="4"/>
      <c r="L941" s="155"/>
      <c r="M941" s="4"/>
      <c r="N941" s="4"/>
      <c r="O941" s="4"/>
      <c r="P941" s="4"/>
      <c r="Q941" s="4"/>
      <c r="R941" s="109"/>
      <c r="S941" s="4"/>
      <c r="T941" s="4"/>
      <c r="U941" s="4"/>
      <c r="V941" s="4"/>
      <c r="W941" s="4"/>
      <c r="X941" s="4"/>
      <c r="Y941" s="4"/>
      <c r="Z941" s="4"/>
      <c r="AA941" s="4"/>
      <c r="AB941" s="4"/>
      <c r="AC941" s="4"/>
      <c r="AD941" s="4"/>
      <c r="AE941" s="4"/>
      <c r="AF941" s="4"/>
    </row>
    <row r="942">
      <c r="A942" s="4"/>
      <c r="B942" s="4"/>
      <c r="C942" s="69"/>
      <c r="D942" s="153"/>
      <c r="E942" s="153"/>
      <c r="F942" s="69"/>
      <c r="G942" s="155"/>
      <c r="H942" s="4"/>
      <c r="I942" s="4"/>
      <c r="J942" s="4"/>
      <c r="K942" s="4"/>
      <c r="L942" s="155"/>
      <c r="M942" s="4"/>
      <c r="N942" s="4"/>
      <c r="O942" s="4"/>
      <c r="P942" s="4"/>
      <c r="Q942" s="4"/>
      <c r="R942" s="109"/>
      <c r="S942" s="4"/>
      <c r="T942" s="4"/>
      <c r="U942" s="4"/>
      <c r="V942" s="4"/>
      <c r="W942" s="4"/>
      <c r="X942" s="4"/>
      <c r="Y942" s="4"/>
      <c r="Z942" s="4"/>
      <c r="AA942" s="4"/>
      <c r="AB942" s="4"/>
      <c r="AC942" s="4"/>
      <c r="AD942" s="4"/>
      <c r="AE942" s="4"/>
      <c r="AF942" s="4"/>
    </row>
    <row r="943">
      <c r="A943" s="4"/>
      <c r="B943" s="4"/>
      <c r="C943" s="69"/>
      <c r="D943" s="153"/>
      <c r="E943" s="153"/>
      <c r="F943" s="69"/>
      <c r="G943" s="155"/>
      <c r="H943" s="4"/>
      <c r="I943" s="4"/>
      <c r="J943" s="4"/>
      <c r="K943" s="4"/>
      <c r="L943" s="155"/>
      <c r="M943" s="4"/>
      <c r="N943" s="4"/>
      <c r="O943" s="4"/>
      <c r="P943" s="4"/>
      <c r="Q943" s="4"/>
      <c r="R943" s="109"/>
      <c r="S943" s="4"/>
      <c r="T943" s="4"/>
      <c r="U943" s="4"/>
      <c r="V943" s="4"/>
      <c r="W943" s="4"/>
      <c r="X943" s="4"/>
      <c r="Y943" s="4"/>
      <c r="Z943" s="4"/>
      <c r="AA943" s="4"/>
      <c r="AB943" s="4"/>
      <c r="AC943" s="4"/>
      <c r="AD943" s="4"/>
      <c r="AE943" s="4"/>
      <c r="AF943" s="4"/>
    </row>
    <row r="944">
      <c r="A944" s="4"/>
      <c r="B944" s="4"/>
      <c r="C944" s="69"/>
      <c r="D944" s="153"/>
      <c r="E944" s="153"/>
      <c r="F944" s="69"/>
      <c r="G944" s="155"/>
      <c r="H944" s="4"/>
      <c r="I944" s="4"/>
      <c r="J944" s="4"/>
      <c r="K944" s="4"/>
      <c r="L944" s="155"/>
      <c r="M944" s="4"/>
      <c r="N944" s="4"/>
      <c r="O944" s="4"/>
      <c r="P944" s="4"/>
      <c r="Q944" s="4"/>
      <c r="R944" s="109"/>
      <c r="S944" s="4"/>
      <c r="T944" s="4"/>
      <c r="U944" s="4"/>
      <c r="V944" s="4"/>
      <c r="W944" s="4"/>
      <c r="X944" s="4"/>
      <c r="Y944" s="4"/>
      <c r="Z944" s="4"/>
      <c r="AA944" s="4"/>
      <c r="AB944" s="4"/>
      <c r="AC944" s="4"/>
      <c r="AD944" s="4"/>
      <c r="AE944" s="4"/>
      <c r="AF944" s="4"/>
    </row>
    <row r="945">
      <c r="A945" s="4"/>
      <c r="B945" s="4"/>
      <c r="C945" s="69"/>
      <c r="D945" s="153"/>
      <c r="E945" s="153"/>
      <c r="F945" s="69"/>
      <c r="G945" s="155"/>
      <c r="H945" s="4"/>
      <c r="I945" s="4"/>
      <c r="J945" s="4"/>
      <c r="K945" s="4"/>
      <c r="L945" s="155"/>
      <c r="M945" s="4"/>
      <c r="N945" s="4"/>
      <c r="O945" s="4"/>
      <c r="P945" s="4"/>
      <c r="Q945" s="4"/>
      <c r="R945" s="109"/>
      <c r="S945" s="4"/>
      <c r="T945" s="4"/>
      <c r="U945" s="4"/>
      <c r="V945" s="4"/>
      <c r="W945" s="4"/>
      <c r="X945" s="4"/>
      <c r="Y945" s="4"/>
      <c r="Z945" s="4"/>
      <c r="AA945" s="4"/>
      <c r="AB945" s="4"/>
      <c r="AC945" s="4"/>
      <c r="AD945" s="4"/>
      <c r="AE945" s="4"/>
      <c r="AF945" s="4"/>
    </row>
    <row r="946">
      <c r="A946" s="4"/>
      <c r="B946" s="4"/>
      <c r="C946" s="69"/>
      <c r="D946" s="153"/>
      <c r="E946" s="153"/>
      <c r="F946" s="69"/>
      <c r="G946" s="155"/>
      <c r="H946" s="4"/>
      <c r="I946" s="4"/>
      <c r="J946" s="4"/>
      <c r="K946" s="4"/>
      <c r="L946" s="155"/>
      <c r="M946" s="4"/>
      <c r="N946" s="4"/>
      <c r="O946" s="4"/>
      <c r="P946" s="4"/>
      <c r="Q946" s="4"/>
      <c r="R946" s="109"/>
      <c r="S946" s="4"/>
      <c r="T946" s="4"/>
      <c r="U946" s="4"/>
      <c r="V946" s="4"/>
      <c r="W946" s="4"/>
      <c r="X946" s="4"/>
      <c r="Y946" s="4"/>
      <c r="Z946" s="4"/>
      <c r="AA946" s="4"/>
      <c r="AB946" s="4"/>
      <c r="AC946" s="4"/>
      <c r="AD946" s="4"/>
      <c r="AE946" s="4"/>
      <c r="AF946" s="4"/>
    </row>
    <row r="947">
      <c r="A947" s="4"/>
      <c r="B947" s="4"/>
      <c r="C947" s="69"/>
      <c r="D947" s="153"/>
      <c r="E947" s="153"/>
      <c r="F947" s="69"/>
      <c r="G947" s="155"/>
      <c r="H947" s="4"/>
      <c r="I947" s="4"/>
      <c r="J947" s="4"/>
      <c r="K947" s="4"/>
      <c r="L947" s="155"/>
      <c r="M947" s="4"/>
      <c r="N947" s="4"/>
      <c r="O947" s="4"/>
      <c r="P947" s="4"/>
      <c r="Q947" s="4"/>
      <c r="R947" s="109"/>
      <c r="S947" s="4"/>
      <c r="T947" s="4"/>
      <c r="U947" s="4"/>
      <c r="V947" s="4"/>
      <c r="W947" s="4"/>
      <c r="X947" s="4"/>
      <c r="Y947" s="4"/>
      <c r="Z947" s="4"/>
      <c r="AA947" s="4"/>
      <c r="AB947" s="4"/>
      <c r="AC947" s="4"/>
      <c r="AD947" s="4"/>
      <c r="AE947" s="4"/>
      <c r="AF947" s="4"/>
    </row>
    <row r="948">
      <c r="A948" s="4"/>
      <c r="B948" s="4"/>
      <c r="C948" s="69"/>
      <c r="D948" s="153"/>
      <c r="E948" s="153"/>
      <c r="F948" s="69"/>
      <c r="G948" s="155"/>
      <c r="H948" s="4"/>
      <c r="I948" s="4"/>
      <c r="J948" s="4"/>
      <c r="K948" s="4"/>
      <c r="L948" s="155"/>
      <c r="M948" s="4"/>
      <c r="N948" s="4"/>
      <c r="O948" s="4"/>
      <c r="P948" s="4"/>
      <c r="Q948" s="4"/>
      <c r="R948" s="109"/>
      <c r="S948" s="4"/>
      <c r="T948" s="4"/>
      <c r="U948" s="4"/>
      <c r="V948" s="4"/>
      <c r="W948" s="4"/>
      <c r="X948" s="4"/>
      <c r="Y948" s="4"/>
      <c r="Z948" s="4"/>
      <c r="AA948" s="4"/>
      <c r="AB948" s="4"/>
      <c r="AC948" s="4"/>
      <c r="AD948" s="4"/>
      <c r="AE948" s="4"/>
      <c r="AF948" s="4"/>
    </row>
    <row r="949">
      <c r="A949" s="4"/>
      <c r="B949" s="4"/>
      <c r="C949" s="69"/>
      <c r="D949" s="153"/>
      <c r="E949" s="153"/>
      <c r="F949" s="69"/>
      <c r="G949" s="155"/>
      <c r="H949" s="4"/>
      <c r="I949" s="4"/>
      <c r="J949" s="4"/>
      <c r="K949" s="4"/>
      <c r="L949" s="155"/>
      <c r="M949" s="4"/>
      <c r="N949" s="4"/>
      <c r="O949" s="4"/>
      <c r="P949" s="4"/>
      <c r="Q949" s="4"/>
      <c r="R949" s="109"/>
      <c r="S949" s="4"/>
      <c r="T949" s="4"/>
      <c r="U949" s="4"/>
      <c r="V949" s="4"/>
      <c r="W949" s="4"/>
      <c r="X949" s="4"/>
      <c r="Y949" s="4"/>
      <c r="Z949" s="4"/>
      <c r="AA949" s="4"/>
      <c r="AB949" s="4"/>
      <c r="AC949" s="4"/>
      <c r="AD949" s="4"/>
      <c r="AE949" s="4"/>
      <c r="AF949" s="4"/>
    </row>
    <row r="950">
      <c r="A950" s="4"/>
      <c r="B950" s="4"/>
      <c r="C950" s="69"/>
      <c r="D950" s="153"/>
      <c r="E950" s="153"/>
      <c r="F950" s="69"/>
      <c r="G950" s="155"/>
      <c r="H950" s="4"/>
      <c r="I950" s="4"/>
      <c r="J950" s="4"/>
      <c r="K950" s="4"/>
      <c r="L950" s="155"/>
      <c r="M950" s="4"/>
      <c r="N950" s="4"/>
      <c r="O950" s="4"/>
      <c r="P950" s="4"/>
      <c r="Q950" s="4"/>
      <c r="R950" s="109"/>
      <c r="S950" s="4"/>
      <c r="T950" s="4"/>
      <c r="U950" s="4"/>
      <c r="V950" s="4"/>
      <c r="W950" s="4"/>
      <c r="X950" s="4"/>
      <c r="Y950" s="4"/>
      <c r="Z950" s="4"/>
      <c r="AA950" s="4"/>
      <c r="AB950" s="4"/>
      <c r="AC950" s="4"/>
      <c r="AD950" s="4"/>
      <c r="AE950" s="4"/>
      <c r="AF950" s="4"/>
    </row>
    <row r="951">
      <c r="A951" s="4"/>
      <c r="B951" s="4"/>
      <c r="C951" s="69"/>
      <c r="D951" s="153"/>
      <c r="E951" s="153"/>
      <c r="F951" s="69"/>
      <c r="G951" s="155"/>
      <c r="H951" s="4"/>
      <c r="I951" s="4"/>
      <c r="J951" s="4"/>
      <c r="K951" s="4"/>
      <c r="L951" s="155"/>
      <c r="M951" s="4"/>
      <c r="N951" s="4"/>
      <c r="O951" s="4"/>
      <c r="P951" s="4"/>
      <c r="Q951" s="4"/>
      <c r="R951" s="109"/>
      <c r="S951" s="4"/>
      <c r="T951" s="4"/>
      <c r="U951" s="4"/>
      <c r="V951" s="4"/>
      <c r="W951" s="4"/>
      <c r="X951" s="4"/>
      <c r="Y951" s="4"/>
      <c r="Z951" s="4"/>
      <c r="AA951" s="4"/>
      <c r="AB951" s="4"/>
      <c r="AC951" s="4"/>
      <c r="AD951" s="4"/>
      <c r="AE951" s="4"/>
      <c r="AF951" s="4"/>
    </row>
    <row r="952">
      <c r="A952" s="4"/>
      <c r="B952" s="4"/>
      <c r="C952" s="69"/>
      <c r="D952" s="153"/>
      <c r="E952" s="153"/>
      <c r="F952" s="69"/>
      <c r="G952" s="155"/>
      <c r="H952" s="4"/>
      <c r="I952" s="4"/>
      <c r="J952" s="4"/>
      <c r="K952" s="4"/>
      <c r="L952" s="155"/>
      <c r="M952" s="4"/>
      <c r="N952" s="4"/>
      <c r="O952" s="4"/>
      <c r="P952" s="4"/>
      <c r="Q952" s="4"/>
      <c r="R952" s="109"/>
      <c r="S952" s="4"/>
      <c r="T952" s="4"/>
      <c r="U952" s="4"/>
      <c r="V952" s="4"/>
      <c r="W952" s="4"/>
      <c r="X952" s="4"/>
      <c r="Y952" s="4"/>
      <c r="Z952" s="4"/>
      <c r="AA952" s="4"/>
      <c r="AB952" s="4"/>
      <c r="AC952" s="4"/>
      <c r="AD952" s="4"/>
      <c r="AE952" s="4"/>
      <c r="AF952" s="4"/>
    </row>
    <row r="953">
      <c r="A953" s="4"/>
      <c r="B953" s="4"/>
      <c r="C953" s="69"/>
      <c r="D953" s="153"/>
      <c r="E953" s="153"/>
      <c r="F953" s="69"/>
      <c r="G953" s="155"/>
      <c r="H953" s="4"/>
      <c r="I953" s="4"/>
      <c r="J953" s="4"/>
      <c r="K953" s="4"/>
      <c r="L953" s="155"/>
      <c r="M953" s="4"/>
      <c r="N953" s="4"/>
      <c r="O953" s="4"/>
      <c r="P953" s="4"/>
      <c r="Q953" s="4"/>
      <c r="R953" s="109"/>
      <c r="S953" s="4"/>
      <c r="T953" s="4"/>
      <c r="U953" s="4"/>
      <c r="V953" s="4"/>
      <c r="W953" s="4"/>
      <c r="X953" s="4"/>
      <c r="Y953" s="4"/>
      <c r="Z953" s="4"/>
      <c r="AA953" s="4"/>
      <c r="AB953" s="4"/>
      <c r="AC953" s="4"/>
      <c r="AD953" s="4"/>
      <c r="AE953" s="4"/>
      <c r="AF953" s="4"/>
    </row>
    <row r="954">
      <c r="A954" s="4"/>
      <c r="B954" s="4"/>
      <c r="C954" s="69"/>
      <c r="D954" s="153"/>
      <c r="E954" s="153"/>
      <c r="F954" s="69"/>
      <c r="G954" s="155"/>
      <c r="H954" s="4"/>
      <c r="I954" s="4"/>
      <c r="J954" s="4"/>
      <c r="K954" s="4"/>
      <c r="L954" s="155"/>
      <c r="M954" s="4"/>
      <c r="N954" s="4"/>
      <c r="O954" s="4"/>
      <c r="P954" s="4"/>
      <c r="Q954" s="4"/>
      <c r="R954" s="109"/>
      <c r="S954" s="4"/>
      <c r="T954" s="4"/>
      <c r="U954" s="4"/>
      <c r="V954" s="4"/>
      <c r="W954" s="4"/>
      <c r="X954" s="4"/>
      <c r="Y954" s="4"/>
      <c r="Z954" s="4"/>
      <c r="AA954" s="4"/>
      <c r="AB954" s="4"/>
      <c r="AC954" s="4"/>
      <c r="AD954" s="4"/>
      <c r="AE954" s="4"/>
      <c r="AF954" s="4"/>
    </row>
    <row r="955">
      <c r="A955" s="4"/>
      <c r="B955" s="4"/>
      <c r="C955" s="69"/>
      <c r="D955" s="153"/>
      <c r="E955" s="153"/>
      <c r="F955" s="69"/>
      <c r="G955" s="155"/>
      <c r="H955" s="4"/>
      <c r="I955" s="4"/>
      <c r="J955" s="4"/>
      <c r="K955" s="4"/>
      <c r="L955" s="155"/>
      <c r="M955" s="4"/>
      <c r="N955" s="4"/>
      <c r="O955" s="4"/>
      <c r="P955" s="4"/>
      <c r="Q955" s="4"/>
      <c r="R955" s="109"/>
      <c r="S955" s="4"/>
      <c r="T955" s="4"/>
      <c r="U955" s="4"/>
      <c r="V955" s="4"/>
      <c r="W955" s="4"/>
      <c r="X955" s="4"/>
      <c r="Y955" s="4"/>
      <c r="Z955" s="4"/>
      <c r="AA955" s="4"/>
      <c r="AB955" s="4"/>
      <c r="AC955" s="4"/>
      <c r="AD955" s="4"/>
      <c r="AE955" s="4"/>
      <c r="AF955" s="4"/>
    </row>
    <row r="956">
      <c r="A956" s="4"/>
      <c r="B956" s="4"/>
      <c r="C956" s="69"/>
      <c r="D956" s="153"/>
      <c r="E956" s="153"/>
      <c r="F956" s="69"/>
      <c r="G956" s="155"/>
      <c r="H956" s="4"/>
      <c r="I956" s="4"/>
      <c r="J956" s="4"/>
      <c r="K956" s="4"/>
      <c r="L956" s="155"/>
      <c r="M956" s="4"/>
      <c r="N956" s="4"/>
      <c r="O956" s="4"/>
      <c r="P956" s="4"/>
      <c r="Q956" s="4"/>
      <c r="R956" s="109"/>
      <c r="S956" s="4"/>
      <c r="T956" s="4"/>
      <c r="U956" s="4"/>
      <c r="V956" s="4"/>
      <c r="W956" s="4"/>
      <c r="X956" s="4"/>
      <c r="Y956" s="4"/>
      <c r="Z956" s="4"/>
      <c r="AA956" s="4"/>
      <c r="AB956" s="4"/>
      <c r="AC956" s="4"/>
      <c r="AD956" s="4"/>
      <c r="AE956" s="4"/>
      <c r="AF956" s="4"/>
    </row>
    <row r="957">
      <c r="A957" s="4"/>
      <c r="B957" s="4"/>
      <c r="C957" s="69"/>
      <c r="D957" s="153"/>
      <c r="E957" s="153"/>
      <c r="F957" s="69"/>
      <c r="G957" s="155"/>
      <c r="H957" s="4"/>
      <c r="I957" s="4"/>
      <c r="J957" s="4"/>
      <c r="K957" s="4"/>
      <c r="L957" s="155"/>
      <c r="M957" s="4"/>
      <c r="N957" s="4"/>
      <c r="O957" s="4"/>
      <c r="P957" s="4"/>
      <c r="Q957" s="4"/>
      <c r="R957" s="109"/>
      <c r="S957" s="4"/>
      <c r="T957" s="4"/>
      <c r="U957" s="4"/>
      <c r="V957" s="4"/>
      <c r="W957" s="4"/>
      <c r="X957" s="4"/>
      <c r="Y957" s="4"/>
      <c r="Z957" s="4"/>
      <c r="AA957" s="4"/>
      <c r="AB957" s="4"/>
      <c r="AC957" s="4"/>
      <c r="AD957" s="4"/>
      <c r="AE957" s="4"/>
      <c r="AF957" s="4"/>
    </row>
    <row r="958">
      <c r="A958" s="4"/>
      <c r="B958" s="4"/>
      <c r="C958" s="69"/>
      <c r="D958" s="153"/>
      <c r="E958" s="153"/>
      <c r="F958" s="69"/>
      <c r="G958" s="155"/>
      <c r="H958" s="4"/>
      <c r="I958" s="4"/>
      <c r="J958" s="4"/>
      <c r="K958" s="4"/>
      <c r="L958" s="155"/>
      <c r="M958" s="4"/>
      <c r="N958" s="4"/>
      <c r="O958" s="4"/>
      <c r="P958" s="4"/>
      <c r="Q958" s="4"/>
      <c r="R958" s="109"/>
      <c r="S958" s="4"/>
      <c r="T958" s="4"/>
      <c r="U958" s="4"/>
      <c r="V958" s="4"/>
      <c r="W958" s="4"/>
      <c r="X958" s="4"/>
      <c r="Y958" s="4"/>
      <c r="Z958" s="4"/>
      <c r="AA958" s="4"/>
      <c r="AB958" s="4"/>
      <c r="AC958" s="4"/>
      <c r="AD958" s="4"/>
      <c r="AE958" s="4"/>
      <c r="AF958" s="4"/>
    </row>
    <row r="959">
      <c r="A959" s="4"/>
      <c r="B959" s="4"/>
      <c r="C959" s="69"/>
      <c r="D959" s="153"/>
      <c r="E959" s="153"/>
      <c r="F959" s="69"/>
      <c r="G959" s="155"/>
      <c r="H959" s="4"/>
      <c r="I959" s="4"/>
      <c r="J959" s="4"/>
      <c r="K959" s="4"/>
      <c r="L959" s="155"/>
      <c r="M959" s="4"/>
      <c r="N959" s="4"/>
      <c r="O959" s="4"/>
      <c r="P959" s="4"/>
      <c r="Q959" s="4"/>
      <c r="R959" s="109"/>
      <c r="S959" s="4"/>
      <c r="T959" s="4"/>
      <c r="U959" s="4"/>
      <c r="V959" s="4"/>
      <c r="W959" s="4"/>
      <c r="X959" s="4"/>
      <c r="Y959" s="4"/>
      <c r="Z959" s="4"/>
      <c r="AA959" s="4"/>
      <c r="AB959" s="4"/>
      <c r="AC959" s="4"/>
      <c r="AD959" s="4"/>
      <c r="AE959" s="4"/>
      <c r="AF959" s="4"/>
    </row>
    <row r="960">
      <c r="A960" s="4"/>
      <c r="B960" s="4"/>
      <c r="C960" s="69"/>
      <c r="D960" s="153"/>
      <c r="E960" s="153"/>
      <c r="F960" s="69"/>
      <c r="G960" s="155"/>
      <c r="H960" s="4"/>
      <c r="I960" s="4"/>
      <c r="J960" s="4"/>
      <c r="K960" s="4"/>
      <c r="L960" s="155"/>
      <c r="M960" s="4"/>
      <c r="N960" s="4"/>
      <c r="O960" s="4"/>
      <c r="P960" s="4"/>
      <c r="Q960" s="4"/>
      <c r="R960" s="109"/>
      <c r="S960" s="4"/>
      <c r="T960" s="4"/>
      <c r="U960" s="4"/>
      <c r="V960" s="4"/>
      <c r="W960" s="4"/>
      <c r="X960" s="4"/>
      <c r="Y960" s="4"/>
      <c r="Z960" s="4"/>
      <c r="AA960" s="4"/>
      <c r="AB960" s="4"/>
      <c r="AC960" s="4"/>
      <c r="AD960" s="4"/>
      <c r="AE960" s="4"/>
      <c r="AF960" s="4"/>
    </row>
    <row r="961">
      <c r="A961" s="4"/>
      <c r="B961" s="4"/>
      <c r="C961" s="69"/>
      <c r="D961" s="153"/>
      <c r="E961" s="153"/>
      <c r="F961" s="69"/>
      <c r="G961" s="155"/>
      <c r="H961" s="4"/>
      <c r="I961" s="4"/>
      <c r="J961" s="4"/>
      <c r="K961" s="4"/>
      <c r="L961" s="155"/>
      <c r="M961" s="4"/>
      <c r="N961" s="4"/>
      <c r="O961" s="4"/>
      <c r="P961" s="4"/>
      <c r="Q961" s="4"/>
      <c r="R961" s="109"/>
      <c r="S961" s="4"/>
      <c r="T961" s="4"/>
      <c r="U961" s="4"/>
      <c r="V961" s="4"/>
      <c r="W961" s="4"/>
      <c r="X961" s="4"/>
      <c r="Y961" s="4"/>
      <c r="Z961" s="4"/>
      <c r="AA961" s="4"/>
      <c r="AB961" s="4"/>
      <c r="AC961" s="4"/>
      <c r="AD961" s="4"/>
      <c r="AE961" s="4"/>
      <c r="AF961" s="4"/>
    </row>
    <row r="962">
      <c r="A962" s="4"/>
      <c r="B962" s="4"/>
      <c r="C962" s="69"/>
      <c r="D962" s="153"/>
      <c r="E962" s="153"/>
      <c r="F962" s="69"/>
      <c r="G962" s="155"/>
      <c r="H962" s="4"/>
      <c r="I962" s="4"/>
      <c r="J962" s="4"/>
      <c r="K962" s="4"/>
      <c r="L962" s="155"/>
      <c r="M962" s="4"/>
      <c r="N962" s="4"/>
      <c r="O962" s="4"/>
      <c r="P962" s="4"/>
      <c r="Q962" s="4"/>
      <c r="R962" s="109"/>
      <c r="S962" s="4"/>
      <c r="T962" s="4"/>
      <c r="U962" s="4"/>
      <c r="V962" s="4"/>
      <c r="W962" s="4"/>
      <c r="X962" s="4"/>
      <c r="Y962" s="4"/>
      <c r="Z962" s="4"/>
      <c r="AA962" s="4"/>
      <c r="AB962" s="4"/>
      <c r="AC962" s="4"/>
      <c r="AD962" s="4"/>
      <c r="AE962" s="4"/>
      <c r="AF962" s="4"/>
    </row>
    <row r="963">
      <c r="A963" s="4"/>
      <c r="B963" s="4"/>
      <c r="C963" s="69"/>
      <c r="D963" s="153"/>
      <c r="E963" s="153"/>
      <c r="F963" s="69"/>
      <c r="G963" s="155"/>
      <c r="H963" s="4"/>
      <c r="I963" s="4"/>
      <c r="J963" s="4"/>
      <c r="K963" s="4"/>
      <c r="L963" s="155"/>
      <c r="M963" s="4"/>
      <c r="N963" s="4"/>
      <c r="O963" s="4"/>
      <c r="P963" s="4"/>
      <c r="Q963" s="4"/>
      <c r="R963" s="109"/>
      <c r="S963" s="4"/>
      <c r="T963" s="4"/>
      <c r="U963" s="4"/>
      <c r="V963" s="4"/>
      <c r="W963" s="4"/>
      <c r="X963" s="4"/>
      <c r="Y963" s="4"/>
      <c r="Z963" s="4"/>
      <c r="AA963" s="4"/>
      <c r="AB963" s="4"/>
      <c r="AC963" s="4"/>
      <c r="AD963" s="4"/>
      <c r="AE963" s="4"/>
      <c r="AF963" s="4"/>
    </row>
    <row r="964">
      <c r="A964" s="4"/>
      <c r="B964" s="4"/>
      <c r="C964" s="69"/>
      <c r="D964" s="153"/>
      <c r="E964" s="153"/>
      <c r="F964" s="69"/>
      <c r="G964" s="155"/>
      <c r="H964" s="4"/>
      <c r="I964" s="4"/>
      <c r="J964" s="4"/>
      <c r="K964" s="4"/>
      <c r="L964" s="155"/>
      <c r="M964" s="4"/>
      <c r="N964" s="4"/>
      <c r="O964" s="4"/>
      <c r="P964" s="4"/>
      <c r="Q964" s="4"/>
      <c r="R964" s="109"/>
      <c r="S964" s="4"/>
      <c r="T964" s="4"/>
      <c r="U964" s="4"/>
      <c r="V964" s="4"/>
      <c r="W964" s="4"/>
      <c r="X964" s="4"/>
      <c r="Y964" s="4"/>
      <c r="Z964" s="4"/>
      <c r="AA964" s="4"/>
      <c r="AB964" s="4"/>
      <c r="AC964" s="4"/>
      <c r="AD964" s="4"/>
      <c r="AE964" s="4"/>
      <c r="AF964" s="4"/>
    </row>
    <row r="965">
      <c r="A965" s="4"/>
      <c r="B965" s="4"/>
      <c r="C965" s="69"/>
      <c r="D965" s="153"/>
      <c r="E965" s="153"/>
      <c r="F965" s="69"/>
      <c r="G965" s="155"/>
      <c r="H965" s="4"/>
      <c r="I965" s="4"/>
      <c r="J965" s="4"/>
      <c r="K965" s="4"/>
      <c r="L965" s="155"/>
      <c r="M965" s="4"/>
      <c r="N965" s="4"/>
      <c r="O965" s="4"/>
      <c r="P965" s="4"/>
      <c r="Q965" s="4"/>
      <c r="R965" s="109"/>
      <c r="S965" s="4"/>
      <c r="T965" s="4"/>
      <c r="U965" s="4"/>
      <c r="V965" s="4"/>
      <c r="W965" s="4"/>
      <c r="X965" s="4"/>
      <c r="Y965" s="4"/>
      <c r="Z965" s="4"/>
      <c r="AA965" s="4"/>
      <c r="AB965" s="4"/>
      <c r="AC965" s="4"/>
      <c r="AD965" s="4"/>
      <c r="AE965" s="4"/>
      <c r="AF965" s="4"/>
    </row>
    <row r="966">
      <c r="A966" s="4"/>
      <c r="B966" s="4"/>
      <c r="C966" s="69"/>
      <c r="D966" s="153"/>
      <c r="E966" s="153"/>
      <c r="F966" s="69"/>
      <c r="G966" s="155"/>
      <c r="H966" s="4"/>
      <c r="I966" s="4"/>
      <c r="J966" s="4"/>
      <c r="K966" s="4"/>
      <c r="L966" s="155"/>
      <c r="M966" s="4"/>
      <c r="N966" s="4"/>
      <c r="O966" s="4"/>
      <c r="P966" s="4"/>
      <c r="Q966" s="4"/>
      <c r="R966" s="109"/>
      <c r="S966" s="4"/>
      <c r="T966" s="4"/>
      <c r="U966" s="4"/>
      <c r="V966" s="4"/>
      <c r="W966" s="4"/>
      <c r="X966" s="4"/>
      <c r="Y966" s="4"/>
      <c r="Z966" s="4"/>
      <c r="AA966" s="4"/>
      <c r="AB966" s="4"/>
      <c r="AC966" s="4"/>
      <c r="AD966" s="4"/>
      <c r="AE966" s="4"/>
      <c r="AF966" s="4"/>
    </row>
    <row r="967">
      <c r="A967" s="4"/>
      <c r="B967" s="4"/>
      <c r="C967" s="69"/>
      <c r="D967" s="153"/>
      <c r="E967" s="153"/>
      <c r="F967" s="69"/>
      <c r="G967" s="155"/>
      <c r="H967" s="4"/>
      <c r="I967" s="4"/>
      <c r="J967" s="4"/>
      <c r="K967" s="4"/>
      <c r="L967" s="155"/>
      <c r="M967" s="4"/>
      <c r="N967" s="4"/>
      <c r="O967" s="4"/>
      <c r="P967" s="4"/>
      <c r="Q967" s="4"/>
      <c r="R967" s="109"/>
      <c r="S967" s="4"/>
      <c r="T967" s="4"/>
      <c r="U967" s="4"/>
      <c r="V967" s="4"/>
      <c r="W967" s="4"/>
      <c r="X967" s="4"/>
      <c r="Y967" s="4"/>
      <c r="Z967" s="4"/>
      <c r="AA967" s="4"/>
      <c r="AB967" s="4"/>
      <c r="AC967" s="4"/>
      <c r="AD967" s="4"/>
      <c r="AE967" s="4"/>
      <c r="AF967" s="4"/>
    </row>
    <row r="968">
      <c r="A968" s="4"/>
      <c r="B968" s="4"/>
      <c r="C968" s="69"/>
      <c r="D968" s="153"/>
      <c r="E968" s="153"/>
      <c r="F968" s="69"/>
      <c r="G968" s="155"/>
      <c r="H968" s="4"/>
      <c r="I968" s="4"/>
      <c r="J968" s="4"/>
      <c r="K968" s="4"/>
      <c r="L968" s="155"/>
      <c r="M968" s="4"/>
      <c r="N968" s="4"/>
      <c r="O968" s="4"/>
      <c r="P968" s="4"/>
      <c r="Q968" s="4"/>
      <c r="R968" s="109"/>
      <c r="S968" s="4"/>
      <c r="T968" s="4"/>
      <c r="U968" s="4"/>
      <c r="V968" s="4"/>
      <c r="W968" s="4"/>
      <c r="X968" s="4"/>
      <c r="Y968" s="4"/>
      <c r="Z968" s="4"/>
      <c r="AA968" s="4"/>
      <c r="AB968" s="4"/>
      <c r="AC968" s="4"/>
      <c r="AD968" s="4"/>
      <c r="AE968" s="4"/>
      <c r="AF968" s="4"/>
    </row>
    <row r="969">
      <c r="A969" s="4"/>
      <c r="B969" s="4"/>
      <c r="C969" s="69"/>
      <c r="D969" s="153"/>
      <c r="E969" s="153"/>
      <c r="F969" s="69"/>
      <c r="G969" s="155"/>
      <c r="H969" s="4"/>
      <c r="I969" s="4"/>
      <c r="J969" s="4"/>
      <c r="K969" s="4"/>
      <c r="L969" s="155"/>
      <c r="M969" s="4"/>
      <c r="N969" s="4"/>
      <c r="O969" s="4"/>
      <c r="P969" s="4"/>
      <c r="Q969" s="4"/>
      <c r="R969" s="109"/>
      <c r="S969" s="4"/>
      <c r="T969" s="4"/>
      <c r="U969" s="4"/>
      <c r="V969" s="4"/>
      <c r="W969" s="4"/>
      <c r="X969" s="4"/>
      <c r="Y969" s="4"/>
      <c r="Z969" s="4"/>
      <c r="AA969" s="4"/>
      <c r="AB969" s="4"/>
      <c r="AC969" s="4"/>
      <c r="AD969" s="4"/>
      <c r="AE969" s="4"/>
      <c r="AF969" s="4"/>
    </row>
    <row r="970">
      <c r="A970" s="4"/>
      <c r="B970" s="4"/>
      <c r="C970" s="69"/>
      <c r="D970" s="153"/>
      <c r="E970" s="153"/>
      <c r="F970" s="69"/>
      <c r="G970" s="155"/>
      <c r="H970" s="4"/>
      <c r="I970" s="4"/>
      <c r="J970" s="4"/>
      <c r="K970" s="4"/>
      <c r="L970" s="155"/>
      <c r="M970" s="4"/>
      <c r="N970" s="4"/>
      <c r="O970" s="4"/>
      <c r="P970" s="4"/>
      <c r="Q970" s="4"/>
      <c r="R970" s="109"/>
      <c r="S970" s="4"/>
      <c r="T970" s="4"/>
      <c r="U970" s="4"/>
      <c r="V970" s="4"/>
      <c r="W970" s="4"/>
      <c r="X970" s="4"/>
      <c r="Y970" s="4"/>
      <c r="Z970" s="4"/>
      <c r="AA970" s="4"/>
      <c r="AB970" s="4"/>
      <c r="AC970" s="4"/>
      <c r="AD970" s="4"/>
      <c r="AE970" s="4"/>
      <c r="AF970" s="4"/>
    </row>
    <row r="971">
      <c r="A971" s="4"/>
      <c r="B971" s="4"/>
      <c r="C971" s="69"/>
      <c r="D971" s="153"/>
      <c r="E971" s="153"/>
      <c r="F971" s="69"/>
      <c r="G971" s="155"/>
      <c r="H971" s="4"/>
      <c r="I971" s="4"/>
      <c r="J971" s="4"/>
      <c r="K971" s="4"/>
      <c r="L971" s="155"/>
      <c r="M971" s="4"/>
      <c r="N971" s="4"/>
      <c r="O971" s="4"/>
      <c r="P971" s="4"/>
      <c r="Q971" s="4"/>
      <c r="R971" s="109"/>
      <c r="S971" s="4"/>
      <c r="T971" s="4"/>
      <c r="U971" s="4"/>
      <c r="V971" s="4"/>
      <c r="W971" s="4"/>
      <c r="X971" s="4"/>
      <c r="Y971" s="4"/>
      <c r="Z971" s="4"/>
      <c r="AA971" s="4"/>
      <c r="AB971" s="4"/>
      <c r="AC971" s="4"/>
      <c r="AD971" s="4"/>
      <c r="AE971" s="4"/>
      <c r="AF971" s="4"/>
    </row>
    <row r="972">
      <c r="A972" s="4"/>
      <c r="B972" s="4"/>
      <c r="C972" s="69"/>
      <c r="D972" s="153"/>
      <c r="E972" s="153"/>
      <c r="F972" s="69"/>
      <c r="G972" s="155"/>
      <c r="H972" s="4"/>
      <c r="I972" s="4"/>
      <c r="J972" s="4"/>
      <c r="K972" s="4"/>
      <c r="L972" s="155"/>
      <c r="M972" s="4"/>
      <c r="N972" s="4"/>
      <c r="O972" s="4"/>
      <c r="P972" s="4"/>
      <c r="Q972" s="4"/>
      <c r="R972" s="109"/>
      <c r="S972" s="4"/>
      <c r="T972" s="4"/>
      <c r="U972" s="4"/>
      <c r="V972" s="4"/>
      <c r="W972" s="4"/>
      <c r="X972" s="4"/>
      <c r="Y972" s="4"/>
      <c r="Z972" s="4"/>
      <c r="AA972" s="4"/>
      <c r="AB972" s="4"/>
      <c r="AC972" s="4"/>
      <c r="AD972" s="4"/>
      <c r="AE972" s="4"/>
      <c r="AF972" s="4"/>
    </row>
    <row r="973">
      <c r="A973" s="4"/>
      <c r="B973" s="4"/>
      <c r="C973" s="69"/>
      <c r="D973" s="153"/>
      <c r="E973" s="153"/>
      <c r="F973" s="69"/>
      <c r="G973" s="155"/>
      <c r="H973" s="4"/>
      <c r="I973" s="4"/>
      <c r="J973" s="4"/>
      <c r="K973" s="4"/>
      <c r="L973" s="155"/>
      <c r="M973" s="4"/>
      <c r="N973" s="4"/>
      <c r="O973" s="4"/>
      <c r="P973" s="4"/>
      <c r="Q973" s="4"/>
      <c r="R973" s="109"/>
      <c r="S973" s="4"/>
      <c r="T973" s="4"/>
      <c r="U973" s="4"/>
      <c r="V973" s="4"/>
      <c r="W973" s="4"/>
      <c r="X973" s="4"/>
      <c r="Y973" s="4"/>
      <c r="Z973" s="4"/>
      <c r="AA973" s="4"/>
      <c r="AB973" s="4"/>
      <c r="AC973" s="4"/>
      <c r="AD973" s="4"/>
      <c r="AE973" s="4"/>
      <c r="AF973" s="4"/>
    </row>
    <row r="974">
      <c r="A974" s="4"/>
      <c r="B974" s="4"/>
      <c r="C974" s="69"/>
      <c r="D974" s="153"/>
      <c r="E974" s="153"/>
      <c r="F974" s="69"/>
      <c r="G974" s="155"/>
      <c r="H974" s="4"/>
      <c r="I974" s="4"/>
      <c r="J974" s="4"/>
      <c r="K974" s="4"/>
      <c r="L974" s="155"/>
      <c r="M974" s="4"/>
      <c r="N974" s="4"/>
      <c r="O974" s="4"/>
      <c r="P974" s="4"/>
      <c r="Q974" s="4"/>
      <c r="R974" s="109"/>
      <c r="S974" s="4"/>
      <c r="T974" s="4"/>
      <c r="U974" s="4"/>
      <c r="V974" s="4"/>
      <c r="W974" s="4"/>
      <c r="X974" s="4"/>
      <c r="Y974" s="4"/>
      <c r="Z974" s="4"/>
      <c r="AA974" s="4"/>
      <c r="AB974" s="4"/>
      <c r="AC974" s="4"/>
      <c r="AD974" s="4"/>
      <c r="AE974" s="4"/>
      <c r="AF974" s="4"/>
    </row>
    <row r="975">
      <c r="A975" s="4"/>
      <c r="B975" s="4"/>
      <c r="C975" s="69"/>
      <c r="D975" s="153"/>
      <c r="E975" s="153"/>
      <c r="F975" s="69"/>
      <c r="G975" s="155"/>
      <c r="H975" s="4"/>
      <c r="I975" s="4"/>
      <c r="J975" s="4"/>
      <c r="K975" s="4"/>
      <c r="L975" s="155"/>
      <c r="M975" s="4"/>
      <c r="N975" s="4"/>
      <c r="O975" s="4"/>
      <c r="P975" s="4"/>
      <c r="Q975" s="4"/>
      <c r="R975" s="109"/>
      <c r="S975" s="4"/>
      <c r="T975" s="4"/>
      <c r="U975" s="4"/>
      <c r="V975" s="4"/>
      <c r="W975" s="4"/>
      <c r="X975" s="4"/>
      <c r="Y975" s="4"/>
      <c r="Z975" s="4"/>
      <c r="AA975" s="4"/>
      <c r="AB975" s="4"/>
      <c r="AC975" s="4"/>
      <c r="AD975" s="4"/>
      <c r="AE975" s="4"/>
      <c r="AF975" s="4"/>
    </row>
    <row r="976">
      <c r="A976" s="4"/>
      <c r="B976" s="4"/>
      <c r="C976" s="69"/>
      <c r="D976" s="153"/>
      <c r="E976" s="153"/>
      <c r="F976" s="69"/>
      <c r="G976" s="155"/>
      <c r="H976" s="4"/>
      <c r="I976" s="4"/>
      <c r="J976" s="4"/>
      <c r="K976" s="4"/>
      <c r="L976" s="155"/>
      <c r="M976" s="4"/>
      <c r="N976" s="4"/>
      <c r="O976" s="4"/>
      <c r="P976" s="4"/>
      <c r="Q976" s="4"/>
      <c r="R976" s="109"/>
      <c r="S976" s="4"/>
      <c r="T976" s="4"/>
      <c r="U976" s="4"/>
      <c r="V976" s="4"/>
      <c r="W976" s="4"/>
      <c r="X976" s="4"/>
      <c r="Y976" s="4"/>
      <c r="Z976" s="4"/>
      <c r="AA976" s="4"/>
      <c r="AB976" s="4"/>
      <c r="AC976" s="4"/>
      <c r="AD976" s="4"/>
      <c r="AE976" s="4"/>
      <c r="AF976" s="4"/>
    </row>
    <row r="977">
      <c r="A977" s="4"/>
      <c r="B977" s="4"/>
      <c r="C977" s="69"/>
      <c r="D977" s="153"/>
      <c r="E977" s="153"/>
      <c r="F977" s="69"/>
      <c r="G977" s="155"/>
      <c r="H977" s="4"/>
      <c r="I977" s="4"/>
      <c r="J977" s="4"/>
      <c r="K977" s="4"/>
      <c r="L977" s="155"/>
      <c r="M977" s="4"/>
      <c r="N977" s="4"/>
      <c r="O977" s="4"/>
      <c r="P977" s="4"/>
      <c r="Q977" s="4"/>
      <c r="R977" s="109"/>
      <c r="S977" s="4"/>
      <c r="T977" s="4"/>
      <c r="U977" s="4"/>
      <c r="V977" s="4"/>
      <c r="W977" s="4"/>
      <c r="X977" s="4"/>
      <c r="Y977" s="4"/>
      <c r="Z977" s="4"/>
      <c r="AA977" s="4"/>
      <c r="AB977" s="4"/>
      <c r="AC977" s="4"/>
      <c r="AD977" s="4"/>
      <c r="AE977" s="4"/>
      <c r="AF977" s="4"/>
    </row>
    <row r="978">
      <c r="A978" s="4"/>
      <c r="B978" s="4"/>
      <c r="C978" s="69"/>
      <c r="D978" s="153"/>
      <c r="E978" s="153"/>
      <c r="F978" s="69"/>
      <c r="G978" s="155"/>
      <c r="H978" s="4"/>
      <c r="I978" s="4"/>
      <c r="J978" s="4"/>
      <c r="K978" s="4"/>
      <c r="L978" s="155"/>
      <c r="M978" s="4"/>
      <c r="N978" s="4"/>
      <c r="O978" s="4"/>
      <c r="P978" s="4"/>
      <c r="Q978" s="4"/>
      <c r="R978" s="109"/>
      <c r="S978" s="4"/>
      <c r="T978" s="4"/>
      <c r="U978" s="4"/>
      <c r="V978" s="4"/>
      <c r="W978" s="4"/>
      <c r="X978" s="4"/>
      <c r="Y978" s="4"/>
      <c r="Z978" s="4"/>
      <c r="AA978" s="4"/>
      <c r="AB978" s="4"/>
      <c r="AC978" s="4"/>
      <c r="AD978" s="4"/>
      <c r="AE978" s="4"/>
      <c r="AF978" s="4"/>
    </row>
    <row r="979">
      <c r="A979" s="4"/>
      <c r="B979" s="4"/>
      <c r="C979" s="69"/>
      <c r="D979" s="153"/>
      <c r="E979" s="153"/>
      <c r="F979" s="69"/>
      <c r="G979" s="155"/>
      <c r="H979" s="4"/>
      <c r="I979" s="4"/>
      <c r="J979" s="4"/>
      <c r="K979" s="4"/>
      <c r="L979" s="155"/>
      <c r="M979" s="4"/>
      <c r="N979" s="4"/>
      <c r="O979" s="4"/>
      <c r="P979" s="4"/>
      <c r="Q979" s="4"/>
      <c r="R979" s="109"/>
      <c r="S979" s="4"/>
      <c r="T979" s="4"/>
      <c r="U979" s="4"/>
      <c r="V979" s="4"/>
      <c r="W979" s="4"/>
      <c r="X979" s="4"/>
      <c r="Y979" s="4"/>
      <c r="Z979" s="4"/>
      <c r="AA979" s="4"/>
      <c r="AB979" s="4"/>
      <c r="AC979" s="4"/>
      <c r="AD979" s="4"/>
      <c r="AE979" s="4"/>
      <c r="AF979" s="4"/>
    </row>
    <row r="980">
      <c r="A980" s="4"/>
      <c r="B980" s="4"/>
      <c r="C980" s="69"/>
      <c r="D980" s="153"/>
      <c r="E980" s="153"/>
      <c r="F980" s="69"/>
      <c r="G980" s="155"/>
      <c r="H980" s="4"/>
      <c r="I980" s="4"/>
      <c r="J980" s="4"/>
      <c r="K980" s="4"/>
      <c r="L980" s="155"/>
      <c r="M980" s="4"/>
      <c r="N980" s="4"/>
      <c r="O980" s="4"/>
      <c r="P980" s="4"/>
      <c r="Q980" s="4"/>
      <c r="R980" s="109"/>
      <c r="S980" s="4"/>
      <c r="T980" s="4"/>
      <c r="U980" s="4"/>
      <c r="V980" s="4"/>
      <c r="W980" s="4"/>
      <c r="X980" s="4"/>
      <c r="Y980" s="4"/>
      <c r="Z980" s="4"/>
      <c r="AA980" s="4"/>
      <c r="AB980" s="4"/>
      <c r="AC980" s="4"/>
      <c r="AD980" s="4"/>
      <c r="AE980" s="4"/>
      <c r="AF980" s="4"/>
    </row>
    <row r="981">
      <c r="A981" s="4"/>
      <c r="B981" s="4"/>
      <c r="C981" s="69"/>
      <c r="D981" s="153"/>
      <c r="E981" s="153"/>
      <c r="F981" s="69"/>
      <c r="G981" s="155"/>
      <c r="H981" s="4"/>
      <c r="I981" s="4"/>
      <c r="J981" s="4"/>
      <c r="K981" s="4"/>
      <c r="L981" s="155"/>
      <c r="M981" s="4"/>
      <c r="N981" s="4"/>
      <c r="O981" s="4"/>
      <c r="P981" s="4"/>
      <c r="Q981" s="4"/>
      <c r="R981" s="109"/>
      <c r="S981" s="4"/>
      <c r="T981" s="4"/>
      <c r="U981" s="4"/>
      <c r="V981" s="4"/>
      <c r="W981" s="4"/>
      <c r="X981" s="4"/>
      <c r="Y981" s="4"/>
      <c r="Z981" s="4"/>
      <c r="AA981" s="4"/>
      <c r="AB981" s="4"/>
      <c r="AC981" s="4"/>
      <c r="AD981" s="4"/>
      <c r="AE981" s="4"/>
      <c r="AF981" s="4"/>
    </row>
    <row r="982">
      <c r="A982" s="4"/>
      <c r="B982" s="4"/>
      <c r="C982" s="69"/>
      <c r="D982" s="153"/>
      <c r="E982" s="153"/>
      <c r="F982" s="69"/>
      <c r="G982" s="155"/>
      <c r="H982" s="4"/>
      <c r="I982" s="4"/>
      <c r="J982" s="4"/>
      <c r="K982" s="4"/>
      <c r="L982" s="155"/>
      <c r="M982" s="4"/>
      <c r="N982" s="4"/>
      <c r="O982" s="4"/>
      <c r="P982" s="4"/>
      <c r="Q982" s="4"/>
      <c r="R982" s="109"/>
      <c r="S982" s="4"/>
      <c r="T982" s="4"/>
      <c r="U982" s="4"/>
      <c r="V982" s="4"/>
      <c r="W982" s="4"/>
      <c r="X982" s="4"/>
      <c r="Y982" s="4"/>
      <c r="Z982" s="4"/>
      <c r="AA982" s="4"/>
      <c r="AB982" s="4"/>
      <c r="AC982" s="4"/>
      <c r="AD982" s="4"/>
      <c r="AE982" s="4"/>
      <c r="AF982" s="4"/>
    </row>
    <row r="983">
      <c r="A983" s="4"/>
      <c r="B983" s="4"/>
      <c r="C983" s="69"/>
      <c r="D983" s="153"/>
      <c r="E983" s="153"/>
      <c r="F983" s="69"/>
      <c r="G983" s="155"/>
      <c r="H983" s="4"/>
      <c r="I983" s="4"/>
      <c r="J983" s="4"/>
      <c r="K983" s="4"/>
      <c r="L983" s="155"/>
      <c r="M983" s="4"/>
      <c r="N983" s="4"/>
      <c r="O983" s="4"/>
      <c r="P983" s="4"/>
      <c r="Q983" s="4"/>
      <c r="R983" s="109"/>
      <c r="S983" s="4"/>
      <c r="T983" s="4"/>
      <c r="U983" s="4"/>
      <c r="V983" s="4"/>
      <c r="W983" s="4"/>
      <c r="X983" s="4"/>
      <c r="Y983" s="4"/>
      <c r="Z983" s="4"/>
      <c r="AA983" s="4"/>
      <c r="AB983" s="4"/>
      <c r="AC983" s="4"/>
      <c r="AD983" s="4"/>
      <c r="AE983" s="4"/>
      <c r="AF983" s="4"/>
    </row>
    <row r="984">
      <c r="A984" s="4"/>
      <c r="B984" s="4"/>
      <c r="C984" s="69"/>
      <c r="D984" s="153"/>
      <c r="E984" s="153"/>
      <c r="F984" s="69"/>
      <c r="G984" s="155"/>
      <c r="H984" s="4"/>
      <c r="I984" s="4"/>
      <c r="J984" s="4"/>
      <c r="K984" s="4"/>
      <c r="L984" s="155"/>
      <c r="M984" s="4"/>
      <c r="N984" s="4"/>
      <c r="O984" s="4"/>
      <c r="P984" s="4"/>
      <c r="Q984" s="4"/>
      <c r="R984" s="109"/>
      <c r="S984" s="4"/>
      <c r="T984" s="4"/>
      <c r="U984" s="4"/>
      <c r="V984" s="4"/>
      <c r="W984" s="4"/>
      <c r="X984" s="4"/>
      <c r="Y984" s="4"/>
      <c r="Z984" s="4"/>
      <c r="AA984" s="4"/>
      <c r="AB984" s="4"/>
      <c r="AC984" s="4"/>
      <c r="AD984" s="4"/>
      <c r="AE984" s="4"/>
      <c r="AF984" s="4"/>
    </row>
    <row r="985">
      <c r="A985" s="4"/>
      <c r="B985" s="4"/>
      <c r="C985" s="69"/>
      <c r="D985" s="153"/>
      <c r="E985" s="153"/>
      <c r="F985" s="69"/>
      <c r="G985" s="155"/>
      <c r="H985" s="4"/>
      <c r="I985" s="4"/>
      <c r="J985" s="4"/>
      <c r="K985" s="4"/>
      <c r="L985" s="155"/>
      <c r="M985" s="4"/>
      <c r="N985" s="4"/>
      <c r="O985" s="4"/>
      <c r="P985" s="4"/>
      <c r="Q985" s="4"/>
      <c r="R985" s="109"/>
      <c r="S985" s="4"/>
      <c r="T985" s="4"/>
      <c r="U985" s="4"/>
      <c r="V985" s="4"/>
      <c r="W985" s="4"/>
      <c r="X985" s="4"/>
      <c r="Y985" s="4"/>
      <c r="Z985" s="4"/>
      <c r="AA985" s="4"/>
      <c r="AB985" s="4"/>
      <c r="AC985" s="4"/>
      <c r="AD985" s="4"/>
      <c r="AE985" s="4"/>
      <c r="AF985" s="4"/>
    </row>
    <row r="986">
      <c r="A986" s="4"/>
      <c r="B986" s="4"/>
      <c r="C986" s="69"/>
      <c r="D986" s="153"/>
      <c r="E986" s="153"/>
      <c r="F986" s="69"/>
      <c r="G986" s="155"/>
      <c r="H986" s="4"/>
      <c r="I986" s="4"/>
      <c r="J986" s="4"/>
      <c r="K986" s="4"/>
      <c r="L986" s="155"/>
      <c r="M986" s="4"/>
      <c r="N986" s="4"/>
      <c r="O986" s="4"/>
      <c r="P986" s="4"/>
      <c r="Q986" s="4"/>
      <c r="R986" s="109"/>
      <c r="S986" s="4"/>
      <c r="T986" s="4"/>
      <c r="U986" s="4"/>
      <c r="V986" s="4"/>
      <c r="W986" s="4"/>
      <c r="X986" s="4"/>
      <c r="Y986" s="4"/>
      <c r="Z986" s="4"/>
      <c r="AA986" s="4"/>
      <c r="AB986" s="4"/>
      <c r="AC986" s="4"/>
      <c r="AD986" s="4"/>
      <c r="AE986" s="4"/>
      <c r="AF986" s="4"/>
    </row>
    <row r="987">
      <c r="A987" s="4"/>
      <c r="B987" s="4"/>
      <c r="C987" s="69"/>
      <c r="D987" s="153"/>
      <c r="E987" s="153"/>
      <c r="F987" s="69"/>
      <c r="G987" s="155"/>
      <c r="H987" s="4"/>
      <c r="I987" s="4"/>
      <c r="J987" s="4"/>
      <c r="K987" s="4"/>
      <c r="L987" s="155"/>
      <c r="M987" s="4"/>
      <c r="N987" s="4"/>
      <c r="O987" s="4"/>
      <c r="P987" s="4"/>
      <c r="Q987" s="4"/>
      <c r="R987" s="109"/>
      <c r="S987" s="4"/>
      <c r="T987" s="4"/>
      <c r="U987" s="4"/>
      <c r="V987" s="4"/>
      <c r="W987" s="4"/>
      <c r="X987" s="4"/>
      <c r="Y987" s="4"/>
      <c r="Z987" s="4"/>
      <c r="AA987" s="4"/>
      <c r="AB987" s="4"/>
      <c r="AC987" s="4"/>
      <c r="AD987" s="4"/>
      <c r="AE987" s="4"/>
      <c r="AF987" s="4"/>
    </row>
    <row r="988">
      <c r="A988" s="4"/>
      <c r="B988" s="4"/>
      <c r="C988" s="69"/>
      <c r="D988" s="153"/>
      <c r="E988" s="153"/>
      <c r="F988" s="69"/>
      <c r="G988" s="155"/>
      <c r="H988" s="4"/>
      <c r="I988" s="4"/>
      <c r="J988" s="4"/>
      <c r="K988" s="4"/>
      <c r="L988" s="155"/>
      <c r="M988" s="4"/>
      <c r="N988" s="4"/>
      <c r="O988" s="4"/>
      <c r="P988" s="4"/>
      <c r="Q988" s="4"/>
      <c r="R988" s="109"/>
      <c r="S988" s="4"/>
      <c r="T988" s="4"/>
      <c r="U988" s="4"/>
      <c r="V988" s="4"/>
      <c r="W988" s="4"/>
      <c r="X988" s="4"/>
      <c r="Y988" s="4"/>
      <c r="Z988" s="4"/>
      <c r="AA988" s="4"/>
      <c r="AB988" s="4"/>
      <c r="AC988" s="4"/>
      <c r="AD988" s="4"/>
      <c r="AE988" s="4"/>
      <c r="AF988" s="4"/>
    </row>
    <row r="989">
      <c r="A989" s="4"/>
      <c r="B989" s="4"/>
      <c r="C989" s="69"/>
      <c r="D989" s="153"/>
      <c r="E989" s="153"/>
      <c r="F989" s="69"/>
      <c r="G989" s="155"/>
      <c r="H989" s="4"/>
      <c r="I989" s="4"/>
      <c r="J989" s="4"/>
      <c r="K989" s="4"/>
      <c r="L989" s="155"/>
      <c r="M989" s="4"/>
      <c r="N989" s="4"/>
      <c r="O989" s="4"/>
      <c r="P989" s="4"/>
      <c r="Q989" s="4"/>
      <c r="R989" s="109"/>
      <c r="S989" s="4"/>
      <c r="T989" s="4"/>
      <c r="U989" s="4"/>
      <c r="V989" s="4"/>
      <c r="W989" s="4"/>
      <c r="X989" s="4"/>
      <c r="Y989" s="4"/>
      <c r="Z989" s="4"/>
      <c r="AA989" s="4"/>
      <c r="AB989" s="4"/>
      <c r="AC989" s="4"/>
      <c r="AD989" s="4"/>
      <c r="AE989" s="4"/>
      <c r="AF989" s="4"/>
    </row>
    <row r="990">
      <c r="A990" s="4"/>
      <c r="B990" s="4"/>
      <c r="C990" s="69"/>
      <c r="D990" s="153"/>
      <c r="E990" s="153"/>
      <c r="F990" s="69"/>
      <c r="G990" s="155"/>
      <c r="H990" s="4"/>
      <c r="I990" s="4"/>
      <c r="J990" s="4"/>
      <c r="K990" s="4"/>
      <c r="L990" s="155"/>
      <c r="M990" s="4"/>
      <c r="N990" s="4"/>
      <c r="O990" s="4"/>
      <c r="P990" s="4"/>
      <c r="Q990" s="4"/>
      <c r="R990" s="109"/>
      <c r="S990" s="4"/>
      <c r="T990" s="4"/>
      <c r="U990" s="4"/>
      <c r="V990" s="4"/>
      <c r="W990" s="4"/>
      <c r="X990" s="4"/>
      <c r="Y990" s="4"/>
      <c r="Z990" s="4"/>
      <c r="AA990" s="4"/>
      <c r="AB990" s="4"/>
      <c r="AC990" s="4"/>
      <c r="AD990" s="4"/>
      <c r="AE990" s="4"/>
      <c r="AF990" s="4"/>
    </row>
    <row r="991">
      <c r="A991" s="4"/>
      <c r="B991" s="4"/>
      <c r="C991" s="69"/>
      <c r="D991" s="153"/>
      <c r="E991" s="153"/>
      <c r="F991" s="69"/>
      <c r="G991" s="155"/>
      <c r="H991" s="4"/>
      <c r="I991" s="4"/>
      <c r="J991" s="4"/>
      <c r="K991" s="4"/>
      <c r="L991" s="155"/>
      <c r="M991" s="4"/>
      <c r="N991" s="4"/>
      <c r="O991" s="4"/>
      <c r="P991" s="4"/>
      <c r="Q991" s="4"/>
      <c r="R991" s="109"/>
      <c r="S991" s="4"/>
      <c r="T991" s="4"/>
      <c r="U991" s="4"/>
      <c r="V991" s="4"/>
      <c r="W991" s="4"/>
      <c r="X991" s="4"/>
      <c r="Y991" s="4"/>
      <c r="Z991" s="4"/>
      <c r="AA991" s="4"/>
      <c r="AB991" s="4"/>
      <c r="AC991" s="4"/>
      <c r="AD991" s="4"/>
      <c r="AE991" s="4"/>
      <c r="AF991" s="4"/>
    </row>
    <row r="992">
      <c r="A992" s="4"/>
      <c r="B992" s="4"/>
      <c r="C992" s="69"/>
      <c r="D992" s="153"/>
      <c r="E992" s="153"/>
      <c r="F992" s="69"/>
      <c r="G992" s="155"/>
      <c r="H992" s="4"/>
      <c r="I992" s="4"/>
      <c r="J992" s="4"/>
      <c r="K992" s="4"/>
      <c r="L992" s="155"/>
      <c r="M992" s="4"/>
      <c r="N992" s="4"/>
      <c r="O992" s="4"/>
      <c r="P992" s="4"/>
      <c r="Q992" s="4"/>
      <c r="R992" s="109"/>
      <c r="S992" s="4"/>
      <c r="T992" s="4"/>
      <c r="U992" s="4"/>
      <c r="V992" s="4"/>
      <c r="W992" s="4"/>
      <c r="X992" s="4"/>
      <c r="Y992" s="4"/>
      <c r="Z992" s="4"/>
      <c r="AA992" s="4"/>
      <c r="AB992" s="4"/>
      <c r="AC992" s="4"/>
      <c r="AD992" s="4"/>
      <c r="AE992" s="4"/>
      <c r="AF992" s="4"/>
    </row>
    <row r="993">
      <c r="A993" s="4"/>
      <c r="B993" s="4"/>
      <c r="C993" s="69"/>
      <c r="D993" s="153"/>
      <c r="E993" s="153"/>
      <c r="F993" s="69"/>
      <c r="G993" s="155"/>
      <c r="H993" s="4"/>
      <c r="I993" s="4"/>
      <c r="J993" s="4"/>
      <c r="K993" s="4"/>
      <c r="L993" s="155"/>
      <c r="M993" s="4"/>
      <c r="N993" s="4"/>
      <c r="O993" s="4"/>
      <c r="P993" s="4"/>
      <c r="Q993" s="4"/>
      <c r="R993" s="109"/>
      <c r="S993" s="4"/>
      <c r="T993" s="4"/>
      <c r="U993" s="4"/>
      <c r="V993" s="4"/>
      <c r="W993" s="4"/>
      <c r="X993" s="4"/>
      <c r="Y993" s="4"/>
      <c r="Z993" s="4"/>
      <c r="AA993" s="4"/>
      <c r="AB993" s="4"/>
      <c r="AC993" s="4"/>
      <c r="AD993" s="4"/>
      <c r="AE993" s="4"/>
      <c r="AF993" s="4"/>
    </row>
    <row r="994">
      <c r="A994" s="4"/>
      <c r="B994" s="4"/>
      <c r="C994" s="69"/>
      <c r="D994" s="153"/>
      <c r="E994" s="153"/>
      <c r="F994" s="69"/>
      <c r="G994" s="155"/>
      <c r="H994" s="4"/>
      <c r="I994" s="4"/>
      <c r="J994" s="4"/>
      <c r="K994" s="4"/>
      <c r="L994" s="155"/>
      <c r="M994" s="4"/>
      <c r="N994" s="4"/>
      <c r="O994" s="4"/>
      <c r="P994" s="4"/>
      <c r="Q994" s="4"/>
      <c r="R994" s="109"/>
      <c r="S994" s="4"/>
      <c r="T994" s="4"/>
      <c r="U994" s="4"/>
      <c r="V994" s="4"/>
      <c r="W994" s="4"/>
      <c r="X994" s="4"/>
      <c r="Y994" s="4"/>
      <c r="Z994" s="4"/>
      <c r="AA994" s="4"/>
      <c r="AB994" s="4"/>
      <c r="AC994" s="4"/>
      <c r="AD994" s="4"/>
      <c r="AE994" s="4"/>
      <c r="AF994" s="4"/>
    </row>
    <row r="995">
      <c r="A995" s="4"/>
      <c r="B995" s="4"/>
      <c r="C995" s="69"/>
      <c r="D995" s="153"/>
      <c r="E995" s="153"/>
      <c r="F995" s="69"/>
      <c r="G995" s="155"/>
      <c r="H995" s="4"/>
      <c r="I995" s="4"/>
      <c r="J995" s="4"/>
      <c r="K995" s="4"/>
      <c r="L995" s="155"/>
      <c r="M995" s="4"/>
      <c r="N995" s="4"/>
      <c r="O995" s="4"/>
      <c r="P995" s="4"/>
      <c r="Q995" s="4"/>
      <c r="R995" s="109"/>
      <c r="S995" s="4"/>
      <c r="T995" s="4"/>
      <c r="U995" s="4"/>
      <c r="V995" s="4"/>
      <c r="W995" s="4"/>
      <c r="X995" s="4"/>
      <c r="Y995" s="4"/>
      <c r="Z995" s="4"/>
      <c r="AA995" s="4"/>
      <c r="AB995" s="4"/>
      <c r="AC995" s="4"/>
      <c r="AD995" s="4"/>
      <c r="AE995" s="4"/>
      <c r="AF995" s="4"/>
    </row>
    <row r="996">
      <c r="A996" s="4"/>
      <c r="B996" s="4"/>
      <c r="C996" s="69"/>
      <c r="D996" s="153"/>
      <c r="E996" s="153"/>
      <c r="F996" s="69"/>
      <c r="G996" s="155"/>
      <c r="H996" s="4"/>
      <c r="I996" s="4"/>
      <c r="J996" s="4"/>
      <c r="K996" s="4"/>
      <c r="L996" s="155"/>
      <c r="M996" s="4"/>
      <c r="N996" s="4"/>
      <c r="O996" s="4"/>
      <c r="P996" s="4"/>
      <c r="Q996" s="4"/>
      <c r="R996" s="109"/>
      <c r="S996" s="4"/>
      <c r="T996" s="4"/>
      <c r="U996" s="4"/>
      <c r="V996" s="4"/>
      <c r="W996" s="4"/>
      <c r="X996" s="4"/>
      <c r="Y996" s="4"/>
      <c r="Z996" s="4"/>
      <c r="AA996" s="4"/>
      <c r="AB996" s="4"/>
      <c r="AC996" s="4"/>
      <c r="AD996" s="4"/>
      <c r="AE996" s="4"/>
      <c r="AF996" s="4"/>
    </row>
  </sheetData>
  <conditionalFormatting sqref="C112">
    <cfRule type="expression" dxfId="0" priority="1">
      <formula>COUNTIF(C:C, C112)&gt;1</formula>
    </cfRule>
  </conditionalFormatting>
  <conditionalFormatting sqref="C5:C92 C94:C116 C119:C120">
    <cfRule type="expression" dxfId="2" priority="2">
      <formula>COUNTIF(C:C, C5)&gt;1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8.0"/>
    <col customWidth="1" min="3" max="3" width="7.0"/>
    <col customWidth="1" min="4" max="4" width="19.88"/>
    <col customWidth="1" min="5" max="5" width="8.13"/>
    <col customWidth="1" min="6" max="6" width="12.88"/>
  </cols>
  <sheetData>
    <row r="1">
      <c r="A1" s="156" t="s">
        <v>848</v>
      </c>
      <c r="B1" s="156" t="s">
        <v>1186</v>
      </c>
      <c r="C1" s="156" t="s">
        <v>1187</v>
      </c>
      <c r="D1" s="156" t="s">
        <v>867</v>
      </c>
      <c r="E1" s="156" t="s">
        <v>868</v>
      </c>
      <c r="F1" s="156" t="s">
        <v>1188</v>
      </c>
      <c r="G1" s="4"/>
      <c r="H1" s="4"/>
      <c r="I1" s="4"/>
      <c r="J1" s="4"/>
      <c r="K1" s="4"/>
      <c r="L1" s="4"/>
      <c r="M1" s="4"/>
      <c r="N1" s="4"/>
      <c r="O1" s="4"/>
      <c r="P1" s="4"/>
      <c r="Q1" s="4"/>
      <c r="R1" s="4"/>
      <c r="S1" s="4"/>
      <c r="T1" s="4"/>
      <c r="U1" s="4"/>
      <c r="V1" s="4"/>
      <c r="W1" s="4"/>
      <c r="X1" s="4"/>
      <c r="Y1" s="4"/>
      <c r="Z1" s="4"/>
    </row>
    <row r="2">
      <c r="A2" s="157">
        <v>1.0</v>
      </c>
      <c r="B2" s="158" t="s">
        <v>814</v>
      </c>
      <c r="C2" s="158" t="s">
        <v>10</v>
      </c>
      <c r="D2" s="158" t="s">
        <v>1042</v>
      </c>
      <c r="E2" s="158">
        <v>2000.0</v>
      </c>
      <c r="F2" s="158">
        <v>2.2121464E7</v>
      </c>
      <c r="G2" s="4"/>
      <c r="H2" s="4"/>
      <c r="I2" s="4"/>
      <c r="J2" s="4"/>
      <c r="K2" s="4"/>
      <c r="L2" s="4"/>
      <c r="M2" s="4"/>
      <c r="N2" s="4"/>
      <c r="O2" s="4"/>
      <c r="P2" s="4"/>
      <c r="Q2" s="4"/>
      <c r="R2" s="4"/>
      <c r="S2" s="4"/>
      <c r="T2" s="4"/>
      <c r="U2" s="4"/>
      <c r="V2" s="4"/>
      <c r="W2" s="4"/>
      <c r="X2" s="4"/>
      <c r="Y2" s="4"/>
      <c r="Z2" s="4"/>
    </row>
    <row r="3">
      <c r="A3" s="157">
        <f t="shared" ref="A3:A4" si="1">A2+1</f>
        <v>2</v>
      </c>
      <c r="B3" s="158" t="s">
        <v>814</v>
      </c>
      <c r="C3" s="158" t="s">
        <v>1189</v>
      </c>
      <c r="D3" s="159" t="s">
        <v>1190</v>
      </c>
      <c r="E3" s="160">
        <v>9750.0</v>
      </c>
      <c r="F3" s="160">
        <v>8.63599301E8</v>
      </c>
      <c r="G3" s="4"/>
      <c r="H3" s="4"/>
      <c r="I3" s="4"/>
      <c r="J3" s="4"/>
      <c r="K3" s="4"/>
      <c r="L3" s="4"/>
      <c r="M3" s="4"/>
      <c r="N3" s="4"/>
      <c r="O3" s="4"/>
      <c r="P3" s="4"/>
      <c r="Q3" s="4"/>
      <c r="R3" s="4"/>
      <c r="S3" s="4"/>
      <c r="T3" s="4"/>
      <c r="U3" s="4"/>
      <c r="V3" s="4"/>
      <c r="W3" s="4"/>
      <c r="X3" s="4"/>
      <c r="Y3" s="4"/>
      <c r="Z3" s="4"/>
    </row>
    <row r="4">
      <c r="A4" s="157">
        <f t="shared" si="1"/>
        <v>3</v>
      </c>
      <c r="B4" s="157" t="s">
        <v>823</v>
      </c>
      <c r="C4" s="157" t="s">
        <v>1189</v>
      </c>
      <c r="D4" s="157" t="s">
        <v>1191</v>
      </c>
      <c r="E4" s="157">
        <v>9750.0</v>
      </c>
      <c r="F4" s="157">
        <v>6.16719079E8</v>
      </c>
      <c r="G4" s="4"/>
      <c r="H4" s="4"/>
      <c r="I4" s="4"/>
      <c r="J4" s="4"/>
      <c r="K4" s="4"/>
      <c r="L4" s="4"/>
      <c r="M4" s="4"/>
      <c r="N4" s="4"/>
      <c r="O4" s="4"/>
      <c r="P4" s="4"/>
      <c r="Q4" s="4"/>
      <c r="R4" s="4"/>
      <c r="S4" s="4"/>
      <c r="T4" s="4"/>
      <c r="U4" s="4"/>
      <c r="V4" s="4"/>
      <c r="W4" s="4"/>
      <c r="X4" s="4"/>
      <c r="Y4" s="4"/>
      <c r="Z4" s="4"/>
    </row>
    <row r="5">
      <c r="A5" s="157">
        <v>4.0</v>
      </c>
      <c r="B5" s="157" t="s">
        <v>826</v>
      </c>
      <c r="C5" s="157" t="s">
        <v>1189</v>
      </c>
      <c r="D5" s="157" t="s">
        <v>1192</v>
      </c>
      <c r="E5" s="157">
        <v>9750.0</v>
      </c>
      <c r="F5" s="157">
        <v>6.46709074E8</v>
      </c>
      <c r="G5" s="4"/>
      <c r="H5" s="4"/>
      <c r="I5" s="4"/>
      <c r="J5" s="4"/>
      <c r="K5" s="4"/>
      <c r="L5" s="4"/>
      <c r="M5" s="4"/>
      <c r="N5" s="4"/>
      <c r="O5" s="4"/>
      <c r="P5" s="4"/>
      <c r="Q5" s="4"/>
      <c r="R5" s="4"/>
      <c r="S5" s="4"/>
      <c r="T5" s="4"/>
      <c r="U5" s="4"/>
      <c r="V5" s="4"/>
      <c r="W5" s="4"/>
      <c r="X5" s="4"/>
      <c r="Y5" s="4"/>
      <c r="Z5" s="4"/>
    </row>
    <row r="6">
      <c r="A6" s="157">
        <v>5.0</v>
      </c>
      <c r="B6" s="157" t="s">
        <v>835</v>
      </c>
      <c r="C6" s="157" t="s">
        <v>1189</v>
      </c>
      <c r="D6" s="157" t="s">
        <v>1193</v>
      </c>
      <c r="E6" s="157">
        <v>9750.0</v>
      </c>
      <c r="F6" s="157">
        <v>6.53711771E8</v>
      </c>
      <c r="G6" s="4"/>
      <c r="H6" s="4"/>
      <c r="I6" s="4"/>
      <c r="J6" s="4"/>
      <c r="K6" s="4"/>
      <c r="L6" s="4"/>
      <c r="M6" s="4"/>
      <c r="N6" s="4"/>
      <c r="O6" s="4"/>
      <c r="P6" s="4"/>
      <c r="Q6" s="4"/>
      <c r="R6" s="4"/>
      <c r="S6" s="4"/>
      <c r="T6" s="4"/>
      <c r="U6" s="4"/>
      <c r="V6" s="4"/>
      <c r="W6" s="4"/>
      <c r="X6" s="4"/>
      <c r="Y6" s="4"/>
      <c r="Z6" s="4"/>
    </row>
    <row r="7">
      <c r="A7" s="157">
        <v>6.0</v>
      </c>
      <c r="B7" s="157" t="s">
        <v>846</v>
      </c>
      <c r="C7" s="157" t="s">
        <v>10</v>
      </c>
      <c r="D7" s="157" t="s">
        <v>1169</v>
      </c>
      <c r="E7" s="157">
        <v>2000.0</v>
      </c>
      <c r="F7" s="157">
        <v>4.48714977E8</v>
      </c>
      <c r="G7" s="4"/>
      <c r="H7" s="4"/>
      <c r="I7" s="4"/>
      <c r="J7" s="4"/>
      <c r="K7" s="4"/>
      <c r="L7" s="4"/>
      <c r="M7" s="4"/>
      <c r="N7" s="4"/>
      <c r="O7" s="4"/>
      <c r="P7" s="4"/>
      <c r="Q7" s="4"/>
      <c r="R7" s="4"/>
      <c r="S7" s="4"/>
      <c r="T7" s="4"/>
      <c r="U7" s="4"/>
      <c r="V7" s="4"/>
      <c r="W7" s="4"/>
      <c r="X7" s="4"/>
      <c r="Y7" s="4"/>
      <c r="Z7" s="4"/>
    </row>
    <row r="8">
      <c r="A8" s="69"/>
      <c r="B8" s="4"/>
      <c r="C8" s="4"/>
      <c r="D8" s="4"/>
      <c r="E8" s="4"/>
      <c r="F8" s="4"/>
      <c r="G8" s="4"/>
      <c r="H8" s="4"/>
      <c r="I8" s="4"/>
      <c r="J8" s="4"/>
      <c r="K8" s="4"/>
      <c r="L8" s="4"/>
      <c r="M8" s="4"/>
      <c r="N8" s="4"/>
      <c r="O8" s="4"/>
      <c r="P8" s="4"/>
      <c r="Q8" s="4"/>
      <c r="R8" s="4"/>
      <c r="S8" s="4"/>
      <c r="T8" s="4"/>
      <c r="U8" s="4"/>
      <c r="V8" s="4"/>
      <c r="W8" s="4"/>
      <c r="X8" s="4"/>
      <c r="Y8" s="4"/>
      <c r="Z8" s="4"/>
    </row>
    <row r="9">
      <c r="A9" s="69"/>
      <c r="B9" s="4"/>
      <c r="C9" s="4"/>
      <c r="D9" s="4"/>
      <c r="E9" s="4"/>
      <c r="F9" s="4"/>
      <c r="G9" s="4"/>
      <c r="H9" s="4"/>
      <c r="I9" s="4"/>
      <c r="J9" s="4"/>
      <c r="K9" s="4"/>
      <c r="L9" s="4"/>
      <c r="M9" s="4"/>
      <c r="N9" s="4"/>
      <c r="O9" s="4"/>
      <c r="P9" s="4"/>
      <c r="Q9" s="4"/>
      <c r="R9" s="4"/>
      <c r="S9" s="4"/>
      <c r="T9" s="4"/>
      <c r="U9" s="4"/>
      <c r="V9" s="4"/>
      <c r="W9" s="4"/>
      <c r="X9" s="4"/>
      <c r="Y9" s="4"/>
      <c r="Z9" s="4"/>
    </row>
    <row r="10">
      <c r="A10" s="69"/>
      <c r="B10" s="4"/>
      <c r="C10" s="4"/>
      <c r="D10" s="4"/>
      <c r="E10" s="4"/>
      <c r="F10" s="4"/>
      <c r="G10" s="4"/>
      <c r="H10" s="4"/>
      <c r="I10" s="4"/>
      <c r="J10" s="4"/>
      <c r="K10" s="4"/>
      <c r="L10" s="4"/>
      <c r="M10" s="4"/>
      <c r="N10" s="4"/>
      <c r="O10" s="4"/>
      <c r="P10" s="4"/>
      <c r="Q10" s="4"/>
      <c r="R10" s="4"/>
      <c r="S10" s="4"/>
      <c r="T10" s="4"/>
      <c r="U10" s="4"/>
      <c r="V10" s="4"/>
      <c r="W10" s="4"/>
      <c r="X10" s="4"/>
      <c r="Y10" s="4"/>
      <c r="Z10" s="4"/>
    </row>
    <row r="11">
      <c r="A11" s="69"/>
      <c r="B11" s="4"/>
      <c r="C11" s="4"/>
      <c r="D11" s="4"/>
      <c r="E11" s="4"/>
      <c r="F11" s="4"/>
      <c r="G11" s="4"/>
      <c r="H11" s="4"/>
      <c r="I11" s="4"/>
      <c r="J11" s="4"/>
      <c r="K11" s="4"/>
      <c r="L11" s="4"/>
      <c r="M11" s="4"/>
      <c r="N11" s="4"/>
      <c r="O11" s="4"/>
      <c r="P11" s="4"/>
      <c r="Q11" s="4"/>
      <c r="R11" s="4"/>
      <c r="S11" s="4"/>
      <c r="T11" s="4"/>
      <c r="U11" s="4"/>
      <c r="V11" s="4"/>
      <c r="W11" s="4"/>
      <c r="X11" s="4"/>
      <c r="Y11" s="4"/>
      <c r="Z11" s="4"/>
    </row>
    <row r="12">
      <c r="A12" s="69"/>
      <c r="B12" s="4"/>
      <c r="C12" s="4"/>
      <c r="D12" s="4"/>
      <c r="E12" s="4"/>
      <c r="F12" s="4"/>
      <c r="G12" s="4"/>
      <c r="H12" s="4"/>
      <c r="I12" s="4"/>
      <c r="J12" s="4"/>
      <c r="K12" s="4"/>
      <c r="L12" s="4"/>
      <c r="M12" s="4"/>
      <c r="N12" s="4"/>
      <c r="O12" s="4"/>
      <c r="P12" s="4"/>
      <c r="Q12" s="4"/>
      <c r="R12" s="4"/>
      <c r="S12" s="4"/>
      <c r="T12" s="4"/>
      <c r="U12" s="4"/>
      <c r="V12" s="4"/>
      <c r="W12" s="4"/>
      <c r="X12" s="4"/>
      <c r="Y12" s="4"/>
      <c r="Z12" s="4"/>
    </row>
    <row r="13">
      <c r="A13" s="69"/>
      <c r="B13" s="4"/>
      <c r="C13" s="4"/>
      <c r="D13" s="4"/>
      <c r="E13" s="4"/>
      <c r="F13" s="4"/>
      <c r="G13" s="4"/>
      <c r="H13" s="4"/>
      <c r="I13" s="4"/>
      <c r="J13" s="4"/>
      <c r="K13" s="4"/>
      <c r="L13" s="4"/>
      <c r="M13" s="4"/>
      <c r="N13" s="4"/>
      <c r="O13" s="4"/>
      <c r="P13" s="4"/>
      <c r="Q13" s="4"/>
      <c r="R13" s="4"/>
      <c r="S13" s="4"/>
      <c r="T13" s="4"/>
      <c r="U13" s="4"/>
      <c r="V13" s="4"/>
      <c r="W13" s="4"/>
      <c r="X13" s="4"/>
      <c r="Y13" s="4"/>
      <c r="Z13" s="4"/>
    </row>
    <row r="14">
      <c r="A14" s="69"/>
      <c r="B14" s="4"/>
      <c r="C14" s="4"/>
      <c r="D14" s="4"/>
      <c r="E14" s="4"/>
      <c r="F14" s="4"/>
      <c r="G14" s="4"/>
      <c r="H14" s="4"/>
      <c r="I14" s="4"/>
      <c r="J14" s="4"/>
      <c r="K14" s="4"/>
      <c r="L14" s="4"/>
      <c r="M14" s="4"/>
      <c r="N14" s="4"/>
      <c r="O14" s="4"/>
      <c r="P14" s="4"/>
      <c r="Q14" s="4"/>
      <c r="R14" s="4"/>
      <c r="S14" s="4"/>
      <c r="T14" s="4"/>
      <c r="U14" s="4"/>
      <c r="V14" s="4"/>
      <c r="W14" s="4"/>
      <c r="X14" s="4"/>
      <c r="Y14" s="4"/>
      <c r="Z14" s="4"/>
    </row>
    <row r="15">
      <c r="A15" s="69"/>
      <c r="B15" s="4"/>
      <c r="C15" s="4"/>
      <c r="D15" s="4"/>
      <c r="E15" s="4"/>
      <c r="F15" s="4"/>
      <c r="G15" s="4"/>
      <c r="H15" s="4"/>
      <c r="I15" s="4"/>
      <c r="J15" s="4"/>
      <c r="K15" s="4"/>
      <c r="L15" s="4"/>
      <c r="M15" s="4"/>
      <c r="N15" s="4"/>
      <c r="O15" s="4"/>
      <c r="P15" s="4"/>
      <c r="Q15" s="4"/>
      <c r="R15" s="4"/>
      <c r="S15" s="4"/>
      <c r="T15" s="4"/>
      <c r="U15" s="4"/>
      <c r="V15" s="4"/>
      <c r="W15" s="4"/>
      <c r="X15" s="4"/>
      <c r="Y15" s="4"/>
      <c r="Z15" s="4"/>
    </row>
    <row r="16">
      <c r="A16" s="69"/>
      <c r="B16" s="4"/>
      <c r="C16" s="4"/>
      <c r="D16" s="4"/>
      <c r="E16" s="4"/>
      <c r="F16" s="4"/>
      <c r="G16" s="4"/>
      <c r="H16" s="4"/>
      <c r="I16" s="4"/>
      <c r="J16" s="4"/>
      <c r="K16" s="4"/>
      <c r="L16" s="4"/>
      <c r="M16" s="4"/>
      <c r="N16" s="4"/>
      <c r="O16" s="4"/>
      <c r="P16" s="4"/>
      <c r="Q16" s="4"/>
      <c r="R16" s="4"/>
      <c r="S16" s="4"/>
      <c r="T16" s="4"/>
      <c r="U16" s="4"/>
      <c r="V16" s="4"/>
      <c r="W16" s="4"/>
      <c r="X16" s="4"/>
      <c r="Y16" s="4"/>
      <c r="Z16" s="4"/>
    </row>
    <row r="17">
      <c r="A17" s="69"/>
      <c r="B17" s="4"/>
      <c r="C17" s="4"/>
      <c r="D17" s="4"/>
      <c r="E17" s="4"/>
      <c r="F17" s="4"/>
      <c r="G17" s="4"/>
      <c r="H17" s="4"/>
      <c r="I17" s="4"/>
      <c r="J17" s="4"/>
      <c r="K17" s="4"/>
      <c r="L17" s="4"/>
      <c r="M17" s="4"/>
      <c r="N17" s="4"/>
      <c r="O17" s="4"/>
      <c r="P17" s="4"/>
      <c r="Q17" s="4"/>
      <c r="R17" s="4"/>
      <c r="S17" s="4"/>
      <c r="T17" s="4"/>
      <c r="U17" s="4"/>
      <c r="V17" s="4"/>
      <c r="W17" s="4"/>
      <c r="X17" s="4"/>
      <c r="Y17" s="4"/>
      <c r="Z17" s="4"/>
    </row>
    <row r="18">
      <c r="A18" s="69"/>
      <c r="B18" s="4"/>
      <c r="C18" s="4"/>
      <c r="D18" s="4"/>
      <c r="E18" s="4"/>
      <c r="F18" s="4"/>
      <c r="G18" s="4"/>
      <c r="H18" s="4"/>
      <c r="I18" s="4"/>
      <c r="J18" s="4"/>
      <c r="K18" s="4"/>
      <c r="L18" s="4"/>
      <c r="M18" s="4"/>
      <c r="N18" s="4"/>
      <c r="O18" s="4"/>
      <c r="P18" s="4"/>
      <c r="Q18" s="4"/>
      <c r="R18" s="4"/>
      <c r="S18" s="4"/>
      <c r="T18" s="4"/>
      <c r="U18" s="4"/>
      <c r="V18" s="4"/>
      <c r="W18" s="4"/>
      <c r="X18" s="4"/>
      <c r="Y18" s="4"/>
      <c r="Z18" s="4"/>
    </row>
    <row r="19">
      <c r="A19" s="69"/>
      <c r="B19" s="4"/>
      <c r="C19" s="4"/>
      <c r="D19" s="4"/>
      <c r="E19" s="4"/>
      <c r="F19" s="4"/>
      <c r="G19" s="4"/>
      <c r="H19" s="4"/>
      <c r="I19" s="4"/>
      <c r="J19" s="4"/>
      <c r="K19" s="4"/>
      <c r="L19" s="4"/>
      <c r="M19" s="4"/>
      <c r="N19" s="4"/>
      <c r="O19" s="4"/>
      <c r="P19" s="4"/>
      <c r="Q19" s="4"/>
      <c r="R19" s="4"/>
      <c r="S19" s="4"/>
      <c r="T19" s="4"/>
      <c r="U19" s="4"/>
      <c r="V19" s="4"/>
      <c r="W19" s="4"/>
      <c r="X19" s="4"/>
      <c r="Y19" s="4"/>
      <c r="Z19" s="4"/>
    </row>
    <row r="20">
      <c r="A20" s="69"/>
      <c r="B20" s="4"/>
      <c r="C20" s="4"/>
      <c r="D20" s="4"/>
      <c r="E20" s="4"/>
      <c r="F20" s="4"/>
      <c r="G20" s="4"/>
      <c r="H20" s="4"/>
      <c r="I20" s="4"/>
      <c r="J20" s="4"/>
      <c r="K20" s="4"/>
      <c r="L20" s="4"/>
      <c r="M20" s="4"/>
      <c r="N20" s="4"/>
      <c r="O20" s="4"/>
      <c r="P20" s="4"/>
      <c r="Q20" s="4"/>
      <c r="R20" s="4"/>
      <c r="S20" s="4"/>
      <c r="T20" s="4"/>
      <c r="U20" s="4"/>
      <c r="V20" s="4"/>
      <c r="W20" s="4"/>
      <c r="X20" s="4"/>
      <c r="Y20" s="4"/>
      <c r="Z20" s="4"/>
    </row>
    <row r="21">
      <c r="A21" s="69"/>
      <c r="B21" s="4"/>
      <c r="C21" s="4"/>
      <c r="D21" s="4"/>
      <c r="E21" s="4"/>
      <c r="F21" s="4"/>
      <c r="G21" s="4"/>
      <c r="H21" s="4"/>
      <c r="I21" s="4"/>
      <c r="J21" s="4"/>
      <c r="K21" s="4"/>
      <c r="L21" s="4"/>
      <c r="M21" s="4"/>
      <c r="N21" s="4"/>
      <c r="O21" s="4"/>
      <c r="P21" s="4"/>
      <c r="Q21" s="4"/>
      <c r="R21" s="4"/>
      <c r="S21" s="4"/>
      <c r="T21" s="4"/>
      <c r="U21" s="4"/>
      <c r="V21" s="4"/>
      <c r="W21" s="4"/>
      <c r="X21" s="4"/>
      <c r="Y21" s="4"/>
      <c r="Z21" s="4"/>
    </row>
    <row r="22">
      <c r="A22" s="69"/>
      <c r="B22" s="4"/>
      <c r="C22" s="4"/>
      <c r="D22" s="4"/>
      <c r="E22" s="4"/>
      <c r="F22" s="4"/>
      <c r="G22" s="4"/>
      <c r="H22" s="4"/>
      <c r="I22" s="4"/>
      <c r="J22" s="4"/>
      <c r="K22" s="4"/>
      <c r="L22" s="4"/>
      <c r="M22" s="4"/>
      <c r="N22" s="4"/>
      <c r="O22" s="4"/>
      <c r="P22" s="4"/>
      <c r="Q22" s="4"/>
      <c r="R22" s="4"/>
      <c r="S22" s="4"/>
      <c r="T22" s="4"/>
      <c r="U22" s="4"/>
      <c r="V22" s="4"/>
      <c r="W22" s="4"/>
      <c r="X22" s="4"/>
      <c r="Y22" s="4"/>
      <c r="Z22" s="4"/>
    </row>
    <row r="23">
      <c r="A23" s="69"/>
      <c r="B23" s="4"/>
      <c r="C23" s="4"/>
      <c r="D23" s="4"/>
      <c r="E23" s="4"/>
      <c r="F23" s="4"/>
      <c r="G23" s="4"/>
      <c r="H23" s="4"/>
      <c r="I23" s="4"/>
      <c r="J23" s="4"/>
      <c r="K23" s="4"/>
      <c r="L23" s="4"/>
      <c r="M23" s="4"/>
      <c r="N23" s="4"/>
      <c r="O23" s="4"/>
      <c r="P23" s="4"/>
      <c r="Q23" s="4"/>
      <c r="R23" s="4"/>
      <c r="S23" s="4"/>
      <c r="T23" s="4"/>
      <c r="U23" s="4"/>
      <c r="V23" s="4"/>
      <c r="W23" s="4"/>
      <c r="X23" s="4"/>
      <c r="Y23" s="4"/>
      <c r="Z23" s="4"/>
    </row>
    <row r="24">
      <c r="A24" s="69"/>
      <c r="B24" s="4"/>
      <c r="C24" s="4"/>
      <c r="D24" s="4"/>
      <c r="E24" s="4"/>
      <c r="F24" s="4"/>
      <c r="G24" s="4"/>
      <c r="H24" s="4"/>
      <c r="I24" s="4"/>
      <c r="J24" s="4"/>
      <c r="K24" s="4"/>
      <c r="L24" s="4"/>
      <c r="M24" s="4"/>
      <c r="N24" s="4"/>
      <c r="O24" s="4"/>
      <c r="P24" s="4"/>
      <c r="Q24" s="4"/>
      <c r="R24" s="4"/>
      <c r="S24" s="4"/>
      <c r="T24" s="4"/>
      <c r="U24" s="4"/>
      <c r="V24" s="4"/>
      <c r="W24" s="4"/>
      <c r="X24" s="4"/>
      <c r="Y24" s="4"/>
      <c r="Z24" s="4"/>
    </row>
    <row r="25">
      <c r="A25" s="69"/>
      <c r="B25" s="4"/>
      <c r="C25" s="4"/>
      <c r="D25" s="4"/>
      <c r="E25" s="4"/>
      <c r="F25" s="4"/>
      <c r="G25" s="4"/>
      <c r="H25" s="4"/>
      <c r="I25" s="4"/>
      <c r="J25" s="4"/>
      <c r="K25" s="4"/>
      <c r="L25" s="4"/>
      <c r="M25" s="4"/>
      <c r="N25" s="4"/>
      <c r="O25" s="4"/>
      <c r="P25" s="4"/>
      <c r="Q25" s="4"/>
      <c r="R25" s="4"/>
      <c r="S25" s="4"/>
      <c r="T25" s="4"/>
      <c r="U25" s="4"/>
      <c r="V25" s="4"/>
      <c r="W25" s="4"/>
      <c r="X25" s="4"/>
      <c r="Y25" s="4"/>
      <c r="Z25" s="4"/>
    </row>
    <row r="26">
      <c r="A26" s="69"/>
      <c r="B26" s="4"/>
      <c r="C26" s="4"/>
      <c r="D26" s="4"/>
      <c r="E26" s="4"/>
      <c r="F26" s="4"/>
      <c r="G26" s="4"/>
      <c r="H26" s="4"/>
      <c r="I26" s="4"/>
      <c r="J26" s="4"/>
      <c r="K26" s="4"/>
      <c r="L26" s="4"/>
      <c r="M26" s="4"/>
      <c r="N26" s="4"/>
      <c r="O26" s="4"/>
      <c r="P26" s="4"/>
      <c r="Q26" s="4"/>
      <c r="R26" s="4"/>
      <c r="S26" s="4"/>
      <c r="T26" s="4"/>
      <c r="U26" s="4"/>
      <c r="V26" s="4"/>
      <c r="W26" s="4"/>
      <c r="X26" s="4"/>
      <c r="Y26" s="4"/>
      <c r="Z26" s="4"/>
    </row>
    <row r="27">
      <c r="A27" s="69"/>
      <c r="B27" s="4"/>
      <c r="C27" s="4"/>
      <c r="D27" s="4"/>
      <c r="E27" s="4"/>
      <c r="F27" s="4"/>
      <c r="G27" s="4"/>
      <c r="H27" s="4"/>
      <c r="I27" s="4"/>
      <c r="J27" s="4"/>
      <c r="K27" s="4"/>
      <c r="L27" s="4"/>
      <c r="M27" s="4"/>
      <c r="N27" s="4"/>
      <c r="O27" s="4"/>
      <c r="P27" s="4"/>
      <c r="Q27" s="4"/>
      <c r="R27" s="4"/>
      <c r="S27" s="4"/>
      <c r="T27" s="4"/>
      <c r="U27" s="4"/>
      <c r="V27" s="4"/>
      <c r="W27" s="4"/>
      <c r="X27" s="4"/>
      <c r="Y27" s="4"/>
      <c r="Z27" s="4"/>
    </row>
    <row r="28">
      <c r="A28" s="69"/>
      <c r="B28" s="4"/>
      <c r="C28" s="4"/>
      <c r="D28" s="4"/>
      <c r="E28" s="4"/>
      <c r="F28" s="4"/>
      <c r="G28" s="4"/>
      <c r="H28" s="4"/>
      <c r="I28" s="4"/>
      <c r="J28" s="4"/>
      <c r="K28" s="4"/>
      <c r="L28" s="4"/>
      <c r="M28" s="4"/>
      <c r="N28" s="4"/>
      <c r="O28" s="4"/>
      <c r="P28" s="4"/>
      <c r="Q28" s="4"/>
      <c r="R28" s="4"/>
      <c r="S28" s="4"/>
      <c r="T28" s="4"/>
      <c r="U28" s="4"/>
      <c r="V28" s="4"/>
      <c r="W28" s="4"/>
      <c r="X28" s="4"/>
      <c r="Y28" s="4"/>
      <c r="Z28" s="4"/>
    </row>
    <row r="29">
      <c r="A29" s="69"/>
      <c r="B29" s="4"/>
      <c r="C29" s="4"/>
      <c r="D29" s="4"/>
      <c r="E29" s="4"/>
      <c r="F29" s="4"/>
      <c r="G29" s="4"/>
      <c r="H29" s="4"/>
      <c r="I29" s="4"/>
      <c r="J29" s="4"/>
      <c r="K29" s="4"/>
      <c r="L29" s="4"/>
      <c r="M29" s="4"/>
      <c r="N29" s="4"/>
      <c r="O29" s="4"/>
      <c r="P29" s="4"/>
      <c r="Q29" s="4"/>
      <c r="R29" s="4"/>
      <c r="S29" s="4"/>
      <c r="T29" s="4"/>
      <c r="U29" s="4"/>
      <c r="V29" s="4"/>
      <c r="W29" s="4"/>
      <c r="X29" s="4"/>
      <c r="Y29" s="4"/>
      <c r="Z29" s="4"/>
    </row>
    <row r="30">
      <c r="A30" s="69"/>
      <c r="B30" s="4"/>
      <c r="C30" s="4"/>
      <c r="D30" s="4"/>
      <c r="E30" s="4"/>
      <c r="F30" s="4"/>
      <c r="G30" s="4"/>
      <c r="H30" s="4"/>
      <c r="I30" s="4"/>
      <c r="J30" s="4"/>
      <c r="K30" s="4"/>
      <c r="L30" s="4"/>
      <c r="M30" s="4"/>
      <c r="N30" s="4"/>
      <c r="O30" s="4"/>
      <c r="P30" s="4"/>
      <c r="Q30" s="4"/>
      <c r="R30" s="4"/>
      <c r="S30" s="4"/>
      <c r="T30" s="4"/>
      <c r="U30" s="4"/>
      <c r="V30" s="4"/>
      <c r="W30" s="4"/>
      <c r="X30" s="4"/>
      <c r="Y30" s="4"/>
      <c r="Z30" s="4"/>
    </row>
    <row r="31">
      <c r="A31" s="69"/>
      <c r="B31" s="4"/>
      <c r="C31" s="4"/>
      <c r="D31" s="4"/>
      <c r="E31" s="4"/>
      <c r="F31" s="4"/>
      <c r="G31" s="4"/>
      <c r="H31" s="4"/>
      <c r="I31" s="4"/>
      <c r="J31" s="4"/>
      <c r="K31" s="4"/>
      <c r="L31" s="4"/>
      <c r="M31" s="4"/>
      <c r="N31" s="4"/>
      <c r="O31" s="4"/>
      <c r="P31" s="4"/>
      <c r="Q31" s="4"/>
      <c r="R31" s="4"/>
      <c r="S31" s="4"/>
      <c r="T31" s="4"/>
      <c r="U31" s="4"/>
      <c r="V31" s="4"/>
      <c r="W31" s="4"/>
      <c r="X31" s="4"/>
      <c r="Y31" s="4"/>
      <c r="Z31" s="4"/>
    </row>
    <row r="32">
      <c r="A32" s="69"/>
      <c r="B32" s="4"/>
      <c r="C32" s="4"/>
      <c r="D32" s="4"/>
      <c r="E32" s="4"/>
      <c r="F32" s="4"/>
      <c r="G32" s="4"/>
      <c r="H32" s="4"/>
      <c r="I32" s="4"/>
      <c r="J32" s="4"/>
      <c r="K32" s="4"/>
      <c r="L32" s="4"/>
      <c r="M32" s="4"/>
      <c r="N32" s="4"/>
      <c r="O32" s="4"/>
      <c r="P32" s="4"/>
      <c r="Q32" s="4"/>
      <c r="R32" s="4"/>
      <c r="S32" s="4"/>
      <c r="T32" s="4"/>
      <c r="U32" s="4"/>
      <c r="V32" s="4"/>
      <c r="W32" s="4"/>
      <c r="X32" s="4"/>
      <c r="Y32" s="4"/>
      <c r="Z32" s="4"/>
    </row>
    <row r="33">
      <c r="A33" s="69"/>
      <c r="B33" s="4"/>
      <c r="C33" s="4"/>
      <c r="D33" s="4"/>
      <c r="E33" s="4"/>
      <c r="F33" s="4"/>
      <c r="G33" s="4"/>
      <c r="H33" s="4"/>
      <c r="I33" s="4"/>
      <c r="J33" s="4"/>
      <c r="K33" s="4"/>
      <c r="L33" s="4"/>
      <c r="M33" s="4"/>
      <c r="N33" s="4"/>
      <c r="O33" s="4"/>
      <c r="P33" s="4"/>
      <c r="Q33" s="4"/>
      <c r="R33" s="4"/>
      <c r="S33" s="4"/>
      <c r="T33" s="4"/>
      <c r="U33" s="4"/>
      <c r="V33" s="4"/>
      <c r="W33" s="4"/>
      <c r="X33" s="4"/>
      <c r="Y33" s="4"/>
      <c r="Z33" s="4"/>
    </row>
    <row r="34">
      <c r="A34" s="69"/>
      <c r="B34" s="4"/>
      <c r="C34" s="4"/>
      <c r="D34" s="4"/>
      <c r="E34" s="4"/>
      <c r="F34" s="4"/>
      <c r="G34" s="4"/>
      <c r="H34" s="4"/>
      <c r="I34" s="4"/>
      <c r="J34" s="4"/>
      <c r="K34" s="4"/>
      <c r="L34" s="4"/>
      <c r="M34" s="4"/>
      <c r="N34" s="4"/>
      <c r="O34" s="4"/>
      <c r="P34" s="4"/>
      <c r="Q34" s="4"/>
      <c r="R34" s="4"/>
      <c r="S34" s="4"/>
      <c r="T34" s="4"/>
      <c r="U34" s="4"/>
      <c r="V34" s="4"/>
      <c r="W34" s="4"/>
      <c r="X34" s="4"/>
      <c r="Y34" s="4"/>
      <c r="Z34" s="4"/>
    </row>
    <row r="35">
      <c r="A35" s="69"/>
      <c r="B35" s="4"/>
      <c r="C35" s="4"/>
      <c r="D35" s="4"/>
      <c r="E35" s="4"/>
      <c r="F35" s="4"/>
      <c r="G35" s="4"/>
      <c r="H35" s="4"/>
      <c r="I35" s="4"/>
      <c r="J35" s="4"/>
      <c r="K35" s="4"/>
      <c r="L35" s="4"/>
      <c r="M35" s="4"/>
      <c r="N35" s="4"/>
      <c r="O35" s="4"/>
      <c r="P35" s="4"/>
      <c r="Q35" s="4"/>
      <c r="R35" s="4"/>
      <c r="S35" s="4"/>
      <c r="T35" s="4"/>
      <c r="U35" s="4"/>
      <c r="V35" s="4"/>
      <c r="W35" s="4"/>
      <c r="X35" s="4"/>
      <c r="Y35" s="4"/>
      <c r="Z35" s="4"/>
    </row>
    <row r="36">
      <c r="A36" s="69"/>
      <c r="B36" s="4"/>
      <c r="C36" s="4"/>
      <c r="D36" s="4"/>
      <c r="E36" s="4"/>
      <c r="F36" s="4"/>
      <c r="G36" s="4"/>
      <c r="H36" s="4"/>
      <c r="I36" s="4"/>
      <c r="J36" s="4"/>
      <c r="K36" s="4"/>
      <c r="L36" s="4"/>
      <c r="M36" s="4"/>
      <c r="N36" s="4"/>
      <c r="O36" s="4"/>
      <c r="P36" s="4"/>
      <c r="Q36" s="4"/>
      <c r="R36" s="4"/>
      <c r="S36" s="4"/>
      <c r="T36" s="4"/>
      <c r="U36" s="4"/>
      <c r="V36" s="4"/>
      <c r="W36" s="4"/>
      <c r="X36" s="4"/>
      <c r="Y36" s="4"/>
      <c r="Z36" s="4"/>
    </row>
    <row r="37">
      <c r="A37" s="69"/>
      <c r="B37" s="4"/>
      <c r="C37" s="4"/>
      <c r="D37" s="4"/>
      <c r="E37" s="4"/>
      <c r="F37" s="4"/>
      <c r="G37" s="4"/>
      <c r="H37" s="4"/>
      <c r="I37" s="4"/>
      <c r="J37" s="4"/>
      <c r="K37" s="4"/>
      <c r="L37" s="4"/>
      <c r="M37" s="4"/>
      <c r="N37" s="4"/>
      <c r="O37" s="4"/>
      <c r="P37" s="4"/>
      <c r="Q37" s="4"/>
      <c r="R37" s="4"/>
      <c r="S37" s="4"/>
      <c r="T37" s="4"/>
      <c r="U37" s="4"/>
      <c r="V37" s="4"/>
      <c r="W37" s="4"/>
      <c r="X37" s="4"/>
      <c r="Y37" s="4"/>
      <c r="Z37" s="4"/>
    </row>
    <row r="38">
      <c r="A38" s="69"/>
      <c r="B38" s="4"/>
      <c r="C38" s="4"/>
      <c r="D38" s="4"/>
      <c r="E38" s="4"/>
      <c r="F38" s="4"/>
      <c r="G38" s="4"/>
      <c r="H38" s="4"/>
      <c r="I38" s="4"/>
      <c r="J38" s="4"/>
      <c r="K38" s="4"/>
      <c r="L38" s="4"/>
      <c r="M38" s="4"/>
      <c r="N38" s="4"/>
      <c r="O38" s="4"/>
      <c r="P38" s="4"/>
      <c r="Q38" s="4"/>
      <c r="R38" s="4"/>
      <c r="S38" s="4"/>
      <c r="T38" s="4"/>
      <c r="U38" s="4"/>
      <c r="V38" s="4"/>
      <c r="W38" s="4"/>
      <c r="X38" s="4"/>
      <c r="Y38" s="4"/>
      <c r="Z38" s="4"/>
    </row>
    <row r="39">
      <c r="A39" s="69"/>
      <c r="B39" s="4"/>
      <c r="C39" s="4"/>
      <c r="D39" s="4"/>
      <c r="E39" s="4"/>
      <c r="F39" s="4"/>
      <c r="G39" s="4"/>
      <c r="H39" s="4"/>
      <c r="I39" s="4"/>
      <c r="J39" s="4"/>
      <c r="K39" s="4"/>
      <c r="L39" s="4"/>
      <c r="M39" s="4"/>
      <c r="N39" s="4"/>
      <c r="O39" s="4"/>
      <c r="P39" s="4"/>
      <c r="Q39" s="4"/>
      <c r="R39" s="4"/>
      <c r="S39" s="4"/>
      <c r="T39" s="4"/>
      <c r="U39" s="4"/>
      <c r="V39" s="4"/>
      <c r="W39" s="4"/>
      <c r="X39" s="4"/>
      <c r="Y39" s="4"/>
      <c r="Z39" s="4"/>
    </row>
    <row r="40">
      <c r="A40" s="69"/>
      <c r="B40" s="4"/>
      <c r="C40" s="4"/>
      <c r="D40" s="4"/>
      <c r="E40" s="4"/>
      <c r="F40" s="4"/>
      <c r="G40" s="4"/>
      <c r="H40" s="4"/>
      <c r="I40" s="4"/>
      <c r="J40" s="4"/>
      <c r="K40" s="4"/>
      <c r="L40" s="4"/>
      <c r="M40" s="4"/>
      <c r="N40" s="4"/>
      <c r="O40" s="4"/>
      <c r="P40" s="4"/>
      <c r="Q40" s="4"/>
      <c r="R40" s="4"/>
      <c r="S40" s="4"/>
      <c r="T40" s="4"/>
      <c r="U40" s="4"/>
      <c r="V40" s="4"/>
      <c r="W40" s="4"/>
      <c r="X40" s="4"/>
      <c r="Y40" s="4"/>
      <c r="Z40" s="4"/>
    </row>
    <row r="41">
      <c r="A41" s="69"/>
      <c r="B41" s="4"/>
      <c r="C41" s="4"/>
      <c r="D41" s="4"/>
      <c r="E41" s="4"/>
      <c r="F41" s="4"/>
      <c r="G41" s="4"/>
      <c r="H41" s="4"/>
      <c r="I41" s="4"/>
      <c r="J41" s="4"/>
      <c r="K41" s="4"/>
      <c r="L41" s="4"/>
      <c r="M41" s="4"/>
      <c r="N41" s="4"/>
      <c r="O41" s="4"/>
      <c r="P41" s="4"/>
      <c r="Q41" s="4"/>
      <c r="R41" s="4"/>
      <c r="S41" s="4"/>
      <c r="T41" s="4"/>
      <c r="U41" s="4"/>
      <c r="V41" s="4"/>
      <c r="W41" s="4"/>
      <c r="X41" s="4"/>
      <c r="Y41" s="4"/>
      <c r="Z41" s="4"/>
    </row>
    <row r="42">
      <c r="A42" s="69"/>
      <c r="B42" s="4"/>
      <c r="C42" s="4"/>
      <c r="D42" s="4"/>
      <c r="E42" s="4"/>
      <c r="F42" s="4"/>
      <c r="G42" s="4"/>
      <c r="H42" s="4"/>
      <c r="I42" s="4"/>
      <c r="J42" s="4"/>
      <c r="K42" s="4"/>
      <c r="L42" s="4"/>
      <c r="M42" s="4"/>
      <c r="N42" s="4"/>
      <c r="O42" s="4"/>
      <c r="P42" s="4"/>
      <c r="Q42" s="4"/>
      <c r="R42" s="4"/>
      <c r="S42" s="4"/>
      <c r="T42" s="4"/>
      <c r="U42" s="4"/>
      <c r="V42" s="4"/>
      <c r="W42" s="4"/>
      <c r="X42" s="4"/>
      <c r="Y42" s="4"/>
      <c r="Z42" s="4"/>
    </row>
    <row r="43">
      <c r="A43" s="69"/>
      <c r="B43" s="4"/>
      <c r="C43" s="4"/>
      <c r="D43" s="4"/>
      <c r="E43" s="4"/>
      <c r="F43" s="4"/>
      <c r="G43" s="4"/>
      <c r="H43" s="4"/>
      <c r="I43" s="4"/>
      <c r="J43" s="4"/>
      <c r="K43" s="4"/>
      <c r="L43" s="4"/>
      <c r="M43" s="4"/>
      <c r="N43" s="4"/>
      <c r="O43" s="4"/>
      <c r="P43" s="4"/>
      <c r="Q43" s="4"/>
      <c r="R43" s="4"/>
      <c r="S43" s="4"/>
      <c r="T43" s="4"/>
      <c r="U43" s="4"/>
      <c r="V43" s="4"/>
      <c r="W43" s="4"/>
      <c r="X43" s="4"/>
      <c r="Y43" s="4"/>
      <c r="Z43" s="4"/>
    </row>
    <row r="44">
      <c r="A44" s="69"/>
      <c r="B44" s="4"/>
      <c r="C44" s="4"/>
      <c r="D44" s="4"/>
      <c r="E44" s="4"/>
      <c r="F44" s="4"/>
      <c r="G44" s="4"/>
      <c r="H44" s="4"/>
      <c r="I44" s="4"/>
      <c r="J44" s="4"/>
      <c r="K44" s="4"/>
      <c r="L44" s="4"/>
      <c r="M44" s="4"/>
      <c r="N44" s="4"/>
      <c r="O44" s="4"/>
      <c r="P44" s="4"/>
      <c r="Q44" s="4"/>
      <c r="R44" s="4"/>
      <c r="S44" s="4"/>
      <c r="T44" s="4"/>
      <c r="U44" s="4"/>
      <c r="V44" s="4"/>
      <c r="W44" s="4"/>
      <c r="X44" s="4"/>
      <c r="Y44" s="4"/>
      <c r="Z44" s="4"/>
    </row>
    <row r="45">
      <c r="A45" s="69"/>
      <c r="B45" s="4"/>
      <c r="C45" s="4"/>
      <c r="D45" s="4"/>
      <c r="E45" s="4"/>
      <c r="F45" s="4"/>
      <c r="G45" s="4"/>
      <c r="H45" s="4"/>
      <c r="I45" s="4"/>
      <c r="J45" s="4"/>
      <c r="K45" s="4"/>
      <c r="L45" s="4"/>
      <c r="M45" s="4"/>
      <c r="N45" s="4"/>
      <c r="O45" s="4"/>
      <c r="P45" s="4"/>
      <c r="Q45" s="4"/>
      <c r="R45" s="4"/>
      <c r="S45" s="4"/>
      <c r="T45" s="4"/>
      <c r="U45" s="4"/>
      <c r="V45" s="4"/>
      <c r="W45" s="4"/>
      <c r="X45" s="4"/>
      <c r="Y45" s="4"/>
      <c r="Z45" s="4"/>
    </row>
    <row r="46">
      <c r="A46" s="69"/>
      <c r="B46" s="4"/>
      <c r="C46" s="4"/>
      <c r="D46" s="4"/>
      <c r="E46" s="4"/>
      <c r="F46" s="4"/>
      <c r="G46" s="4"/>
      <c r="H46" s="4"/>
      <c r="I46" s="4"/>
      <c r="J46" s="4"/>
      <c r="K46" s="4"/>
      <c r="L46" s="4"/>
      <c r="M46" s="4"/>
      <c r="N46" s="4"/>
      <c r="O46" s="4"/>
      <c r="P46" s="4"/>
      <c r="Q46" s="4"/>
      <c r="R46" s="4"/>
      <c r="S46" s="4"/>
      <c r="T46" s="4"/>
      <c r="U46" s="4"/>
      <c r="V46" s="4"/>
      <c r="W46" s="4"/>
      <c r="X46" s="4"/>
      <c r="Y46" s="4"/>
      <c r="Z46" s="4"/>
    </row>
    <row r="47">
      <c r="A47" s="69"/>
      <c r="B47" s="4"/>
      <c r="C47" s="4"/>
      <c r="D47" s="4"/>
      <c r="E47" s="4"/>
      <c r="F47" s="4"/>
      <c r="G47" s="4"/>
      <c r="H47" s="4"/>
      <c r="I47" s="4"/>
      <c r="J47" s="4"/>
      <c r="K47" s="4"/>
      <c r="L47" s="4"/>
      <c r="M47" s="4"/>
      <c r="N47" s="4"/>
      <c r="O47" s="4"/>
      <c r="P47" s="4"/>
      <c r="Q47" s="4"/>
      <c r="R47" s="4"/>
      <c r="S47" s="4"/>
      <c r="T47" s="4"/>
      <c r="U47" s="4"/>
      <c r="V47" s="4"/>
      <c r="W47" s="4"/>
      <c r="X47" s="4"/>
      <c r="Y47" s="4"/>
      <c r="Z47" s="4"/>
    </row>
    <row r="48">
      <c r="A48" s="69"/>
      <c r="B48" s="4"/>
      <c r="C48" s="4"/>
      <c r="D48" s="4"/>
      <c r="E48" s="4"/>
      <c r="F48" s="4"/>
      <c r="G48" s="4"/>
      <c r="H48" s="4"/>
      <c r="I48" s="4"/>
      <c r="J48" s="4"/>
      <c r="K48" s="4"/>
      <c r="L48" s="4"/>
      <c r="M48" s="4"/>
      <c r="N48" s="4"/>
      <c r="O48" s="4"/>
      <c r="P48" s="4"/>
      <c r="Q48" s="4"/>
      <c r="R48" s="4"/>
      <c r="S48" s="4"/>
      <c r="T48" s="4"/>
      <c r="U48" s="4"/>
      <c r="V48" s="4"/>
      <c r="W48" s="4"/>
      <c r="X48" s="4"/>
      <c r="Y48" s="4"/>
      <c r="Z48" s="4"/>
    </row>
    <row r="49">
      <c r="A49" s="69"/>
      <c r="B49" s="4"/>
      <c r="C49" s="4"/>
      <c r="D49" s="4"/>
      <c r="E49" s="4"/>
      <c r="F49" s="4"/>
      <c r="G49" s="4"/>
      <c r="H49" s="4"/>
      <c r="I49" s="4"/>
      <c r="J49" s="4"/>
      <c r="K49" s="4"/>
      <c r="L49" s="4"/>
      <c r="M49" s="4"/>
      <c r="N49" s="4"/>
      <c r="O49" s="4"/>
      <c r="P49" s="4"/>
      <c r="Q49" s="4"/>
      <c r="R49" s="4"/>
      <c r="S49" s="4"/>
      <c r="T49" s="4"/>
      <c r="U49" s="4"/>
      <c r="V49" s="4"/>
      <c r="W49" s="4"/>
      <c r="X49" s="4"/>
      <c r="Y49" s="4"/>
      <c r="Z49" s="4"/>
    </row>
    <row r="50">
      <c r="A50" s="69"/>
      <c r="B50" s="4"/>
      <c r="C50" s="4"/>
      <c r="D50" s="4"/>
      <c r="E50" s="4"/>
      <c r="F50" s="4"/>
      <c r="G50" s="4"/>
      <c r="H50" s="4"/>
      <c r="I50" s="4"/>
      <c r="J50" s="4"/>
      <c r="K50" s="4"/>
      <c r="L50" s="4"/>
      <c r="M50" s="4"/>
      <c r="N50" s="4"/>
      <c r="O50" s="4"/>
      <c r="P50" s="4"/>
      <c r="Q50" s="4"/>
      <c r="R50" s="4"/>
      <c r="S50" s="4"/>
      <c r="T50" s="4"/>
      <c r="U50" s="4"/>
      <c r="V50" s="4"/>
      <c r="W50" s="4"/>
      <c r="X50" s="4"/>
      <c r="Y50" s="4"/>
      <c r="Z50" s="4"/>
    </row>
    <row r="51">
      <c r="A51" s="69"/>
      <c r="B51" s="4"/>
      <c r="C51" s="4"/>
      <c r="D51" s="4"/>
      <c r="E51" s="4"/>
      <c r="F51" s="4"/>
      <c r="G51" s="4"/>
      <c r="H51" s="4"/>
      <c r="I51" s="4"/>
      <c r="J51" s="4"/>
      <c r="K51" s="4"/>
      <c r="L51" s="4"/>
      <c r="M51" s="4"/>
      <c r="N51" s="4"/>
      <c r="O51" s="4"/>
      <c r="P51" s="4"/>
      <c r="Q51" s="4"/>
      <c r="R51" s="4"/>
      <c r="S51" s="4"/>
      <c r="T51" s="4"/>
      <c r="U51" s="4"/>
      <c r="V51" s="4"/>
      <c r="W51" s="4"/>
      <c r="X51" s="4"/>
      <c r="Y51" s="4"/>
      <c r="Z51" s="4"/>
    </row>
    <row r="52">
      <c r="A52" s="69"/>
      <c r="B52" s="4"/>
      <c r="C52" s="4"/>
      <c r="D52" s="4"/>
      <c r="E52" s="4"/>
      <c r="F52" s="4"/>
      <c r="G52" s="4"/>
      <c r="H52" s="4"/>
      <c r="I52" s="4"/>
      <c r="J52" s="4"/>
      <c r="K52" s="4"/>
      <c r="L52" s="4"/>
      <c r="M52" s="4"/>
      <c r="N52" s="4"/>
      <c r="O52" s="4"/>
      <c r="P52" s="4"/>
      <c r="Q52" s="4"/>
      <c r="R52" s="4"/>
      <c r="S52" s="4"/>
      <c r="T52" s="4"/>
      <c r="U52" s="4"/>
      <c r="V52" s="4"/>
      <c r="W52" s="4"/>
      <c r="X52" s="4"/>
      <c r="Y52" s="4"/>
      <c r="Z52" s="4"/>
    </row>
    <row r="53">
      <c r="A53" s="69"/>
      <c r="B53" s="4"/>
      <c r="C53" s="4"/>
      <c r="D53" s="4"/>
      <c r="E53" s="4"/>
      <c r="F53" s="4"/>
      <c r="G53" s="4"/>
      <c r="H53" s="4"/>
      <c r="I53" s="4"/>
      <c r="J53" s="4"/>
      <c r="K53" s="4"/>
      <c r="L53" s="4"/>
      <c r="M53" s="4"/>
      <c r="N53" s="4"/>
      <c r="O53" s="4"/>
      <c r="P53" s="4"/>
      <c r="Q53" s="4"/>
      <c r="R53" s="4"/>
      <c r="S53" s="4"/>
      <c r="T53" s="4"/>
      <c r="U53" s="4"/>
      <c r="V53" s="4"/>
      <c r="W53" s="4"/>
      <c r="X53" s="4"/>
      <c r="Y53" s="4"/>
      <c r="Z53" s="4"/>
    </row>
    <row r="54">
      <c r="A54" s="69"/>
      <c r="B54" s="4"/>
      <c r="C54" s="4"/>
      <c r="D54" s="4"/>
      <c r="E54" s="4"/>
      <c r="F54" s="4"/>
      <c r="G54" s="4"/>
      <c r="H54" s="4"/>
      <c r="I54" s="4"/>
      <c r="J54" s="4"/>
      <c r="K54" s="4"/>
      <c r="L54" s="4"/>
      <c r="M54" s="4"/>
      <c r="N54" s="4"/>
      <c r="O54" s="4"/>
      <c r="P54" s="4"/>
      <c r="Q54" s="4"/>
      <c r="R54" s="4"/>
      <c r="S54" s="4"/>
      <c r="T54" s="4"/>
      <c r="U54" s="4"/>
      <c r="V54" s="4"/>
      <c r="W54" s="4"/>
      <c r="X54" s="4"/>
      <c r="Y54" s="4"/>
      <c r="Z54" s="4"/>
    </row>
    <row r="55">
      <c r="A55" s="69"/>
      <c r="B55" s="4"/>
      <c r="C55" s="4"/>
      <c r="D55" s="4"/>
      <c r="E55" s="4"/>
      <c r="F55" s="4"/>
      <c r="G55" s="4"/>
      <c r="H55" s="4"/>
      <c r="I55" s="4"/>
      <c r="J55" s="4"/>
      <c r="K55" s="4"/>
      <c r="L55" s="4"/>
      <c r="M55" s="4"/>
      <c r="N55" s="4"/>
      <c r="O55" s="4"/>
      <c r="P55" s="4"/>
      <c r="Q55" s="4"/>
      <c r="R55" s="4"/>
      <c r="S55" s="4"/>
      <c r="T55" s="4"/>
      <c r="U55" s="4"/>
      <c r="V55" s="4"/>
      <c r="W55" s="4"/>
      <c r="X55" s="4"/>
      <c r="Y55" s="4"/>
      <c r="Z55" s="4"/>
    </row>
    <row r="56">
      <c r="A56" s="69"/>
      <c r="B56" s="4"/>
      <c r="C56" s="4"/>
      <c r="D56" s="4"/>
      <c r="E56" s="4"/>
      <c r="F56" s="4"/>
      <c r="G56" s="4"/>
      <c r="H56" s="4"/>
      <c r="I56" s="4"/>
      <c r="J56" s="4"/>
      <c r="K56" s="4"/>
      <c r="L56" s="4"/>
      <c r="M56" s="4"/>
      <c r="N56" s="4"/>
      <c r="O56" s="4"/>
      <c r="P56" s="4"/>
      <c r="Q56" s="4"/>
      <c r="R56" s="4"/>
      <c r="S56" s="4"/>
      <c r="T56" s="4"/>
      <c r="U56" s="4"/>
      <c r="V56" s="4"/>
      <c r="W56" s="4"/>
      <c r="X56" s="4"/>
      <c r="Y56" s="4"/>
      <c r="Z56" s="4"/>
    </row>
    <row r="57">
      <c r="A57" s="69"/>
      <c r="B57" s="4"/>
      <c r="C57" s="4"/>
      <c r="D57" s="4"/>
      <c r="E57" s="4"/>
      <c r="F57" s="4"/>
      <c r="G57" s="4"/>
      <c r="H57" s="4"/>
      <c r="I57" s="4"/>
      <c r="J57" s="4"/>
      <c r="K57" s="4"/>
      <c r="L57" s="4"/>
      <c r="M57" s="4"/>
      <c r="N57" s="4"/>
      <c r="O57" s="4"/>
      <c r="P57" s="4"/>
      <c r="Q57" s="4"/>
      <c r="R57" s="4"/>
      <c r="S57" s="4"/>
      <c r="T57" s="4"/>
      <c r="U57" s="4"/>
      <c r="V57" s="4"/>
      <c r="W57" s="4"/>
      <c r="X57" s="4"/>
      <c r="Y57" s="4"/>
      <c r="Z57" s="4"/>
    </row>
    <row r="58">
      <c r="A58" s="69"/>
      <c r="B58" s="4"/>
      <c r="C58" s="4"/>
      <c r="D58" s="4"/>
      <c r="E58" s="4"/>
      <c r="F58" s="4"/>
      <c r="G58" s="4"/>
      <c r="H58" s="4"/>
      <c r="I58" s="4"/>
      <c r="J58" s="4"/>
      <c r="K58" s="4"/>
      <c r="L58" s="4"/>
      <c r="M58" s="4"/>
      <c r="N58" s="4"/>
      <c r="O58" s="4"/>
      <c r="P58" s="4"/>
      <c r="Q58" s="4"/>
      <c r="R58" s="4"/>
      <c r="S58" s="4"/>
      <c r="T58" s="4"/>
      <c r="U58" s="4"/>
      <c r="V58" s="4"/>
      <c r="W58" s="4"/>
      <c r="X58" s="4"/>
      <c r="Y58" s="4"/>
      <c r="Z58" s="4"/>
    </row>
    <row r="59">
      <c r="A59" s="69"/>
      <c r="B59" s="4"/>
      <c r="C59" s="4"/>
      <c r="D59" s="4"/>
      <c r="E59" s="4"/>
      <c r="F59" s="4"/>
      <c r="G59" s="4"/>
      <c r="H59" s="4"/>
      <c r="I59" s="4"/>
      <c r="J59" s="4"/>
      <c r="K59" s="4"/>
      <c r="L59" s="4"/>
      <c r="M59" s="4"/>
      <c r="N59" s="4"/>
      <c r="O59" s="4"/>
      <c r="P59" s="4"/>
      <c r="Q59" s="4"/>
      <c r="R59" s="4"/>
      <c r="S59" s="4"/>
      <c r="T59" s="4"/>
      <c r="U59" s="4"/>
      <c r="V59" s="4"/>
      <c r="W59" s="4"/>
      <c r="X59" s="4"/>
      <c r="Y59" s="4"/>
      <c r="Z59" s="4"/>
    </row>
    <row r="60">
      <c r="A60" s="69"/>
      <c r="B60" s="4"/>
      <c r="C60" s="4"/>
      <c r="D60" s="4"/>
      <c r="E60" s="4"/>
      <c r="F60" s="4"/>
      <c r="G60" s="4"/>
      <c r="H60" s="4"/>
      <c r="I60" s="4"/>
      <c r="J60" s="4"/>
      <c r="K60" s="4"/>
      <c r="L60" s="4"/>
      <c r="M60" s="4"/>
      <c r="N60" s="4"/>
      <c r="O60" s="4"/>
      <c r="P60" s="4"/>
      <c r="Q60" s="4"/>
      <c r="R60" s="4"/>
      <c r="S60" s="4"/>
      <c r="T60" s="4"/>
      <c r="U60" s="4"/>
      <c r="V60" s="4"/>
      <c r="W60" s="4"/>
      <c r="X60" s="4"/>
      <c r="Y60" s="4"/>
      <c r="Z60" s="4"/>
    </row>
    <row r="61">
      <c r="A61" s="69"/>
      <c r="B61" s="4"/>
      <c r="C61" s="4"/>
      <c r="D61" s="4"/>
      <c r="E61" s="4"/>
      <c r="F61" s="4"/>
      <c r="G61" s="4"/>
      <c r="H61" s="4"/>
      <c r="I61" s="4"/>
      <c r="J61" s="4"/>
      <c r="K61" s="4"/>
      <c r="L61" s="4"/>
      <c r="M61" s="4"/>
      <c r="N61" s="4"/>
      <c r="O61" s="4"/>
      <c r="P61" s="4"/>
      <c r="Q61" s="4"/>
      <c r="R61" s="4"/>
      <c r="S61" s="4"/>
      <c r="T61" s="4"/>
      <c r="U61" s="4"/>
      <c r="V61" s="4"/>
      <c r="W61" s="4"/>
      <c r="X61" s="4"/>
      <c r="Y61" s="4"/>
      <c r="Z61" s="4"/>
    </row>
    <row r="62">
      <c r="A62" s="69"/>
      <c r="B62" s="4"/>
      <c r="C62" s="4"/>
      <c r="D62" s="4"/>
      <c r="E62" s="4"/>
      <c r="F62" s="4"/>
      <c r="G62" s="4"/>
      <c r="H62" s="4"/>
      <c r="I62" s="4"/>
      <c r="J62" s="4"/>
      <c r="K62" s="4"/>
      <c r="L62" s="4"/>
      <c r="M62" s="4"/>
      <c r="N62" s="4"/>
      <c r="O62" s="4"/>
      <c r="P62" s="4"/>
      <c r="Q62" s="4"/>
      <c r="R62" s="4"/>
      <c r="S62" s="4"/>
      <c r="T62" s="4"/>
      <c r="U62" s="4"/>
      <c r="V62" s="4"/>
      <c r="W62" s="4"/>
      <c r="X62" s="4"/>
      <c r="Y62" s="4"/>
      <c r="Z62" s="4"/>
    </row>
    <row r="63">
      <c r="A63" s="69"/>
      <c r="B63" s="4"/>
      <c r="C63" s="4"/>
      <c r="D63" s="4"/>
      <c r="E63" s="4"/>
      <c r="F63" s="4"/>
      <c r="G63" s="4"/>
      <c r="H63" s="4"/>
      <c r="I63" s="4"/>
      <c r="J63" s="4"/>
      <c r="K63" s="4"/>
      <c r="L63" s="4"/>
      <c r="M63" s="4"/>
      <c r="N63" s="4"/>
      <c r="O63" s="4"/>
      <c r="P63" s="4"/>
      <c r="Q63" s="4"/>
      <c r="R63" s="4"/>
      <c r="S63" s="4"/>
      <c r="T63" s="4"/>
      <c r="U63" s="4"/>
      <c r="V63" s="4"/>
      <c r="W63" s="4"/>
      <c r="X63" s="4"/>
      <c r="Y63" s="4"/>
      <c r="Z63" s="4"/>
    </row>
    <row r="64">
      <c r="A64" s="69"/>
      <c r="B64" s="4"/>
      <c r="C64" s="4"/>
      <c r="D64" s="4"/>
      <c r="E64" s="4"/>
      <c r="F64" s="4"/>
      <c r="G64" s="4"/>
      <c r="H64" s="4"/>
      <c r="I64" s="4"/>
      <c r="J64" s="4"/>
      <c r="K64" s="4"/>
      <c r="L64" s="4"/>
      <c r="M64" s="4"/>
      <c r="N64" s="4"/>
      <c r="O64" s="4"/>
      <c r="P64" s="4"/>
      <c r="Q64" s="4"/>
      <c r="R64" s="4"/>
      <c r="S64" s="4"/>
      <c r="T64" s="4"/>
      <c r="U64" s="4"/>
      <c r="V64" s="4"/>
      <c r="W64" s="4"/>
      <c r="X64" s="4"/>
      <c r="Y64" s="4"/>
      <c r="Z64" s="4"/>
    </row>
    <row r="65">
      <c r="A65" s="69"/>
      <c r="B65" s="4"/>
      <c r="C65" s="4"/>
      <c r="D65" s="4"/>
      <c r="E65" s="4"/>
      <c r="F65" s="4"/>
      <c r="G65" s="4"/>
      <c r="H65" s="4"/>
      <c r="I65" s="4"/>
      <c r="J65" s="4"/>
      <c r="K65" s="4"/>
      <c r="L65" s="4"/>
      <c r="M65" s="4"/>
      <c r="N65" s="4"/>
      <c r="O65" s="4"/>
      <c r="P65" s="4"/>
      <c r="Q65" s="4"/>
      <c r="R65" s="4"/>
      <c r="S65" s="4"/>
      <c r="T65" s="4"/>
      <c r="U65" s="4"/>
      <c r="V65" s="4"/>
      <c r="W65" s="4"/>
      <c r="X65" s="4"/>
      <c r="Y65" s="4"/>
      <c r="Z65" s="4"/>
    </row>
    <row r="66">
      <c r="A66" s="69"/>
      <c r="B66" s="4"/>
      <c r="C66" s="4"/>
      <c r="D66" s="4"/>
      <c r="E66" s="4"/>
      <c r="F66" s="4"/>
      <c r="G66" s="4"/>
      <c r="H66" s="4"/>
      <c r="I66" s="4"/>
      <c r="J66" s="4"/>
      <c r="K66" s="4"/>
      <c r="L66" s="4"/>
      <c r="M66" s="4"/>
      <c r="N66" s="4"/>
      <c r="O66" s="4"/>
      <c r="P66" s="4"/>
      <c r="Q66" s="4"/>
      <c r="R66" s="4"/>
      <c r="S66" s="4"/>
      <c r="T66" s="4"/>
      <c r="U66" s="4"/>
      <c r="V66" s="4"/>
      <c r="W66" s="4"/>
      <c r="X66" s="4"/>
      <c r="Y66" s="4"/>
      <c r="Z66" s="4"/>
    </row>
    <row r="67">
      <c r="A67" s="69"/>
      <c r="B67" s="4"/>
      <c r="C67" s="4"/>
      <c r="D67" s="4"/>
      <c r="E67" s="4"/>
      <c r="F67" s="4"/>
      <c r="G67" s="4"/>
      <c r="H67" s="4"/>
      <c r="I67" s="4"/>
      <c r="J67" s="4"/>
      <c r="K67" s="4"/>
      <c r="L67" s="4"/>
      <c r="M67" s="4"/>
      <c r="N67" s="4"/>
      <c r="O67" s="4"/>
      <c r="P67" s="4"/>
      <c r="Q67" s="4"/>
      <c r="R67" s="4"/>
      <c r="S67" s="4"/>
      <c r="T67" s="4"/>
      <c r="U67" s="4"/>
      <c r="V67" s="4"/>
      <c r="W67" s="4"/>
      <c r="X67" s="4"/>
      <c r="Y67" s="4"/>
      <c r="Z67" s="4"/>
    </row>
    <row r="68">
      <c r="A68" s="69"/>
      <c r="B68" s="4"/>
      <c r="C68" s="4"/>
      <c r="D68" s="4"/>
      <c r="E68" s="4"/>
      <c r="F68" s="4"/>
      <c r="G68" s="4"/>
      <c r="H68" s="4"/>
      <c r="I68" s="4"/>
      <c r="J68" s="4"/>
      <c r="K68" s="4"/>
      <c r="L68" s="4"/>
      <c r="M68" s="4"/>
      <c r="N68" s="4"/>
      <c r="O68" s="4"/>
      <c r="P68" s="4"/>
      <c r="Q68" s="4"/>
      <c r="R68" s="4"/>
      <c r="S68" s="4"/>
      <c r="T68" s="4"/>
      <c r="U68" s="4"/>
      <c r="V68" s="4"/>
      <c r="W68" s="4"/>
      <c r="X68" s="4"/>
      <c r="Y68" s="4"/>
      <c r="Z68" s="4"/>
    </row>
    <row r="69">
      <c r="A69" s="69"/>
      <c r="B69" s="4"/>
      <c r="C69" s="4"/>
      <c r="D69" s="4"/>
      <c r="E69" s="4"/>
      <c r="F69" s="4"/>
      <c r="G69" s="4"/>
      <c r="H69" s="4"/>
      <c r="I69" s="4"/>
      <c r="J69" s="4"/>
      <c r="K69" s="4"/>
      <c r="L69" s="4"/>
      <c r="M69" s="4"/>
      <c r="N69" s="4"/>
      <c r="O69" s="4"/>
      <c r="P69" s="4"/>
      <c r="Q69" s="4"/>
      <c r="R69" s="4"/>
      <c r="S69" s="4"/>
      <c r="T69" s="4"/>
      <c r="U69" s="4"/>
      <c r="V69" s="4"/>
      <c r="W69" s="4"/>
      <c r="X69" s="4"/>
      <c r="Y69" s="4"/>
      <c r="Z69" s="4"/>
    </row>
    <row r="70">
      <c r="A70" s="69"/>
      <c r="B70" s="4"/>
      <c r="C70" s="4"/>
      <c r="D70" s="4"/>
      <c r="E70" s="4"/>
      <c r="F70" s="4"/>
      <c r="G70" s="4"/>
      <c r="H70" s="4"/>
      <c r="I70" s="4"/>
      <c r="J70" s="4"/>
      <c r="K70" s="4"/>
      <c r="L70" s="4"/>
      <c r="M70" s="4"/>
      <c r="N70" s="4"/>
      <c r="O70" s="4"/>
      <c r="P70" s="4"/>
      <c r="Q70" s="4"/>
      <c r="R70" s="4"/>
      <c r="S70" s="4"/>
      <c r="T70" s="4"/>
      <c r="U70" s="4"/>
      <c r="V70" s="4"/>
      <c r="W70" s="4"/>
      <c r="X70" s="4"/>
      <c r="Y70" s="4"/>
      <c r="Z70" s="4"/>
    </row>
    <row r="71">
      <c r="A71" s="69"/>
      <c r="B71" s="4"/>
      <c r="C71" s="4"/>
      <c r="D71" s="4"/>
      <c r="E71" s="4"/>
      <c r="F71" s="4"/>
      <c r="G71" s="4"/>
      <c r="H71" s="4"/>
      <c r="I71" s="4"/>
      <c r="J71" s="4"/>
      <c r="K71" s="4"/>
      <c r="L71" s="4"/>
      <c r="M71" s="4"/>
      <c r="N71" s="4"/>
      <c r="O71" s="4"/>
      <c r="P71" s="4"/>
      <c r="Q71" s="4"/>
      <c r="R71" s="4"/>
      <c r="S71" s="4"/>
      <c r="T71" s="4"/>
      <c r="U71" s="4"/>
      <c r="V71" s="4"/>
      <c r="W71" s="4"/>
      <c r="X71" s="4"/>
      <c r="Y71" s="4"/>
      <c r="Z71" s="4"/>
    </row>
    <row r="72">
      <c r="A72" s="69"/>
      <c r="B72" s="4"/>
      <c r="C72" s="4"/>
      <c r="D72" s="4"/>
      <c r="E72" s="4"/>
      <c r="F72" s="4"/>
      <c r="G72" s="4"/>
      <c r="H72" s="4"/>
      <c r="I72" s="4"/>
      <c r="J72" s="4"/>
      <c r="K72" s="4"/>
      <c r="L72" s="4"/>
      <c r="M72" s="4"/>
      <c r="N72" s="4"/>
      <c r="O72" s="4"/>
      <c r="P72" s="4"/>
      <c r="Q72" s="4"/>
      <c r="R72" s="4"/>
      <c r="S72" s="4"/>
      <c r="T72" s="4"/>
      <c r="U72" s="4"/>
      <c r="V72" s="4"/>
      <c r="W72" s="4"/>
      <c r="X72" s="4"/>
      <c r="Y72" s="4"/>
      <c r="Z72" s="4"/>
    </row>
    <row r="73">
      <c r="A73" s="69"/>
      <c r="B73" s="4"/>
      <c r="C73" s="4"/>
      <c r="D73" s="4"/>
      <c r="E73" s="4"/>
      <c r="F73" s="4"/>
      <c r="G73" s="4"/>
      <c r="H73" s="4"/>
      <c r="I73" s="4"/>
      <c r="J73" s="4"/>
      <c r="K73" s="4"/>
      <c r="L73" s="4"/>
      <c r="M73" s="4"/>
      <c r="N73" s="4"/>
      <c r="O73" s="4"/>
      <c r="P73" s="4"/>
      <c r="Q73" s="4"/>
      <c r="R73" s="4"/>
      <c r="S73" s="4"/>
      <c r="T73" s="4"/>
      <c r="U73" s="4"/>
      <c r="V73" s="4"/>
      <c r="W73" s="4"/>
      <c r="X73" s="4"/>
      <c r="Y73" s="4"/>
      <c r="Z73" s="4"/>
    </row>
    <row r="74">
      <c r="A74" s="69"/>
      <c r="B74" s="4"/>
      <c r="C74" s="4"/>
      <c r="D74" s="4"/>
      <c r="E74" s="4"/>
      <c r="F74" s="4"/>
      <c r="G74" s="4"/>
      <c r="H74" s="4"/>
      <c r="I74" s="4"/>
      <c r="J74" s="4"/>
      <c r="K74" s="4"/>
      <c r="L74" s="4"/>
      <c r="M74" s="4"/>
      <c r="N74" s="4"/>
      <c r="O74" s="4"/>
      <c r="P74" s="4"/>
      <c r="Q74" s="4"/>
      <c r="R74" s="4"/>
      <c r="S74" s="4"/>
      <c r="T74" s="4"/>
      <c r="U74" s="4"/>
      <c r="V74" s="4"/>
      <c r="W74" s="4"/>
      <c r="X74" s="4"/>
      <c r="Y74" s="4"/>
      <c r="Z74" s="4"/>
    </row>
    <row r="75">
      <c r="A75" s="69"/>
      <c r="B75" s="4"/>
      <c r="C75" s="4"/>
      <c r="D75" s="4"/>
      <c r="E75" s="4"/>
      <c r="F75" s="4"/>
      <c r="G75" s="4"/>
      <c r="H75" s="4"/>
      <c r="I75" s="4"/>
      <c r="J75" s="4"/>
      <c r="K75" s="4"/>
      <c r="L75" s="4"/>
      <c r="M75" s="4"/>
      <c r="N75" s="4"/>
      <c r="O75" s="4"/>
      <c r="P75" s="4"/>
      <c r="Q75" s="4"/>
      <c r="R75" s="4"/>
      <c r="S75" s="4"/>
      <c r="T75" s="4"/>
      <c r="U75" s="4"/>
      <c r="V75" s="4"/>
      <c r="W75" s="4"/>
      <c r="X75" s="4"/>
      <c r="Y75" s="4"/>
      <c r="Z75" s="4"/>
    </row>
    <row r="76">
      <c r="A76" s="69"/>
      <c r="B76" s="4"/>
      <c r="C76" s="4"/>
      <c r="D76" s="4"/>
      <c r="E76" s="4"/>
      <c r="F76" s="4"/>
      <c r="G76" s="4"/>
      <c r="H76" s="4"/>
      <c r="I76" s="4"/>
      <c r="J76" s="4"/>
      <c r="K76" s="4"/>
      <c r="L76" s="4"/>
      <c r="M76" s="4"/>
      <c r="N76" s="4"/>
      <c r="O76" s="4"/>
      <c r="P76" s="4"/>
      <c r="Q76" s="4"/>
      <c r="R76" s="4"/>
      <c r="S76" s="4"/>
      <c r="T76" s="4"/>
      <c r="U76" s="4"/>
      <c r="V76" s="4"/>
      <c r="W76" s="4"/>
      <c r="X76" s="4"/>
      <c r="Y76" s="4"/>
      <c r="Z76" s="4"/>
    </row>
    <row r="77">
      <c r="A77" s="69"/>
      <c r="B77" s="4"/>
      <c r="C77" s="4"/>
      <c r="D77" s="4"/>
      <c r="E77" s="4"/>
      <c r="F77" s="4"/>
      <c r="G77" s="4"/>
      <c r="H77" s="4"/>
      <c r="I77" s="4"/>
      <c r="J77" s="4"/>
      <c r="K77" s="4"/>
      <c r="L77" s="4"/>
      <c r="M77" s="4"/>
      <c r="N77" s="4"/>
      <c r="O77" s="4"/>
      <c r="P77" s="4"/>
      <c r="Q77" s="4"/>
      <c r="R77" s="4"/>
      <c r="S77" s="4"/>
      <c r="T77" s="4"/>
      <c r="U77" s="4"/>
      <c r="V77" s="4"/>
      <c r="W77" s="4"/>
      <c r="X77" s="4"/>
      <c r="Y77" s="4"/>
      <c r="Z77" s="4"/>
    </row>
    <row r="78">
      <c r="A78" s="69"/>
      <c r="B78" s="4"/>
      <c r="C78" s="4"/>
      <c r="D78" s="4"/>
      <c r="E78" s="4"/>
      <c r="F78" s="4"/>
      <c r="G78" s="4"/>
      <c r="H78" s="4"/>
      <c r="I78" s="4"/>
      <c r="J78" s="4"/>
      <c r="K78" s="4"/>
      <c r="L78" s="4"/>
      <c r="M78" s="4"/>
      <c r="N78" s="4"/>
      <c r="O78" s="4"/>
      <c r="P78" s="4"/>
      <c r="Q78" s="4"/>
      <c r="R78" s="4"/>
      <c r="S78" s="4"/>
      <c r="T78" s="4"/>
      <c r="U78" s="4"/>
      <c r="V78" s="4"/>
      <c r="W78" s="4"/>
      <c r="X78" s="4"/>
      <c r="Y78" s="4"/>
      <c r="Z78" s="4"/>
    </row>
    <row r="79">
      <c r="A79" s="69"/>
      <c r="B79" s="4"/>
      <c r="C79" s="4"/>
      <c r="D79" s="4"/>
      <c r="E79" s="4"/>
      <c r="F79" s="4"/>
      <c r="G79" s="4"/>
      <c r="H79" s="4"/>
      <c r="I79" s="4"/>
      <c r="J79" s="4"/>
      <c r="K79" s="4"/>
      <c r="L79" s="4"/>
      <c r="M79" s="4"/>
      <c r="N79" s="4"/>
      <c r="O79" s="4"/>
      <c r="P79" s="4"/>
      <c r="Q79" s="4"/>
      <c r="R79" s="4"/>
      <c r="S79" s="4"/>
      <c r="T79" s="4"/>
      <c r="U79" s="4"/>
      <c r="V79" s="4"/>
      <c r="W79" s="4"/>
      <c r="X79" s="4"/>
      <c r="Y79" s="4"/>
      <c r="Z79" s="4"/>
    </row>
    <row r="80">
      <c r="A80" s="69"/>
      <c r="B80" s="4"/>
      <c r="C80" s="4"/>
      <c r="D80" s="4"/>
      <c r="E80" s="4"/>
      <c r="F80" s="4"/>
      <c r="G80" s="4"/>
      <c r="H80" s="4"/>
      <c r="I80" s="4"/>
      <c r="J80" s="4"/>
      <c r="K80" s="4"/>
      <c r="L80" s="4"/>
      <c r="M80" s="4"/>
      <c r="N80" s="4"/>
      <c r="O80" s="4"/>
      <c r="P80" s="4"/>
      <c r="Q80" s="4"/>
      <c r="R80" s="4"/>
      <c r="S80" s="4"/>
      <c r="T80" s="4"/>
      <c r="U80" s="4"/>
      <c r="V80" s="4"/>
      <c r="W80" s="4"/>
      <c r="X80" s="4"/>
      <c r="Y80" s="4"/>
      <c r="Z80" s="4"/>
    </row>
    <row r="81">
      <c r="A81" s="69"/>
      <c r="B81" s="4"/>
      <c r="C81" s="4"/>
      <c r="D81" s="4"/>
      <c r="E81" s="4"/>
      <c r="F81" s="4"/>
      <c r="G81" s="4"/>
      <c r="H81" s="4"/>
      <c r="I81" s="4"/>
      <c r="J81" s="4"/>
      <c r="K81" s="4"/>
      <c r="L81" s="4"/>
      <c r="M81" s="4"/>
      <c r="N81" s="4"/>
      <c r="O81" s="4"/>
      <c r="P81" s="4"/>
      <c r="Q81" s="4"/>
      <c r="R81" s="4"/>
      <c r="S81" s="4"/>
      <c r="T81" s="4"/>
      <c r="U81" s="4"/>
      <c r="V81" s="4"/>
      <c r="W81" s="4"/>
      <c r="X81" s="4"/>
      <c r="Y81" s="4"/>
      <c r="Z81" s="4"/>
    </row>
    <row r="82">
      <c r="A82" s="69"/>
      <c r="B82" s="4"/>
      <c r="C82" s="4"/>
      <c r="D82" s="4"/>
      <c r="E82" s="4"/>
      <c r="F82" s="4"/>
      <c r="G82" s="4"/>
      <c r="H82" s="4"/>
      <c r="I82" s="4"/>
      <c r="J82" s="4"/>
      <c r="K82" s="4"/>
      <c r="L82" s="4"/>
      <c r="M82" s="4"/>
      <c r="N82" s="4"/>
      <c r="O82" s="4"/>
      <c r="P82" s="4"/>
      <c r="Q82" s="4"/>
      <c r="R82" s="4"/>
      <c r="S82" s="4"/>
      <c r="T82" s="4"/>
      <c r="U82" s="4"/>
      <c r="V82" s="4"/>
      <c r="W82" s="4"/>
      <c r="X82" s="4"/>
      <c r="Y82" s="4"/>
      <c r="Z82" s="4"/>
    </row>
    <row r="83">
      <c r="A83" s="69"/>
      <c r="B83" s="4"/>
      <c r="C83" s="4"/>
      <c r="D83" s="4"/>
      <c r="E83" s="4"/>
      <c r="F83" s="4"/>
      <c r="G83" s="4"/>
      <c r="H83" s="4"/>
      <c r="I83" s="4"/>
      <c r="J83" s="4"/>
      <c r="K83" s="4"/>
      <c r="L83" s="4"/>
      <c r="M83" s="4"/>
      <c r="N83" s="4"/>
      <c r="O83" s="4"/>
      <c r="P83" s="4"/>
      <c r="Q83" s="4"/>
      <c r="R83" s="4"/>
      <c r="S83" s="4"/>
      <c r="T83" s="4"/>
      <c r="U83" s="4"/>
      <c r="V83" s="4"/>
      <c r="W83" s="4"/>
      <c r="X83" s="4"/>
      <c r="Y83" s="4"/>
      <c r="Z83" s="4"/>
    </row>
    <row r="84">
      <c r="A84" s="69"/>
      <c r="B84" s="4"/>
      <c r="C84" s="4"/>
      <c r="D84" s="4"/>
      <c r="E84" s="4"/>
      <c r="F84" s="4"/>
      <c r="G84" s="4"/>
      <c r="H84" s="4"/>
      <c r="I84" s="4"/>
      <c r="J84" s="4"/>
      <c r="K84" s="4"/>
      <c r="L84" s="4"/>
      <c r="M84" s="4"/>
      <c r="N84" s="4"/>
      <c r="O84" s="4"/>
      <c r="P84" s="4"/>
      <c r="Q84" s="4"/>
      <c r="R84" s="4"/>
      <c r="S84" s="4"/>
      <c r="T84" s="4"/>
      <c r="U84" s="4"/>
      <c r="V84" s="4"/>
      <c r="W84" s="4"/>
      <c r="X84" s="4"/>
      <c r="Y84" s="4"/>
      <c r="Z84" s="4"/>
    </row>
    <row r="85">
      <c r="A85" s="69"/>
      <c r="B85" s="4"/>
      <c r="C85" s="4"/>
      <c r="D85" s="4"/>
      <c r="E85" s="4"/>
      <c r="F85" s="4"/>
      <c r="G85" s="4"/>
      <c r="H85" s="4"/>
      <c r="I85" s="4"/>
      <c r="J85" s="4"/>
      <c r="K85" s="4"/>
      <c r="L85" s="4"/>
      <c r="M85" s="4"/>
      <c r="N85" s="4"/>
      <c r="O85" s="4"/>
      <c r="P85" s="4"/>
      <c r="Q85" s="4"/>
      <c r="R85" s="4"/>
      <c r="S85" s="4"/>
      <c r="T85" s="4"/>
      <c r="U85" s="4"/>
      <c r="V85" s="4"/>
      <c r="W85" s="4"/>
      <c r="X85" s="4"/>
      <c r="Y85" s="4"/>
      <c r="Z85" s="4"/>
    </row>
    <row r="86">
      <c r="A86" s="69"/>
      <c r="B86" s="4"/>
      <c r="C86" s="4"/>
      <c r="D86" s="4"/>
      <c r="E86" s="4"/>
      <c r="F86" s="4"/>
      <c r="G86" s="4"/>
      <c r="H86" s="4"/>
      <c r="I86" s="4"/>
      <c r="J86" s="4"/>
      <c r="K86" s="4"/>
      <c r="L86" s="4"/>
      <c r="M86" s="4"/>
      <c r="N86" s="4"/>
      <c r="O86" s="4"/>
      <c r="P86" s="4"/>
      <c r="Q86" s="4"/>
      <c r="R86" s="4"/>
      <c r="S86" s="4"/>
      <c r="T86" s="4"/>
      <c r="U86" s="4"/>
      <c r="V86" s="4"/>
      <c r="W86" s="4"/>
      <c r="X86" s="4"/>
      <c r="Y86" s="4"/>
      <c r="Z86" s="4"/>
    </row>
    <row r="87">
      <c r="A87" s="69"/>
      <c r="B87" s="4"/>
      <c r="C87" s="4"/>
      <c r="D87" s="4"/>
      <c r="E87" s="4"/>
      <c r="F87" s="4"/>
      <c r="G87" s="4"/>
      <c r="H87" s="4"/>
      <c r="I87" s="4"/>
      <c r="J87" s="4"/>
      <c r="K87" s="4"/>
      <c r="L87" s="4"/>
      <c r="M87" s="4"/>
      <c r="N87" s="4"/>
      <c r="O87" s="4"/>
      <c r="P87" s="4"/>
      <c r="Q87" s="4"/>
      <c r="R87" s="4"/>
      <c r="S87" s="4"/>
      <c r="T87" s="4"/>
      <c r="U87" s="4"/>
      <c r="V87" s="4"/>
      <c r="W87" s="4"/>
      <c r="X87" s="4"/>
      <c r="Y87" s="4"/>
      <c r="Z87" s="4"/>
    </row>
    <row r="88">
      <c r="A88" s="69"/>
      <c r="B88" s="4"/>
      <c r="C88" s="4"/>
      <c r="D88" s="4"/>
      <c r="E88" s="4"/>
      <c r="F88" s="4"/>
      <c r="G88" s="4"/>
      <c r="H88" s="4"/>
      <c r="I88" s="4"/>
      <c r="J88" s="4"/>
      <c r="K88" s="4"/>
      <c r="L88" s="4"/>
      <c r="M88" s="4"/>
      <c r="N88" s="4"/>
      <c r="O88" s="4"/>
      <c r="P88" s="4"/>
      <c r="Q88" s="4"/>
      <c r="R88" s="4"/>
      <c r="S88" s="4"/>
      <c r="T88" s="4"/>
      <c r="U88" s="4"/>
      <c r="V88" s="4"/>
      <c r="W88" s="4"/>
      <c r="X88" s="4"/>
      <c r="Y88" s="4"/>
      <c r="Z88" s="4"/>
    </row>
    <row r="89">
      <c r="A89" s="69"/>
      <c r="B89" s="4"/>
      <c r="C89" s="4"/>
      <c r="D89" s="4"/>
      <c r="E89" s="4"/>
      <c r="F89" s="4"/>
      <c r="G89" s="4"/>
      <c r="H89" s="4"/>
      <c r="I89" s="4"/>
      <c r="J89" s="4"/>
      <c r="K89" s="4"/>
      <c r="L89" s="4"/>
      <c r="M89" s="4"/>
      <c r="N89" s="4"/>
      <c r="O89" s="4"/>
      <c r="P89" s="4"/>
      <c r="Q89" s="4"/>
      <c r="R89" s="4"/>
      <c r="S89" s="4"/>
      <c r="T89" s="4"/>
      <c r="U89" s="4"/>
      <c r="V89" s="4"/>
      <c r="W89" s="4"/>
      <c r="X89" s="4"/>
      <c r="Y89" s="4"/>
      <c r="Z89" s="4"/>
    </row>
    <row r="90">
      <c r="A90" s="69"/>
      <c r="B90" s="4"/>
      <c r="C90" s="4"/>
      <c r="D90" s="4"/>
      <c r="E90" s="4"/>
      <c r="F90" s="4"/>
      <c r="G90" s="4"/>
      <c r="H90" s="4"/>
      <c r="I90" s="4"/>
      <c r="J90" s="4"/>
      <c r="K90" s="4"/>
      <c r="L90" s="4"/>
      <c r="M90" s="4"/>
      <c r="N90" s="4"/>
      <c r="O90" s="4"/>
      <c r="P90" s="4"/>
      <c r="Q90" s="4"/>
      <c r="R90" s="4"/>
      <c r="S90" s="4"/>
      <c r="T90" s="4"/>
      <c r="U90" s="4"/>
      <c r="V90" s="4"/>
      <c r="W90" s="4"/>
      <c r="X90" s="4"/>
      <c r="Y90" s="4"/>
      <c r="Z90" s="4"/>
    </row>
    <row r="91">
      <c r="A91" s="69"/>
      <c r="B91" s="4"/>
      <c r="C91" s="4"/>
      <c r="D91" s="4"/>
      <c r="E91" s="4"/>
      <c r="F91" s="4"/>
      <c r="G91" s="4"/>
      <c r="H91" s="4"/>
      <c r="I91" s="4"/>
      <c r="J91" s="4"/>
      <c r="K91" s="4"/>
      <c r="L91" s="4"/>
      <c r="M91" s="4"/>
      <c r="N91" s="4"/>
      <c r="O91" s="4"/>
      <c r="P91" s="4"/>
      <c r="Q91" s="4"/>
      <c r="R91" s="4"/>
      <c r="S91" s="4"/>
      <c r="T91" s="4"/>
      <c r="U91" s="4"/>
      <c r="V91" s="4"/>
      <c r="W91" s="4"/>
      <c r="X91" s="4"/>
      <c r="Y91" s="4"/>
      <c r="Z91" s="4"/>
    </row>
    <row r="92">
      <c r="A92" s="69"/>
      <c r="B92" s="4"/>
      <c r="C92" s="4"/>
      <c r="D92" s="4"/>
      <c r="E92" s="4"/>
      <c r="F92" s="4"/>
      <c r="G92" s="4"/>
      <c r="H92" s="4"/>
      <c r="I92" s="4"/>
      <c r="J92" s="4"/>
      <c r="K92" s="4"/>
      <c r="L92" s="4"/>
      <c r="M92" s="4"/>
      <c r="N92" s="4"/>
      <c r="O92" s="4"/>
      <c r="P92" s="4"/>
      <c r="Q92" s="4"/>
      <c r="R92" s="4"/>
      <c r="S92" s="4"/>
      <c r="T92" s="4"/>
      <c r="U92" s="4"/>
      <c r="V92" s="4"/>
      <c r="W92" s="4"/>
      <c r="X92" s="4"/>
      <c r="Y92" s="4"/>
      <c r="Z92" s="4"/>
    </row>
    <row r="93">
      <c r="A93" s="69"/>
      <c r="B93" s="4"/>
      <c r="C93" s="4"/>
      <c r="D93" s="4"/>
      <c r="E93" s="4"/>
      <c r="F93" s="4"/>
      <c r="G93" s="4"/>
      <c r="H93" s="4"/>
      <c r="I93" s="4"/>
      <c r="J93" s="4"/>
      <c r="K93" s="4"/>
      <c r="L93" s="4"/>
      <c r="M93" s="4"/>
      <c r="N93" s="4"/>
      <c r="O93" s="4"/>
      <c r="P93" s="4"/>
      <c r="Q93" s="4"/>
      <c r="R93" s="4"/>
      <c r="S93" s="4"/>
      <c r="T93" s="4"/>
      <c r="U93" s="4"/>
      <c r="V93" s="4"/>
      <c r="W93" s="4"/>
      <c r="X93" s="4"/>
      <c r="Y93" s="4"/>
      <c r="Z93" s="4"/>
    </row>
    <row r="94">
      <c r="A94" s="69"/>
      <c r="B94" s="4"/>
      <c r="C94" s="4"/>
      <c r="D94" s="4"/>
      <c r="E94" s="4"/>
      <c r="F94" s="4"/>
      <c r="G94" s="4"/>
      <c r="H94" s="4"/>
      <c r="I94" s="4"/>
      <c r="J94" s="4"/>
      <c r="K94" s="4"/>
      <c r="L94" s="4"/>
      <c r="M94" s="4"/>
      <c r="N94" s="4"/>
      <c r="O94" s="4"/>
      <c r="P94" s="4"/>
      <c r="Q94" s="4"/>
      <c r="R94" s="4"/>
      <c r="S94" s="4"/>
      <c r="T94" s="4"/>
      <c r="U94" s="4"/>
      <c r="V94" s="4"/>
      <c r="W94" s="4"/>
      <c r="X94" s="4"/>
      <c r="Y94" s="4"/>
      <c r="Z94" s="4"/>
    </row>
    <row r="95">
      <c r="A95" s="69"/>
      <c r="B95" s="4"/>
      <c r="C95" s="4"/>
      <c r="D95" s="4"/>
      <c r="E95" s="4"/>
      <c r="F95" s="4"/>
      <c r="G95" s="4"/>
      <c r="H95" s="4"/>
      <c r="I95" s="4"/>
      <c r="J95" s="4"/>
      <c r="K95" s="4"/>
      <c r="L95" s="4"/>
      <c r="M95" s="4"/>
      <c r="N95" s="4"/>
      <c r="O95" s="4"/>
      <c r="P95" s="4"/>
      <c r="Q95" s="4"/>
      <c r="R95" s="4"/>
      <c r="S95" s="4"/>
      <c r="T95" s="4"/>
      <c r="U95" s="4"/>
      <c r="V95" s="4"/>
      <c r="W95" s="4"/>
      <c r="X95" s="4"/>
      <c r="Y95" s="4"/>
      <c r="Z95" s="4"/>
    </row>
    <row r="96">
      <c r="A96" s="69"/>
      <c r="B96" s="4"/>
      <c r="C96" s="4"/>
      <c r="D96" s="4"/>
      <c r="E96" s="4"/>
      <c r="F96" s="4"/>
      <c r="G96" s="4"/>
      <c r="H96" s="4"/>
      <c r="I96" s="4"/>
      <c r="J96" s="4"/>
      <c r="K96" s="4"/>
      <c r="L96" s="4"/>
      <c r="M96" s="4"/>
      <c r="N96" s="4"/>
      <c r="O96" s="4"/>
      <c r="P96" s="4"/>
      <c r="Q96" s="4"/>
      <c r="R96" s="4"/>
      <c r="S96" s="4"/>
      <c r="T96" s="4"/>
      <c r="U96" s="4"/>
      <c r="V96" s="4"/>
      <c r="W96" s="4"/>
      <c r="X96" s="4"/>
      <c r="Y96" s="4"/>
      <c r="Z96" s="4"/>
    </row>
    <row r="97">
      <c r="A97" s="69"/>
      <c r="B97" s="4"/>
      <c r="C97" s="4"/>
      <c r="D97" s="4"/>
      <c r="E97" s="4"/>
      <c r="F97" s="4"/>
      <c r="G97" s="4"/>
      <c r="H97" s="4"/>
      <c r="I97" s="4"/>
      <c r="J97" s="4"/>
      <c r="K97" s="4"/>
      <c r="L97" s="4"/>
      <c r="M97" s="4"/>
      <c r="N97" s="4"/>
      <c r="O97" s="4"/>
      <c r="P97" s="4"/>
      <c r="Q97" s="4"/>
      <c r="R97" s="4"/>
      <c r="S97" s="4"/>
      <c r="T97" s="4"/>
      <c r="U97" s="4"/>
      <c r="V97" s="4"/>
      <c r="W97" s="4"/>
      <c r="X97" s="4"/>
      <c r="Y97" s="4"/>
      <c r="Z97" s="4"/>
    </row>
    <row r="98">
      <c r="A98" s="69"/>
      <c r="B98" s="4"/>
      <c r="C98" s="4"/>
      <c r="D98" s="4"/>
      <c r="E98" s="4"/>
      <c r="F98" s="4"/>
      <c r="G98" s="4"/>
      <c r="H98" s="4"/>
      <c r="I98" s="4"/>
      <c r="J98" s="4"/>
      <c r="K98" s="4"/>
      <c r="L98" s="4"/>
      <c r="M98" s="4"/>
      <c r="N98" s="4"/>
      <c r="O98" s="4"/>
      <c r="P98" s="4"/>
      <c r="Q98" s="4"/>
      <c r="R98" s="4"/>
      <c r="S98" s="4"/>
      <c r="T98" s="4"/>
      <c r="U98" s="4"/>
      <c r="V98" s="4"/>
      <c r="W98" s="4"/>
      <c r="X98" s="4"/>
      <c r="Y98" s="4"/>
      <c r="Z98" s="4"/>
    </row>
    <row r="99">
      <c r="A99" s="69"/>
      <c r="B99" s="4"/>
      <c r="C99" s="4"/>
      <c r="D99" s="4"/>
      <c r="E99" s="4"/>
      <c r="F99" s="4"/>
      <c r="G99" s="4"/>
      <c r="H99" s="4"/>
      <c r="I99" s="4"/>
      <c r="J99" s="4"/>
      <c r="K99" s="4"/>
      <c r="L99" s="4"/>
      <c r="M99" s="4"/>
      <c r="N99" s="4"/>
      <c r="O99" s="4"/>
      <c r="P99" s="4"/>
      <c r="Q99" s="4"/>
      <c r="R99" s="4"/>
      <c r="S99" s="4"/>
      <c r="T99" s="4"/>
      <c r="U99" s="4"/>
      <c r="V99" s="4"/>
      <c r="W99" s="4"/>
      <c r="X99" s="4"/>
      <c r="Y99" s="4"/>
      <c r="Z99" s="4"/>
    </row>
    <row r="100">
      <c r="A100" s="6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6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6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6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6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6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6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6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6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6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6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6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6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6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6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6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6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6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6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6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6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6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6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6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6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6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6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6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6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6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6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6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6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6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6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6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6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6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6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6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6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6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6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6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6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6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6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6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6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6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6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6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6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6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6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6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6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6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6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6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6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6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6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6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6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6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6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6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6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6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6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6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6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6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6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6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6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6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6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6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6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6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6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6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6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6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6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6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6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6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6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6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6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6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6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6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6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6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6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6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6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6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6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6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6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6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6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6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6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6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6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6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6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6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6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6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6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6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6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6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6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6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6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6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6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6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6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6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6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6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6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6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6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6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6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6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6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6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6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6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6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6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6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6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6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6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6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6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6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6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6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6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6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6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6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6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6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6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6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6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6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6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6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6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6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69"/>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6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69"/>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69"/>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69"/>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69"/>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69"/>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69"/>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69"/>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69"/>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69"/>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69"/>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69"/>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69"/>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69"/>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69"/>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69"/>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69"/>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69"/>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69"/>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69"/>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6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69"/>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69"/>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69"/>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69"/>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69"/>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69"/>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69"/>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69"/>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69"/>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69"/>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69"/>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6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69"/>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69"/>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69"/>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69"/>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69"/>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69"/>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69"/>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69"/>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69"/>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69"/>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69"/>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6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69"/>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69"/>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69"/>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69"/>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69"/>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69"/>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69"/>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69"/>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6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69"/>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69"/>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69"/>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69"/>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69"/>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69"/>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6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69"/>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69"/>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69"/>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69"/>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6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6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6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6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6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6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6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6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6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6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6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6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6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6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6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6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6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6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6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6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6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6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6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6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6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6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6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6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6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6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6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6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6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6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6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6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6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6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6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6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6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6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6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6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6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6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6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6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6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6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6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6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6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6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6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6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6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6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6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6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6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6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6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6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6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6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6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6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6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6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6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6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6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6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6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6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6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6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6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6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6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6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6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6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6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6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6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6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6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6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6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6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6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6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6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6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6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6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6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6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6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6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6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6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6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6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6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6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6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6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6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6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6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6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6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6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6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6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6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6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6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6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6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6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6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6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6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6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6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6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6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6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6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6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6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6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6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6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6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6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6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6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6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6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6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6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6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6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6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6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6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6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6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6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6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6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6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6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6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6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6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6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6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6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6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6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6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6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6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6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6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6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6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6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6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6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6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6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6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6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6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6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6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6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6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6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6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6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6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6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6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6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6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6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6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6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6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6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6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6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6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6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6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6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6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6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6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6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6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6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6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6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6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6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6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6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6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6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6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6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6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6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6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6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6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6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6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6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6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6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6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6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6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6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6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6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6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6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6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6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6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6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6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6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6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6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6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6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6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6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6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6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6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6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6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6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6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6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6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6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6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6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6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6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6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6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6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6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6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6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6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6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6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6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6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6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6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6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6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6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6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6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6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6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6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6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6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6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6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6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6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6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6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6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6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6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6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6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6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6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6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6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6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6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6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6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6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6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6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6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6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6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6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6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6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6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6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6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6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6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6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6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6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6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6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6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6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6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6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6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6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6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6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6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6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6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6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6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6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6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6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6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6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6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6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6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6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6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6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6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6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6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6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6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6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6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6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6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6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6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6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6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6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6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6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6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6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6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6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6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6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6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6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6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6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6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6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6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6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6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6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6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6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6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6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6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6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6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6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6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6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6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6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6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6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6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6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6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6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6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6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6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6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6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6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6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6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6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6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6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6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6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6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6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6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6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6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6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6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6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6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6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6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6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6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6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6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6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6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6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6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6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6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6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6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6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6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6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6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6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6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6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6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6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6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6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6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6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6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6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6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6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6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6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6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6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6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6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6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6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6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6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6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6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6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6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6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6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6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6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6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6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6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6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6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6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6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6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6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6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6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6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6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6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6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6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6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6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6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6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6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6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6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6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6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6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6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6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6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6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6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6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6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6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6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6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6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6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6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6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6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6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6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6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6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6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6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6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6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6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6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6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6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6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6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6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6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6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6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6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6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6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6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6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6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6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6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6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6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6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6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6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6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6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6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6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6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6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6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6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6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6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6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6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6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6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6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6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6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6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6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6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6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6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6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6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6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6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6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6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6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6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6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6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6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6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6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6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6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6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6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6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6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6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6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6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6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6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6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6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6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6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6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6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6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6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6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6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6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6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6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6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6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6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6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6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6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6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6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6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6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6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6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6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6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6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6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6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6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6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6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6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6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6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6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6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6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6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6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6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6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6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6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6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6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6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6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6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6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6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6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6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6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6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6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6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6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69"/>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69"/>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69"/>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69"/>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69"/>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69"/>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69"/>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69"/>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69"/>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69"/>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69"/>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6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69"/>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69"/>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69"/>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69"/>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69"/>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69"/>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69"/>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69"/>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69"/>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69"/>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6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F$7"/>
  <drawing r:id="rId1"/>
</worksheet>
</file>